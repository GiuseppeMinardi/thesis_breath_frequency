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A" sheetId="1" r:id="rId4"/>
    <sheet state="visible" name="Breathing-Rate Variability" sheetId="2" r:id="rId5"/>
    <sheet state="visible" name="FG" sheetId="3" r:id="rId6"/>
    <sheet state="visible" name="VR" sheetId="4" r:id="rId7"/>
    <sheet state="visible" name="CN" sheetId="5" r:id="rId8"/>
    <sheet state="visible" name="SG" sheetId="6" r:id="rId9"/>
    <sheet state="visible" name="AA" sheetId="7" r:id="rId10"/>
    <sheet state="visible" name="MS" sheetId="8" r:id="rId11"/>
    <sheet state="visible" name="GE" sheetId="9" r:id="rId12"/>
    <sheet state="visible" name="PT" sheetId="10" r:id="rId13"/>
    <sheet state="visible" name="CM" sheetId="11" r:id="rId14"/>
    <sheet state="visible" name="CN2" sheetId="12" r:id="rId15"/>
    <sheet state="visible" name="CG" sheetId="13" r:id="rId16"/>
    <sheet state="visible" name="MP" sheetId="14" r:id="rId17"/>
    <sheet state="visible" name="IL" sheetId="15" r:id="rId18"/>
    <sheet state="visible" name="GR" sheetId="16" r:id="rId19"/>
    <sheet state="visible" name="VG" sheetId="17" r:id="rId20"/>
    <sheet state="visible" name="SM" sheetId="18" r:id="rId21"/>
    <sheet state="visible" name="GP" sheetId="19" r:id="rId22"/>
    <sheet state="visible" name="GM" sheetId="20" r:id="rId23"/>
    <sheet state="visible" name="SL" sheetId="21" r:id="rId24"/>
    <sheet state="visible" name="CL" sheetId="22" r:id="rId25"/>
  </sheets>
  <definedNames/>
  <calcPr/>
  <extLst>
    <ext uri="GoogleSheetsCustomDataVersion2">
      <go:sheetsCustomData xmlns:go="http://customooxmlschemas.google.com/" r:id="rId26" roundtripDataChecksum="nffmjbgPNA3lICd9MaSbCt/e7EyXEMl0swxLIP5RTPc="/>
    </ext>
  </extLst>
</workbook>
</file>

<file path=xl/sharedStrings.xml><?xml version="1.0" encoding="utf-8"?>
<sst xmlns="http://schemas.openxmlformats.org/spreadsheetml/2006/main" count="1546" uniqueCount="103">
  <si>
    <t>VT1</t>
  </si>
  <si>
    <t>VT2</t>
  </si>
  <si>
    <t>RR (BPM)</t>
  </si>
  <si>
    <t>GET (BPM)</t>
  </si>
  <si>
    <t>FG</t>
  </si>
  <si>
    <t>VR</t>
  </si>
  <si>
    <t>CN</t>
  </si>
  <si>
    <t>SG</t>
  </si>
  <si>
    <t>AA</t>
  </si>
  <si>
    <t>MS</t>
  </si>
  <si>
    <t>GE</t>
  </si>
  <si>
    <t>PT</t>
  </si>
  <si>
    <t>CM</t>
  </si>
  <si>
    <t>CN2</t>
  </si>
  <si>
    <t>CG</t>
  </si>
  <si>
    <t>MP</t>
  </si>
  <si>
    <t>IL</t>
  </si>
  <si>
    <t>GR</t>
  </si>
  <si>
    <t>VG</t>
  </si>
  <si>
    <t>SM</t>
  </si>
  <si>
    <t>GP</t>
  </si>
  <si>
    <t>GM</t>
  </si>
  <si>
    <t>SL</t>
  </si>
  <si>
    <t>CL</t>
  </si>
  <si>
    <t>GET= Gas Exchange Thresholds</t>
  </si>
  <si>
    <t>RR= Respiratory Rate Thresholds</t>
  </si>
  <si>
    <t>RMSSD (ms)</t>
  </si>
  <si>
    <t>Zona 1</t>
  </si>
  <si>
    <t>Zona 2</t>
  </si>
  <si>
    <t>Zona 3</t>
  </si>
  <si>
    <t>GC</t>
  </si>
  <si>
    <t>media</t>
  </si>
  <si>
    <t>SD</t>
  </si>
  <si>
    <t>Time (min)</t>
  </si>
  <si>
    <t>Work (Watts)</t>
  </si>
  <si>
    <t>VO2 (mL/kg/min)</t>
  </si>
  <si>
    <t>VO2 (mL/min)</t>
  </si>
  <si>
    <t>VCO2 (mL/min)</t>
  </si>
  <si>
    <t>RER</t>
  </si>
  <si>
    <t>RR (br/min)</t>
  </si>
  <si>
    <t>Vt BTPS (L)</t>
  </si>
  <si>
    <t>VE BTPS (L/min)</t>
  </si>
  <si>
    <t>BR (%)</t>
  </si>
  <si>
    <t>HR (BPM)</t>
  </si>
  <si>
    <t>HRR (%)</t>
  </si>
  <si>
    <t>PETO2 (mmHg)</t>
  </si>
  <si>
    <t>PETCO2 (mmHg)</t>
  </si>
  <si>
    <t>VO2/Pred (%)</t>
  </si>
  <si>
    <t>Ti/Ttot</t>
  </si>
  <si>
    <t>Ti (sec)</t>
  </si>
  <si>
    <t>Te (sec)</t>
  </si>
  <si>
    <t>Ttot (sec)</t>
  </si>
  <si>
    <t>RMSSD</t>
  </si>
  <si>
    <t>Time</t>
  </si>
  <si>
    <t>Work</t>
  </si>
  <si>
    <t>VO2</t>
  </si>
  <si>
    <t>VCO2</t>
  </si>
  <si>
    <t>RR</t>
  </si>
  <si>
    <t>Vt BTPS</t>
  </si>
  <si>
    <t>VE BTPS</t>
  </si>
  <si>
    <t>BR</t>
  </si>
  <si>
    <t>HR</t>
  </si>
  <si>
    <t>HRR</t>
  </si>
  <si>
    <t>PETO2</t>
  </si>
  <si>
    <t>PETCO2</t>
  </si>
  <si>
    <t>VO2/Pred</t>
  </si>
  <si>
    <t>Ti</t>
  </si>
  <si>
    <t>Te</t>
  </si>
  <si>
    <t>Ttot</t>
  </si>
  <si>
    <t>(min)</t>
  </si>
  <si>
    <t>(Watts)</t>
  </si>
  <si>
    <t>(mL/kg/min)</t>
  </si>
  <si>
    <t>(mL/min)</t>
  </si>
  <si>
    <t>(br/min)</t>
  </si>
  <si>
    <t>(L)</t>
  </si>
  <si>
    <t>(L/min)</t>
  </si>
  <si>
    <t>(%)</t>
  </si>
  <si>
    <t>(BPM)</t>
  </si>
  <si>
    <t>(mmHg)</t>
  </si>
  <si>
    <t>(sec)</t>
  </si>
  <si>
    <t>AT</t>
  </si>
  <si>
    <t>RC</t>
  </si>
  <si>
    <t>V02 Max</t>
  </si>
  <si>
    <t>Duty</t>
  </si>
  <si>
    <t>Ttot ms</t>
  </si>
  <si>
    <t>diff quad</t>
  </si>
  <si>
    <t>CV</t>
  </si>
  <si>
    <t>Avvio Esercizio</t>
  </si>
  <si>
    <t>Avvio Recupero</t>
  </si>
  <si>
    <t>ms</t>
  </si>
  <si>
    <t>diff qua</t>
  </si>
  <si>
    <t xml:space="preserve">  </t>
  </si>
  <si>
    <t>msec</t>
  </si>
  <si>
    <t>RMSSQ</t>
  </si>
  <si>
    <t>diff quadr</t>
  </si>
  <si>
    <t xml:space="preserve">corsetti giovanni </t>
  </si>
  <si>
    <t>0</t>
  </si>
  <si>
    <t>Speed</t>
  </si>
  <si>
    <t>Grade</t>
  </si>
  <si>
    <t>HeartRate</t>
  </si>
  <si>
    <t>(MPH)</t>
  </si>
  <si>
    <t>(mL)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</si>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</sst>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Aptos Narrow"/>
      <scheme val="minor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rgb="FF1F1F1F"/>
      <name val="Google Sans"/>
    </font>
    <font>
      <sz val="10.0"/>
      <color rgb="FF000000"/>
      <name val="Arial"/>
    </font>
    <font>
      <b/>
      <color theme="1"/>
      <name val="Aptos Narrow"/>
    </font>
    <font>
      <color theme="1"/>
      <name val="Aptos Narrow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Border="1" applyFont="1"/>
    <xf borderId="0" fillId="0" fontId="1" numFmtId="0" xfId="0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Font="1"/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3" fillId="0" fontId="1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5" fillId="0" fontId="1" numFmtId="0" xfId="0" applyBorder="1" applyFont="1"/>
    <xf borderId="0" fillId="0" fontId="1" numFmtId="0" xfId="0" applyAlignment="1" applyFont="1">
      <alignment readingOrder="0"/>
    </xf>
    <xf borderId="7" fillId="2" fontId="4" numFmtId="0" xfId="0" applyBorder="1" applyFill="1" applyFont="1"/>
    <xf borderId="0" fillId="3" fontId="5" numFmtId="49" xfId="0" applyFill="1" applyFont="1" applyNumberFormat="1"/>
    <xf borderId="0" fillId="0" fontId="6" numFmtId="0" xfId="0" applyAlignment="1" applyFont="1">
      <alignment horizontal="center"/>
    </xf>
    <xf borderId="0" fillId="0" fontId="3" numFmtId="4" xfId="0" applyFont="1" applyNumberFormat="1"/>
    <xf borderId="0" fillId="0" fontId="7" numFmtId="0" xfId="0" applyFont="1"/>
    <xf borderId="8" fillId="0" fontId="3" numFmtId="0" xfId="0" applyBorder="1" applyFont="1"/>
    <xf borderId="8" fillId="0" fontId="7" numFmtId="0" xfId="0" applyBorder="1" applyFont="1"/>
    <xf borderId="0" fillId="0" fontId="1" numFmtId="0" xfId="0" applyAlignment="1" applyFont="1">
      <alignment vertical="bottom"/>
    </xf>
    <xf borderId="8" fillId="0" fontId="3" numFmtId="2" xfId="0" applyBorder="1" applyFont="1" applyNumberFormat="1"/>
    <xf borderId="8" fillId="0" fontId="3" numFmtId="2" xfId="0" applyAlignment="1" applyBorder="1" applyFont="1" applyNumberFormat="1">
      <alignment horizontal="right"/>
    </xf>
    <xf borderId="8" fillId="0" fontId="8" numFmtId="2" xfId="0" applyAlignment="1" applyBorder="1" applyFont="1" applyNumberFormat="1">
      <alignment horizontal="right" vertical="bottom"/>
    </xf>
    <xf borderId="0" fillId="0" fontId="7" numFmtId="2" xfId="0" applyFont="1" applyNumberFormat="1"/>
    <xf borderId="8" fillId="0" fontId="7" numFmtId="2" xfId="0" applyBorder="1" applyFont="1" applyNumberFormat="1"/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9" fillId="0" fontId="7" numFmtId="0" xfId="0" applyBorder="1" applyFont="1"/>
    <xf borderId="6" fillId="0" fontId="7" numFmtId="0" xfId="0" applyBorder="1" applyFont="1"/>
    <xf borderId="0" fillId="0" fontId="8" numFmtId="0" xfId="0" applyAlignment="1" applyFont="1">
      <alignment shrinkToFit="0" wrapText="1"/>
    </xf>
    <xf borderId="0" fillId="0" fontId="8" numFmtId="0" xfId="0" applyFont="1"/>
    <xf borderId="0" fillId="0" fontId="8" numFmtId="164" xfId="0" applyFont="1" applyNumberFormat="1"/>
    <xf borderId="0" fillId="0" fontId="8" numFmtId="20" xfId="0" applyFont="1" applyNumberFormat="1"/>
    <xf borderId="7" fillId="4" fontId="8" numFmtId="20" xfId="0" applyBorder="1" applyFill="1" applyFont="1" applyNumberFormat="1"/>
    <xf borderId="7" fillId="4" fontId="8" numFmtId="0" xfId="0" applyBorder="1" applyFont="1"/>
    <xf borderId="0" fillId="4" fontId="7" numFmtId="0" xfId="0" applyFont="1"/>
    <xf borderId="0" fillId="4" fontId="2" numFmtId="0" xfId="0" applyFont="1"/>
    <xf borderId="0" fillId="0" fontId="7" numFmtId="49" xfId="0" applyFont="1" applyNumberFormat="1"/>
    <xf borderId="0" fillId="0" fontId="3" numFmtId="49" xfId="0" applyFont="1" applyNumberFormat="1"/>
    <xf borderId="0" fillId="0" fontId="8" numFmtId="2" xfId="0" applyFont="1" applyNumberFormat="1"/>
    <xf borderId="0" fillId="0" fontId="8" numFmtId="49" xfId="0" applyFont="1" applyNumberFormat="1"/>
    <xf borderId="0" fillId="0" fontId="1" numFmtId="49" xfId="0" applyFont="1" applyNumberFormat="1"/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485775</xdr:colOff>
      <xdr:row>61</xdr:row>
      <xdr:rowOff>66675</xdr:rowOff>
    </xdr:from>
    <xdr:ext cx="4867275" cy="35909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7.0"/>
    <col customWidth="1" min="3" max="3" width="14.88"/>
    <col customWidth="1" min="4" max="6" width="11.0"/>
    <col customWidth="1" min="7" max="7" width="28.13"/>
    <col customWidth="1" min="8" max="27" width="11.0"/>
  </cols>
  <sheetData>
    <row r="1">
      <c r="B1" s="1" t="s">
        <v>0</v>
      </c>
      <c r="C1" s="2"/>
      <c r="D1" s="1" t="s">
        <v>1</v>
      </c>
      <c r="E1" s="3"/>
    </row>
    <row r="2">
      <c r="A2" s="4"/>
      <c r="B2" s="5" t="s">
        <v>2</v>
      </c>
      <c r="C2" s="6" t="s">
        <v>3</v>
      </c>
      <c r="D2" s="5" t="s">
        <v>2</v>
      </c>
      <c r="E2" s="7" t="s">
        <v>3</v>
      </c>
      <c r="G2" s="4"/>
      <c r="H2" s="4"/>
      <c r="J2" s="4"/>
    </row>
    <row r="3">
      <c r="A3" s="8" t="s">
        <v>4</v>
      </c>
      <c r="B3" s="9">
        <v>111.0</v>
      </c>
      <c r="C3" s="10">
        <v>118.0</v>
      </c>
      <c r="D3" s="11">
        <v>126.0</v>
      </c>
      <c r="E3" s="12">
        <v>128.0</v>
      </c>
    </row>
    <row r="4">
      <c r="A4" s="4" t="s">
        <v>5</v>
      </c>
      <c r="B4" s="9">
        <v>72.0</v>
      </c>
      <c r="C4" s="10">
        <v>80.0</v>
      </c>
      <c r="D4" s="11">
        <v>137.0</v>
      </c>
      <c r="E4" s="10">
        <v>147.0</v>
      </c>
    </row>
    <row r="5">
      <c r="A5" s="4" t="s">
        <v>6</v>
      </c>
      <c r="B5" s="9">
        <v>133.0</v>
      </c>
      <c r="C5" s="10">
        <v>131.0</v>
      </c>
      <c r="D5" s="11">
        <v>140.0</v>
      </c>
      <c r="E5" s="10">
        <v>145.0</v>
      </c>
    </row>
    <row r="6">
      <c r="A6" s="4" t="s">
        <v>7</v>
      </c>
      <c r="B6" s="9">
        <v>128.0</v>
      </c>
      <c r="C6" s="10">
        <v>131.0</v>
      </c>
      <c r="D6" s="11">
        <v>148.0</v>
      </c>
      <c r="E6" s="10">
        <v>150.0</v>
      </c>
    </row>
    <row r="7">
      <c r="A7" s="4" t="s">
        <v>8</v>
      </c>
      <c r="B7" s="9">
        <v>132.0</v>
      </c>
      <c r="C7" s="10">
        <v>156.0</v>
      </c>
      <c r="D7" s="11">
        <v>170.0</v>
      </c>
      <c r="E7" s="10">
        <v>180.0</v>
      </c>
    </row>
    <row r="8">
      <c r="A8" s="4" t="s">
        <v>9</v>
      </c>
      <c r="B8" s="9">
        <v>88.0</v>
      </c>
      <c r="C8" s="10">
        <v>106.0</v>
      </c>
      <c r="D8" s="11">
        <v>122.0</v>
      </c>
      <c r="E8" s="10">
        <v>124.0</v>
      </c>
    </row>
    <row r="9">
      <c r="A9" s="4" t="s">
        <v>10</v>
      </c>
      <c r="B9" s="9">
        <v>130.0</v>
      </c>
      <c r="C9" s="10">
        <v>167.0</v>
      </c>
      <c r="D9" s="11">
        <v>170.0</v>
      </c>
      <c r="E9" s="10">
        <v>170.0</v>
      </c>
    </row>
    <row r="10">
      <c r="A10" s="4" t="s">
        <v>11</v>
      </c>
      <c r="B10" s="9">
        <v>80.0</v>
      </c>
      <c r="C10" s="10">
        <v>130.0</v>
      </c>
      <c r="D10" s="11">
        <v>138.0</v>
      </c>
      <c r="E10" s="10">
        <v>142.0</v>
      </c>
    </row>
    <row r="11">
      <c r="A11" s="4" t="s">
        <v>12</v>
      </c>
      <c r="B11" s="9">
        <v>110.0</v>
      </c>
      <c r="C11" s="10">
        <v>114.0</v>
      </c>
      <c r="D11" s="11">
        <v>123.0</v>
      </c>
      <c r="E11" s="10">
        <v>127.0</v>
      </c>
    </row>
    <row r="12">
      <c r="A12" s="4" t="s">
        <v>13</v>
      </c>
      <c r="B12" s="9">
        <v>110.0</v>
      </c>
      <c r="C12" s="10">
        <v>129.0</v>
      </c>
      <c r="D12" s="11">
        <v>169.0</v>
      </c>
      <c r="E12" s="10">
        <v>162.0</v>
      </c>
    </row>
    <row r="13">
      <c r="A13" s="4" t="s">
        <v>14</v>
      </c>
      <c r="B13" s="9">
        <v>83.0</v>
      </c>
      <c r="C13" s="10">
        <v>94.0</v>
      </c>
      <c r="D13" s="11">
        <v>126.0</v>
      </c>
      <c r="E13" s="10">
        <v>128.0</v>
      </c>
    </row>
    <row r="14">
      <c r="A14" s="4" t="s">
        <v>15</v>
      </c>
      <c r="B14" s="9">
        <v>102.0</v>
      </c>
      <c r="C14" s="10">
        <v>113.0</v>
      </c>
      <c r="D14" s="11">
        <v>124.0</v>
      </c>
      <c r="E14" s="10">
        <v>122.0</v>
      </c>
    </row>
    <row r="15">
      <c r="A15" s="4" t="s">
        <v>16</v>
      </c>
      <c r="B15" s="9">
        <v>108.0</v>
      </c>
      <c r="C15" s="10">
        <v>108.0</v>
      </c>
      <c r="D15" s="11">
        <v>135.0</v>
      </c>
      <c r="E15" s="10">
        <v>136.0</v>
      </c>
    </row>
    <row r="16">
      <c r="A16" s="4" t="s">
        <v>17</v>
      </c>
      <c r="B16" s="9">
        <v>115.0</v>
      </c>
      <c r="C16" s="10">
        <v>135.0</v>
      </c>
      <c r="D16" s="11">
        <v>136.0</v>
      </c>
      <c r="E16" s="10">
        <v>142.0</v>
      </c>
    </row>
    <row r="17">
      <c r="A17" s="4" t="s">
        <v>18</v>
      </c>
      <c r="B17" s="9">
        <v>131.0</v>
      </c>
      <c r="C17" s="10">
        <v>131.0</v>
      </c>
      <c r="D17" s="11">
        <v>152.0</v>
      </c>
      <c r="E17" s="10">
        <v>152.0</v>
      </c>
    </row>
    <row r="18">
      <c r="A18" s="4" t="s">
        <v>19</v>
      </c>
      <c r="B18" s="9">
        <v>140.0</v>
      </c>
      <c r="C18" s="10">
        <v>140.0</v>
      </c>
      <c r="D18" s="11">
        <v>159.0</v>
      </c>
      <c r="E18" s="10">
        <v>160.0</v>
      </c>
    </row>
    <row r="19">
      <c r="A19" s="4" t="s">
        <v>20</v>
      </c>
      <c r="B19" s="9">
        <v>131.0</v>
      </c>
      <c r="C19" s="10">
        <v>121.0</v>
      </c>
      <c r="D19" s="11">
        <v>138.0</v>
      </c>
      <c r="E19" s="10">
        <v>138.0</v>
      </c>
    </row>
    <row r="20">
      <c r="A20" s="4" t="s">
        <v>21</v>
      </c>
      <c r="B20" s="9">
        <v>122.0</v>
      </c>
      <c r="C20" s="10">
        <v>116.0</v>
      </c>
      <c r="D20" s="11">
        <v>139.0</v>
      </c>
      <c r="E20" s="10">
        <v>139.0</v>
      </c>
    </row>
    <row r="21">
      <c r="A21" s="4" t="s">
        <v>22</v>
      </c>
      <c r="B21" s="9">
        <v>128.0</v>
      </c>
      <c r="C21" s="10">
        <v>162.0</v>
      </c>
      <c r="D21" s="11">
        <v>175.0</v>
      </c>
      <c r="E21" s="10">
        <v>175.0</v>
      </c>
    </row>
    <row r="22">
      <c r="A22" s="4" t="s">
        <v>23</v>
      </c>
      <c r="B22" s="13">
        <v>97.0</v>
      </c>
      <c r="C22" s="14">
        <v>123.0</v>
      </c>
      <c r="D22" s="15">
        <v>154.0</v>
      </c>
      <c r="E22" s="14">
        <v>143.0</v>
      </c>
    </row>
    <row r="23">
      <c r="B23" s="4"/>
      <c r="C23" s="4"/>
    </row>
    <row r="24">
      <c r="B24" s="16" t="s">
        <v>24</v>
      </c>
      <c r="C24" s="4"/>
    </row>
    <row r="25">
      <c r="B25" s="16" t="s">
        <v>25</v>
      </c>
      <c r="C25" s="4"/>
      <c r="G25" s="17"/>
    </row>
    <row r="26">
      <c r="B26" s="4"/>
      <c r="C26" s="4"/>
      <c r="G26" s="17"/>
    </row>
    <row r="27">
      <c r="B27" s="4"/>
      <c r="C27" s="4"/>
      <c r="G27" s="17"/>
    </row>
    <row r="28">
      <c r="B28" s="4"/>
      <c r="C28" s="4"/>
    </row>
    <row r="29">
      <c r="B29" s="4"/>
      <c r="C29" s="4"/>
    </row>
    <row r="30">
      <c r="B30" s="4"/>
      <c r="C30" s="4"/>
      <c r="G30" s="4"/>
      <c r="H30" s="18"/>
      <c r="J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  <c r="G53" s="17"/>
    </row>
    <row r="54">
      <c r="B54" s="4"/>
      <c r="C54" s="4"/>
      <c r="G54" s="17"/>
    </row>
    <row r="55">
      <c r="B55" s="4"/>
      <c r="C55" s="4"/>
      <c r="G55" s="17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  <c r="G60" s="8"/>
      <c r="N60" s="8" t="s">
        <v>1</v>
      </c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90">
      <c r="B90" s="19"/>
      <c r="C90" s="19"/>
    </row>
    <row r="91">
      <c r="B91" s="20"/>
      <c r="C91" s="20"/>
    </row>
    <row r="92">
      <c r="B92" s="20"/>
      <c r="C92" s="20"/>
    </row>
    <row r="93">
      <c r="B93" s="21"/>
      <c r="C93" s="21"/>
    </row>
    <row r="94">
      <c r="B94" s="21"/>
      <c r="C94" s="2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sheetData>
    <row r="1">
      <c r="A1" s="22" t="s">
        <v>26</v>
      </c>
      <c r="B1" s="22"/>
      <c r="C1" s="23"/>
      <c r="D1" s="23"/>
      <c r="E1" s="4"/>
      <c r="F1" s="4"/>
      <c r="G1" s="4"/>
    </row>
    <row r="2">
      <c r="A2" s="22"/>
      <c r="B2" s="22" t="s">
        <v>27</v>
      </c>
      <c r="C2" s="22" t="s">
        <v>28</v>
      </c>
      <c r="D2" s="22" t="s">
        <v>29</v>
      </c>
      <c r="E2" s="24"/>
      <c r="F2" s="24"/>
      <c r="G2" s="24"/>
    </row>
    <row r="3">
      <c r="A3" s="22" t="s">
        <v>4</v>
      </c>
      <c r="B3" s="25">
        <v>59.07</v>
      </c>
      <c r="C3" s="25">
        <v>119.97</v>
      </c>
      <c r="D3" s="25">
        <v>29.46</v>
      </c>
    </row>
    <row r="4">
      <c r="A4" s="22" t="s">
        <v>5</v>
      </c>
      <c r="B4" s="25">
        <v>170.04</v>
      </c>
      <c r="C4" s="25">
        <v>100.2</v>
      </c>
      <c r="D4" s="25">
        <v>17.32</v>
      </c>
      <c r="E4" s="4"/>
      <c r="F4" s="4"/>
      <c r="G4" s="4"/>
    </row>
    <row r="5">
      <c r="A5" s="22" t="s">
        <v>6</v>
      </c>
      <c r="B5" s="25">
        <v>429.9</v>
      </c>
      <c r="C5" s="25">
        <v>182.3</v>
      </c>
      <c r="D5" s="25">
        <v>39.47</v>
      </c>
    </row>
    <row r="6">
      <c r="A6" s="22" t="s">
        <v>7</v>
      </c>
      <c r="B6" s="26">
        <v>516.31</v>
      </c>
      <c r="C6" s="26">
        <v>195.49</v>
      </c>
      <c r="D6" s="26">
        <v>36.97</v>
      </c>
      <c r="E6" s="4"/>
      <c r="F6" s="4"/>
      <c r="G6" s="4"/>
    </row>
    <row r="7">
      <c r="A7" s="22" t="s">
        <v>8</v>
      </c>
      <c r="B7" s="26">
        <v>135.86</v>
      </c>
      <c r="C7" s="26">
        <v>49.98</v>
      </c>
      <c r="D7" s="26">
        <v>48.48</v>
      </c>
    </row>
    <row r="8">
      <c r="A8" s="22" t="s">
        <v>9</v>
      </c>
      <c r="B8" s="27">
        <v>101.7739845207686</v>
      </c>
      <c r="C8" s="27">
        <v>61.237243569579455</v>
      </c>
      <c r="D8" s="27">
        <v>58.08040403899867</v>
      </c>
      <c r="E8" s="4"/>
      <c r="F8" s="4"/>
      <c r="G8" s="4"/>
    </row>
    <row r="9">
      <c r="A9" s="22" t="s">
        <v>10</v>
      </c>
      <c r="B9" s="27">
        <v>142.7526590936984</v>
      </c>
      <c r="C9" s="27">
        <v>106.54658095426376</v>
      </c>
      <c r="D9" s="27">
        <v>67.22164829874376</v>
      </c>
    </row>
    <row r="10">
      <c r="A10" s="22" t="s">
        <v>11</v>
      </c>
      <c r="B10" s="26">
        <v>312.07</v>
      </c>
      <c r="C10" s="26">
        <v>37.6069</v>
      </c>
      <c r="D10" s="26">
        <v>24.8997</v>
      </c>
      <c r="E10" s="4"/>
      <c r="F10" s="4"/>
      <c r="G10" s="4"/>
    </row>
    <row r="11">
      <c r="A11" s="22" t="s">
        <v>12</v>
      </c>
      <c r="B11" s="26">
        <v>403.739</v>
      </c>
      <c r="C11" s="26">
        <v>250.069</v>
      </c>
      <c r="D11" s="26">
        <v>147.335</v>
      </c>
    </row>
    <row r="12">
      <c r="A12" s="22" t="s">
        <v>6</v>
      </c>
      <c r="B12" s="26">
        <v>207.101</v>
      </c>
      <c r="C12" s="26">
        <v>152.296</v>
      </c>
      <c r="D12" s="26">
        <v>100.954</v>
      </c>
      <c r="E12" s="4"/>
      <c r="F12" s="4"/>
      <c r="G12" s="4"/>
    </row>
    <row r="13">
      <c r="A13" s="22" t="s">
        <v>30</v>
      </c>
      <c r="B13" s="26">
        <v>219.63</v>
      </c>
      <c r="C13" s="26">
        <v>196.57</v>
      </c>
      <c r="D13" s="26">
        <v>172.15</v>
      </c>
    </row>
    <row r="14">
      <c r="A14" s="22" t="s">
        <v>15</v>
      </c>
      <c r="B14" s="26">
        <v>108.94666</v>
      </c>
      <c r="C14" s="26">
        <v>71.2868</v>
      </c>
      <c r="D14" s="26">
        <v>83.7939</v>
      </c>
      <c r="E14" s="4"/>
      <c r="F14" s="4"/>
      <c r="G14" s="4"/>
    </row>
    <row r="15">
      <c r="A15" s="22" t="s">
        <v>16</v>
      </c>
      <c r="B15" s="26">
        <v>406.567</v>
      </c>
      <c r="C15" s="26">
        <v>288.668</v>
      </c>
      <c r="D15" s="26">
        <v>140.299</v>
      </c>
    </row>
    <row r="16">
      <c r="A16" s="22" t="s">
        <v>17</v>
      </c>
      <c r="B16" s="26">
        <v>78.8384</v>
      </c>
      <c r="C16" s="26">
        <v>47.258</v>
      </c>
      <c r="D16" s="26">
        <v>34.641</v>
      </c>
      <c r="E16" s="4"/>
      <c r="F16" s="4"/>
      <c r="G16" s="4"/>
    </row>
    <row r="17">
      <c r="A17" s="22" t="s">
        <v>18</v>
      </c>
      <c r="B17" s="26">
        <v>159.334</v>
      </c>
      <c r="C17" s="26">
        <v>69.8738</v>
      </c>
      <c r="D17" s="26">
        <v>34.785</v>
      </c>
    </row>
    <row r="18">
      <c r="A18" s="22" t="s">
        <v>19</v>
      </c>
      <c r="B18" s="26">
        <v>153.278</v>
      </c>
      <c r="C18" s="26">
        <v>30.4192</v>
      </c>
      <c r="D18" s="26">
        <v>28.3645</v>
      </c>
      <c r="E18" s="4"/>
      <c r="F18" s="4"/>
      <c r="G18" s="4"/>
    </row>
    <row r="19">
      <c r="A19" s="22" t="s">
        <v>20</v>
      </c>
      <c r="B19" s="26">
        <v>192.896</v>
      </c>
      <c r="C19" s="26">
        <v>86.5362</v>
      </c>
      <c r="D19" s="26">
        <v>15.9625</v>
      </c>
    </row>
    <row r="20">
      <c r="A20" s="22" t="s">
        <v>21</v>
      </c>
      <c r="B20" s="26">
        <v>784.307</v>
      </c>
      <c r="C20" s="26">
        <v>690.725</v>
      </c>
      <c r="D20" s="26">
        <v>130.217</v>
      </c>
      <c r="E20" s="4"/>
      <c r="F20" s="4"/>
      <c r="G20" s="4"/>
    </row>
    <row r="21">
      <c r="A21" s="22" t="s">
        <v>22</v>
      </c>
      <c r="B21" s="26">
        <v>465.061</v>
      </c>
      <c r="C21" s="26">
        <v>102.92</v>
      </c>
      <c r="D21" s="26">
        <v>39.952</v>
      </c>
    </row>
    <row r="22">
      <c r="A22" s="22" t="s">
        <v>23</v>
      </c>
      <c r="B22" s="28">
        <v>174.8299666572619</v>
      </c>
      <c r="C22" s="26">
        <v>120.62</v>
      </c>
      <c r="D22" s="28">
        <v>781.0249</v>
      </c>
      <c r="E22" s="4"/>
      <c r="F22" s="4"/>
      <c r="G22" s="4"/>
    </row>
    <row r="23">
      <c r="A23" s="22"/>
      <c r="B23" s="23"/>
      <c r="C23" s="23"/>
      <c r="D23" s="23"/>
    </row>
    <row r="24">
      <c r="A24" s="22" t="s">
        <v>31</v>
      </c>
      <c r="B24" s="29">
        <f t="shared" ref="B24:D24" si="1">AVERAGE(B3:B22)</f>
        <v>261.1152335</v>
      </c>
      <c r="C24" s="29">
        <f t="shared" si="1"/>
        <v>148.0286362</v>
      </c>
      <c r="D24" s="29">
        <f t="shared" si="1"/>
        <v>101.5690276</v>
      </c>
    </row>
    <row r="25">
      <c r="A25" s="22" t="s">
        <v>32</v>
      </c>
      <c r="B25" s="29">
        <f t="shared" ref="B25:D25" si="2">STDEV(B2:B22)</f>
        <v>185.2937172</v>
      </c>
      <c r="C25" s="29">
        <f t="shared" si="2"/>
        <v>146.3951015</v>
      </c>
      <c r="D25" s="29">
        <f t="shared" si="2"/>
        <v>166.8424413</v>
      </c>
      <c r="E25" s="4"/>
      <c r="F25" s="4"/>
      <c r="G25" s="4"/>
    </row>
    <row r="27">
      <c r="E27" s="4"/>
      <c r="F27" s="4"/>
      <c r="G27" s="4"/>
    </row>
    <row r="29">
      <c r="E29" s="4"/>
      <c r="F29" s="4"/>
      <c r="G29" s="4"/>
    </row>
    <row r="31">
      <c r="E31" s="4"/>
      <c r="F31" s="4"/>
      <c r="G31" s="4"/>
    </row>
    <row r="33">
      <c r="E33" s="4"/>
      <c r="F33" s="4"/>
      <c r="G33" s="4"/>
    </row>
    <row r="214">
      <c r="B214" s="30"/>
      <c r="D214" s="31"/>
    </row>
    <row r="215">
      <c r="B215" s="30"/>
      <c r="D215" s="31"/>
    </row>
    <row r="216">
      <c r="B216" s="30"/>
      <c r="D216" s="31"/>
    </row>
    <row r="217">
      <c r="B217" s="30"/>
      <c r="D217" s="31"/>
    </row>
    <row r="218">
      <c r="B218" s="30"/>
      <c r="D218" s="31"/>
    </row>
    <row r="219">
      <c r="B219" s="30"/>
      <c r="D219" s="31"/>
    </row>
    <row r="220">
      <c r="B220" s="30"/>
      <c r="D220" s="31"/>
    </row>
    <row r="221">
      <c r="B221" s="30"/>
      <c r="D221" s="31"/>
    </row>
    <row r="222">
      <c r="B222" s="30"/>
      <c r="D222" s="31"/>
    </row>
    <row r="223">
      <c r="B223" s="30"/>
      <c r="D223" s="31"/>
    </row>
    <row r="224">
      <c r="B224" s="30"/>
      <c r="D224" s="31"/>
    </row>
    <row r="225">
      <c r="B225" s="30"/>
      <c r="D225" s="31"/>
    </row>
    <row r="226">
      <c r="B226" s="30"/>
      <c r="D226" s="31"/>
    </row>
    <row r="227">
      <c r="B227" s="30"/>
      <c r="D227" s="31"/>
    </row>
    <row r="228">
      <c r="B228" s="30"/>
      <c r="D228" s="31"/>
    </row>
    <row r="229">
      <c r="B229" s="30"/>
      <c r="D229" s="31"/>
    </row>
    <row r="230">
      <c r="B230" s="30"/>
      <c r="D230" s="31"/>
    </row>
    <row r="231">
      <c r="B231" s="30"/>
      <c r="D231" s="31"/>
    </row>
    <row r="232">
      <c r="B232" s="30"/>
      <c r="D232" s="31"/>
    </row>
    <row r="233">
      <c r="B233" s="30"/>
      <c r="D233" s="31"/>
    </row>
    <row r="234">
      <c r="B234" s="30"/>
      <c r="D234" s="31"/>
    </row>
    <row r="235">
      <c r="B235" s="30"/>
      <c r="D235" s="31"/>
    </row>
    <row r="236">
      <c r="B236" s="30"/>
      <c r="D236" s="31"/>
    </row>
    <row r="237">
      <c r="B237" s="30"/>
      <c r="D237" s="31"/>
    </row>
    <row r="238">
      <c r="B238" s="30"/>
      <c r="D238" s="31"/>
    </row>
    <row r="239">
      <c r="B239" s="30"/>
      <c r="D239" s="31"/>
    </row>
    <row r="240">
      <c r="B240" s="30"/>
      <c r="D240" s="31"/>
    </row>
    <row r="241">
      <c r="B241" s="30"/>
      <c r="D241" s="31"/>
    </row>
    <row r="242">
      <c r="B242" s="30"/>
      <c r="D242" s="31"/>
    </row>
    <row r="243">
      <c r="B243" s="30"/>
      <c r="D243" s="31"/>
    </row>
    <row r="244">
      <c r="B244" s="30"/>
      <c r="D244" s="31"/>
    </row>
    <row r="245">
      <c r="B245" s="30"/>
      <c r="D245" s="31"/>
    </row>
    <row r="246">
      <c r="B246" s="30"/>
      <c r="D246" s="31"/>
    </row>
    <row r="247">
      <c r="B247" s="30"/>
      <c r="D247" s="31"/>
    </row>
    <row r="248">
      <c r="B248" s="30"/>
      <c r="D248" s="31"/>
    </row>
    <row r="249">
      <c r="B249" s="30"/>
      <c r="D249" s="31"/>
    </row>
    <row r="250">
      <c r="B250" s="30"/>
      <c r="D250" s="31"/>
    </row>
    <row r="251">
      <c r="B251" s="30"/>
      <c r="D251" s="31"/>
    </row>
    <row r="252">
      <c r="B252" s="30"/>
      <c r="D252" s="31"/>
    </row>
    <row r="253">
      <c r="B253" s="30"/>
      <c r="D253" s="31"/>
    </row>
    <row r="254">
      <c r="B254" s="30"/>
      <c r="D254" s="31"/>
    </row>
    <row r="255">
      <c r="B255" s="30"/>
      <c r="D255" s="31"/>
    </row>
    <row r="256">
      <c r="B256" s="30"/>
      <c r="D256" s="31"/>
    </row>
    <row r="257">
      <c r="B257" s="30"/>
      <c r="D257" s="31"/>
    </row>
    <row r="258">
      <c r="B258" s="30"/>
      <c r="D258" s="31"/>
    </row>
    <row r="259">
      <c r="B259" s="30"/>
      <c r="D259" s="31"/>
    </row>
    <row r="260">
      <c r="B260" s="30"/>
      <c r="D260" s="31"/>
    </row>
    <row r="261">
      <c r="B261" s="30"/>
      <c r="D261" s="31"/>
    </row>
    <row r="262">
      <c r="B262" s="30"/>
      <c r="D262" s="31"/>
    </row>
    <row r="263">
      <c r="B263" s="30"/>
      <c r="D263" s="31"/>
    </row>
    <row r="264">
      <c r="B264" s="30"/>
      <c r="D264" s="31"/>
    </row>
    <row r="265">
      <c r="B265" s="30"/>
      <c r="D265" s="31"/>
    </row>
    <row r="266">
      <c r="B266" s="30"/>
      <c r="D266" s="31"/>
    </row>
    <row r="267">
      <c r="B267" s="30"/>
      <c r="D267" s="31"/>
    </row>
    <row r="268">
      <c r="B268" s="30"/>
      <c r="D268" s="31"/>
    </row>
    <row r="269">
      <c r="B269" s="30"/>
      <c r="D269" s="31"/>
    </row>
    <row r="270">
      <c r="B270" s="30"/>
      <c r="D270" s="31"/>
    </row>
    <row r="271">
      <c r="B271" s="30"/>
      <c r="D271" s="31"/>
    </row>
    <row r="272">
      <c r="B272" s="30"/>
      <c r="D272" s="31"/>
    </row>
    <row r="273">
      <c r="B273" s="30"/>
      <c r="D273" s="31"/>
    </row>
    <row r="274">
      <c r="B274" s="30"/>
      <c r="D274" s="31"/>
    </row>
    <row r="275">
      <c r="B275" s="30"/>
      <c r="D275" s="31"/>
    </row>
    <row r="276">
      <c r="B276" s="30"/>
      <c r="D276" s="31"/>
    </row>
    <row r="277">
      <c r="B277" s="30"/>
      <c r="D277" s="31"/>
    </row>
    <row r="278">
      <c r="B278" s="30"/>
      <c r="D278" s="31"/>
    </row>
    <row r="279">
      <c r="B279" s="30"/>
      <c r="D279" s="31"/>
    </row>
    <row r="280">
      <c r="B280" s="30"/>
      <c r="D280" s="31"/>
    </row>
    <row r="281">
      <c r="B281" s="30"/>
      <c r="D281" s="31"/>
    </row>
    <row r="282">
      <c r="B282" s="30"/>
      <c r="D282" s="31"/>
    </row>
    <row r="283">
      <c r="B283" s="30"/>
      <c r="D283" s="31"/>
    </row>
    <row r="284">
      <c r="B284" s="30"/>
      <c r="D284" s="31"/>
    </row>
    <row r="285">
      <c r="B285" s="30"/>
      <c r="D285" s="31"/>
    </row>
    <row r="286">
      <c r="B286" s="30"/>
      <c r="D286" s="31"/>
    </row>
    <row r="287">
      <c r="B287" s="30"/>
      <c r="D287" s="31"/>
    </row>
    <row r="288">
      <c r="B288" s="30"/>
      <c r="D288" s="31"/>
    </row>
    <row r="289">
      <c r="B289" s="30"/>
      <c r="D289" s="31"/>
    </row>
    <row r="290">
      <c r="B290" s="30"/>
      <c r="D290" s="31"/>
    </row>
    <row r="291">
      <c r="B291" s="30"/>
      <c r="D291" s="31"/>
    </row>
    <row r="292">
      <c r="B292" s="30"/>
      <c r="D292" s="31"/>
    </row>
    <row r="293">
      <c r="B293" s="30"/>
      <c r="D293" s="31"/>
    </row>
    <row r="294">
      <c r="B294" s="30"/>
      <c r="D294" s="31"/>
    </row>
    <row r="295">
      <c r="B295" s="30"/>
      <c r="D295" s="31"/>
    </row>
    <row r="296">
      <c r="B296" s="30"/>
      <c r="D296" s="31"/>
    </row>
    <row r="297">
      <c r="B297" s="30"/>
      <c r="D297" s="31"/>
    </row>
    <row r="298">
      <c r="B298" s="30"/>
      <c r="D298" s="31"/>
    </row>
    <row r="299">
      <c r="B299" s="30"/>
      <c r="D299" s="31"/>
    </row>
    <row r="300">
      <c r="B300" s="30"/>
      <c r="D300" s="31"/>
    </row>
    <row r="301">
      <c r="B301" s="30"/>
      <c r="D301" s="31"/>
    </row>
    <row r="302">
      <c r="B302" s="30"/>
      <c r="D302" s="31"/>
    </row>
    <row r="303">
      <c r="B303" s="30"/>
      <c r="D303" s="31"/>
    </row>
    <row r="304">
      <c r="B304" s="30"/>
      <c r="D304" s="31"/>
    </row>
    <row r="305">
      <c r="B305" s="30"/>
      <c r="D305" s="31"/>
    </row>
    <row r="306">
      <c r="B306" s="30"/>
      <c r="D306" s="31"/>
    </row>
    <row r="307">
      <c r="B307" s="30"/>
      <c r="D307" s="31"/>
    </row>
    <row r="308">
      <c r="B308" s="30"/>
      <c r="D308" s="31"/>
    </row>
    <row r="309">
      <c r="B309" s="30"/>
      <c r="D309" s="31"/>
    </row>
    <row r="310">
      <c r="B310" s="30"/>
      <c r="D310" s="31"/>
    </row>
    <row r="311">
      <c r="B311" s="30"/>
      <c r="D311" s="31"/>
    </row>
    <row r="312">
      <c r="B312" s="30"/>
      <c r="D312" s="31"/>
    </row>
    <row r="313">
      <c r="B313" s="30"/>
      <c r="D313" s="31"/>
    </row>
    <row r="314">
      <c r="B314" s="30"/>
      <c r="D314" s="31"/>
    </row>
    <row r="315">
      <c r="B315" s="30"/>
      <c r="D315" s="31"/>
    </row>
    <row r="316">
      <c r="B316" s="30"/>
      <c r="D316" s="31"/>
    </row>
    <row r="317">
      <c r="B317" s="30"/>
      <c r="D317" s="31"/>
    </row>
    <row r="318">
      <c r="B318" s="30"/>
      <c r="D318" s="31"/>
    </row>
    <row r="319">
      <c r="B319" s="30"/>
      <c r="D319" s="31"/>
    </row>
    <row r="320">
      <c r="B320" s="30"/>
      <c r="D320" s="31"/>
    </row>
    <row r="321">
      <c r="B321" s="30"/>
      <c r="D321" s="31"/>
    </row>
    <row r="322">
      <c r="B322" s="30"/>
      <c r="D322" s="31"/>
    </row>
    <row r="323">
      <c r="B323" s="30"/>
      <c r="D323" s="31"/>
    </row>
    <row r="324">
      <c r="B324" s="30"/>
      <c r="D324" s="31"/>
    </row>
    <row r="325">
      <c r="B325" s="30"/>
      <c r="D325" s="31"/>
    </row>
    <row r="326">
      <c r="B326" s="30"/>
      <c r="D326" s="31"/>
    </row>
    <row r="327">
      <c r="B327" s="30"/>
      <c r="D327" s="31"/>
    </row>
    <row r="328">
      <c r="B328" s="30"/>
      <c r="D328" s="31"/>
    </row>
    <row r="329">
      <c r="B329" s="30"/>
      <c r="D329" s="31"/>
    </row>
    <row r="330">
      <c r="B330" s="30"/>
      <c r="D330" s="31"/>
    </row>
    <row r="331">
      <c r="B331" s="30"/>
      <c r="D331" s="31"/>
    </row>
    <row r="332">
      <c r="B332" s="30"/>
      <c r="D332" s="31"/>
    </row>
    <row r="333">
      <c r="B333" s="30"/>
      <c r="D333" s="31"/>
    </row>
    <row r="334">
      <c r="B334" s="30"/>
      <c r="D334" s="31"/>
    </row>
    <row r="335">
      <c r="B335" s="30"/>
      <c r="D335" s="31"/>
    </row>
    <row r="336">
      <c r="B336" s="30"/>
      <c r="D336" s="31"/>
    </row>
    <row r="337">
      <c r="B337" s="30"/>
      <c r="D337" s="31"/>
    </row>
    <row r="338">
      <c r="B338" s="30"/>
      <c r="D338" s="31"/>
    </row>
    <row r="339">
      <c r="B339" s="30"/>
      <c r="D339" s="31"/>
    </row>
    <row r="340">
      <c r="B340" s="30"/>
      <c r="D340" s="31"/>
    </row>
    <row r="341">
      <c r="B341" s="30"/>
      <c r="D341" s="31"/>
    </row>
    <row r="342">
      <c r="B342" s="30"/>
      <c r="D342" s="31"/>
    </row>
    <row r="343">
      <c r="B343" s="30"/>
      <c r="D343" s="31"/>
    </row>
    <row r="344">
      <c r="B344" s="30"/>
      <c r="D344" s="31"/>
    </row>
    <row r="345">
      <c r="B345" s="30"/>
      <c r="D345" s="31"/>
    </row>
    <row r="346">
      <c r="B346" s="30"/>
      <c r="D346" s="31"/>
    </row>
    <row r="347">
      <c r="B347" s="30"/>
      <c r="D347" s="31"/>
    </row>
    <row r="348">
      <c r="B348" s="30"/>
      <c r="D348" s="31"/>
    </row>
    <row r="349">
      <c r="B349" s="30"/>
      <c r="D349" s="31"/>
    </row>
    <row r="350">
      <c r="B350" s="30"/>
      <c r="D350" s="31"/>
    </row>
    <row r="351">
      <c r="B351" s="30"/>
      <c r="D351" s="31"/>
    </row>
    <row r="352">
      <c r="B352" s="30"/>
      <c r="D352" s="31"/>
    </row>
    <row r="353">
      <c r="B353" s="30"/>
      <c r="D353" s="31"/>
    </row>
    <row r="354">
      <c r="B354" s="30"/>
      <c r="D354" s="31"/>
    </row>
    <row r="355">
      <c r="B355" s="30"/>
      <c r="D355" s="31"/>
    </row>
    <row r="356">
      <c r="B356" s="30"/>
      <c r="D356" s="31"/>
    </row>
    <row r="357">
      <c r="B357" s="30"/>
      <c r="D357" s="31"/>
    </row>
    <row r="358">
      <c r="B358" s="30"/>
      <c r="D358" s="31"/>
    </row>
    <row r="359">
      <c r="B359" s="30"/>
      <c r="D359" s="31"/>
    </row>
    <row r="360">
      <c r="B360" s="30"/>
      <c r="D360" s="31"/>
    </row>
    <row r="361">
      <c r="B361" s="30"/>
      <c r="D361" s="31"/>
    </row>
    <row r="362">
      <c r="B362" s="30"/>
      <c r="D362" s="31"/>
    </row>
    <row r="363">
      <c r="B363" s="30"/>
      <c r="D363" s="31"/>
    </row>
    <row r="364">
      <c r="B364" s="30"/>
      <c r="D364" s="31"/>
    </row>
    <row r="365">
      <c r="B365" s="30"/>
      <c r="D365" s="31"/>
    </row>
    <row r="366">
      <c r="B366" s="30"/>
      <c r="D366" s="31"/>
    </row>
    <row r="367">
      <c r="B367" s="30"/>
      <c r="D367" s="31"/>
    </row>
    <row r="368">
      <c r="B368" s="30"/>
      <c r="D368" s="31"/>
    </row>
    <row r="369">
      <c r="B369" s="30"/>
      <c r="D369" s="31"/>
    </row>
    <row r="370">
      <c r="B370" s="30"/>
      <c r="D370" s="31"/>
    </row>
    <row r="371">
      <c r="B371" s="30"/>
      <c r="D371" s="31"/>
    </row>
    <row r="372">
      <c r="B372" s="30"/>
      <c r="D372" s="31"/>
    </row>
    <row r="373">
      <c r="B373" s="30"/>
      <c r="D373" s="31"/>
    </row>
    <row r="374">
      <c r="B374" s="30"/>
      <c r="D374" s="31"/>
    </row>
    <row r="375">
      <c r="B375" s="30"/>
      <c r="D375" s="31"/>
    </row>
    <row r="376">
      <c r="B376" s="30"/>
      <c r="D376" s="31"/>
    </row>
    <row r="377">
      <c r="B377" s="30"/>
      <c r="D377" s="31"/>
    </row>
    <row r="378">
      <c r="B378" s="30"/>
      <c r="D378" s="31"/>
    </row>
    <row r="379">
      <c r="B379" s="30"/>
      <c r="D379" s="31"/>
    </row>
    <row r="380">
      <c r="B380" s="30"/>
      <c r="D380" s="31"/>
    </row>
    <row r="381">
      <c r="B381" s="30"/>
      <c r="D381" s="31"/>
    </row>
    <row r="382">
      <c r="B382" s="30"/>
      <c r="D382" s="31"/>
    </row>
    <row r="383">
      <c r="B383" s="30"/>
      <c r="D383" s="31"/>
    </row>
    <row r="384">
      <c r="B384" s="30"/>
      <c r="D384" s="31"/>
    </row>
    <row r="385">
      <c r="B385" s="30"/>
      <c r="D385" s="31"/>
    </row>
    <row r="386">
      <c r="B386" s="30"/>
      <c r="D386" s="31"/>
    </row>
    <row r="387">
      <c r="B387" s="30"/>
      <c r="D387" s="31"/>
    </row>
    <row r="388">
      <c r="B388" s="30"/>
      <c r="D388" s="31"/>
    </row>
    <row r="389">
      <c r="B389" s="30"/>
      <c r="D389" s="31"/>
    </row>
    <row r="390">
      <c r="B390" s="30"/>
      <c r="D390" s="31"/>
    </row>
    <row r="391">
      <c r="B391" s="30"/>
      <c r="D391" s="31"/>
    </row>
    <row r="392">
      <c r="B392" s="30"/>
      <c r="D392" s="31"/>
    </row>
    <row r="393">
      <c r="B393" s="30"/>
      <c r="D393" s="31"/>
    </row>
    <row r="394">
      <c r="B394" s="30"/>
      <c r="D394" s="31"/>
    </row>
    <row r="395">
      <c r="B395" s="30"/>
      <c r="D395" s="31"/>
    </row>
    <row r="396">
      <c r="B396" s="30"/>
      <c r="D396" s="31"/>
    </row>
    <row r="397">
      <c r="B397" s="30"/>
      <c r="D397" s="31"/>
    </row>
    <row r="398">
      <c r="B398" s="30"/>
      <c r="D398" s="31"/>
    </row>
    <row r="399">
      <c r="B399" s="30"/>
      <c r="D399" s="31"/>
    </row>
    <row r="400">
      <c r="B400" s="30"/>
      <c r="D400" s="31"/>
    </row>
    <row r="401">
      <c r="B401" s="30"/>
      <c r="D401" s="31"/>
    </row>
    <row r="402">
      <c r="B402" s="30"/>
      <c r="D402" s="31"/>
    </row>
    <row r="403">
      <c r="B403" s="30"/>
      <c r="D403" s="31"/>
    </row>
    <row r="404">
      <c r="B404" s="30"/>
      <c r="D404" s="31"/>
    </row>
    <row r="405">
      <c r="B405" s="30"/>
      <c r="D405" s="31"/>
    </row>
    <row r="406">
      <c r="B406" s="30"/>
      <c r="D406" s="31"/>
    </row>
    <row r="407">
      <c r="B407" s="30"/>
      <c r="D407" s="31"/>
    </row>
    <row r="408">
      <c r="B408" s="30"/>
      <c r="D408" s="31"/>
    </row>
    <row r="409">
      <c r="B409" s="30"/>
      <c r="D409" s="31"/>
    </row>
    <row r="410">
      <c r="B410" s="30"/>
      <c r="D410" s="31"/>
    </row>
    <row r="411">
      <c r="B411" s="30"/>
      <c r="D411" s="31"/>
    </row>
    <row r="412">
      <c r="B412" s="30"/>
      <c r="D412" s="31"/>
    </row>
    <row r="413">
      <c r="B413" s="30"/>
      <c r="D413" s="31"/>
    </row>
    <row r="414">
      <c r="B414" s="30"/>
      <c r="D414" s="31"/>
    </row>
    <row r="415">
      <c r="B415" s="30"/>
      <c r="D415" s="31"/>
    </row>
    <row r="416">
      <c r="B416" s="30"/>
      <c r="D416" s="31"/>
    </row>
    <row r="417">
      <c r="B417" s="30"/>
      <c r="D417" s="31"/>
    </row>
    <row r="418">
      <c r="B418" s="30"/>
      <c r="D418" s="31"/>
    </row>
    <row r="419">
      <c r="B419" s="30"/>
      <c r="D419" s="31"/>
    </row>
    <row r="420">
      <c r="B420" s="30"/>
      <c r="D420" s="31"/>
    </row>
    <row r="421">
      <c r="B421" s="30"/>
      <c r="D421" s="31"/>
    </row>
    <row r="422">
      <c r="B422" s="30"/>
      <c r="D422" s="31"/>
    </row>
    <row r="423">
      <c r="B423" s="30"/>
      <c r="D423" s="31"/>
    </row>
    <row r="424">
      <c r="B424" s="30"/>
      <c r="D424" s="31"/>
    </row>
    <row r="425">
      <c r="B425" s="30"/>
      <c r="D425" s="31"/>
    </row>
    <row r="426">
      <c r="B426" s="30"/>
      <c r="D426" s="31"/>
    </row>
    <row r="427">
      <c r="B427" s="30"/>
      <c r="D427" s="31"/>
    </row>
    <row r="428">
      <c r="B428" s="30"/>
      <c r="D428" s="31"/>
    </row>
    <row r="429">
      <c r="B429" s="30"/>
      <c r="D429" s="31"/>
    </row>
    <row r="430">
      <c r="B430" s="30"/>
      <c r="D430" s="31"/>
    </row>
    <row r="431">
      <c r="B431" s="30"/>
      <c r="D431" s="31"/>
    </row>
    <row r="432">
      <c r="B432" s="30"/>
      <c r="D432" s="31"/>
    </row>
    <row r="433">
      <c r="B433" s="30"/>
      <c r="D433" s="31"/>
    </row>
    <row r="434">
      <c r="B434" s="30"/>
      <c r="D434" s="31"/>
    </row>
    <row r="435">
      <c r="B435" s="30"/>
      <c r="D435" s="31"/>
    </row>
    <row r="436">
      <c r="B436" s="30"/>
      <c r="D436" s="31"/>
    </row>
    <row r="437">
      <c r="B437" s="30"/>
      <c r="D437" s="31"/>
    </row>
    <row r="438">
      <c r="B438" s="30"/>
      <c r="D438" s="31"/>
    </row>
    <row r="439">
      <c r="B439" s="30"/>
      <c r="D439" s="31"/>
    </row>
    <row r="440">
      <c r="B440" s="30"/>
      <c r="D440" s="31"/>
    </row>
    <row r="441">
      <c r="B441" s="30"/>
      <c r="D441" s="31"/>
    </row>
    <row r="442">
      <c r="B442" s="30"/>
      <c r="D442" s="31"/>
    </row>
    <row r="443">
      <c r="B443" s="30"/>
      <c r="D443" s="31"/>
    </row>
    <row r="444">
      <c r="B444" s="30"/>
      <c r="D444" s="31"/>
    </row>
    <row r="445">
      <c r="B445" s="30"/>
      <c r="D445" s="31"/>
    </row>
    <row r="446">
      <c r="B446" s="30"/>
      <c r="D446" s="31"/>
    </row>
    <row r="447">
      <c r="B447" s="30"/>
      <c r="D447" s="31"/>
    </row>
    <row r="448">
      <c r="B448" s="30"/>
      <c r="D448" s="31"/>
    </row>
    <row r="449">
      <c r="B449" s="30"/>
      <c r="D449" s="31"/>
    </row>
    <row r="450">
      <c r="B450" s="30"/>
      <c r="D450" s="31"/>
    </row>
    <row r="451">
      <c r="B451" s="30"/>
      <c r="D451" s="31"/>
    </row>
    <row r="452">
      <c r="B452" s="30"/>
      <c r="D452" s="31"/>
    </row>
    <row r="453">
      <c r="B453" s="30"/>
      <c r="D453" s="31"/>
    </row>
    <row r="454">
      <c r="B454" s="30"/>
      <c r="D454" s="31"/>
    </row>
    <row r="455">
      <c r="B455" s="30"/>
      <c r="D455" s="31"/>
    </row>
    <row r="456">
      <c r="B456" s="30"/>
      <c r="D456" s="31"/>
    </row>
    <row r="457">
      <c r="B457" s="30"/>
      <c r="D457" s="31"/>
    </row>
    <row r="458">
      <c r="B458" s="30"/>
      <c r="D458" s="31"/>
    </row>
    <row r="459">
      <c r="B459" s="30"/>
      <c r="D459" s="31"/>
    </row>
    <row r="460">
      <c r="B460" s="30"/>
      <c r="D460" s="31"/>
    </row>
    <row r="461">
      <c r="B461" s="30"/>
      <c r="D461" s="31"/>
    </row>
    <row r="462">
      <c r="B462" s="30"/>
      <c r="D462" s="31"/>
    </row>
    <row r="463">
      <c r="B463" s="30"/>
      <c r="D463" s="31"/>
    </row>
    <row r="464">
      <c r="B464" s="30"/>
      <c r="D464" s="31"/>
    </row>
    <row r="465">
      <c r="B465" s="30"/>
      <c r="D465" s="31"/>
    </row>
    <row r="466">
      <c r="B466" s="30"/>
      <c r="D466" s="31"/>
    </row>
    <row r="467">
      <c r="B467" s="30"/>
      <c r="D467" s="31"/>
    </row>
    <row r="468">
      <c r="B468" s="30"/>
      <c r="D468" s="31"/>
    </row>
    <row r="469">
      <c r="B469" s="30"/>
      <c r="D469" s="31"/>
    </row>
    <row r="470">
      <c r="B470" s="30"/>
      <c r="D470" s="31"/>
    </row>
    <row r="471">
      <c r="B471" s="30"/>
      <c r="D471" s="31"/>
    </row>
    <row r="472">
      <c r="B472" s="30"/>
      <c r="D472" s="31"/>
    </row>
    <row r="473">
      <c r="B473" s="30"/>
      <c r="D473" s="31"/>
    </row>
    <row r="474">
      <c r="B474" s="30"/>
      <c r="D474" s="31"/>
    </row>
    <row r="475">
      <c r="B475" s="30"/>
      <c r="D475" s="31"/>
    </row>
    <row r="476">
      <c r="B476" s="30"/>
      <c r="D476" s="31"/>
    </row>
    <row r="477">
      <c r="B477" s="30"/>
      <c r="D477" s="31"/>
    </row>
    <row r="478">
      <c r="B478" s="30"/>
      <c r="D478" s="31"/>
    </row>
    <row r="479">
      <c r="B479" s="30"/>
      <c r="D479" s="31"/>
    </row>
    <row r="480">
      <c r="B480" s="30"/>
      <c r="D480" s="31"/>
    </row>
    <row r="481">
      <c r="B481" s="30"/>
      <c r="D481" s="31"/>
    </row>
    <row r="482">
      <c r="B482" s="30"/>
      <c r="D482" s="31"/>
    </row>
    <row r="483">
      <c r="B483" s="30"/>
      <c r="D483" s="31"/>
    </row>
    <row r="484">
      <c r="B484" s="30"/>
      <c r="D484" s="31"/>
    </row>
    <row r="485">
      <c r="B485" s="30"/>
      <c r="D485" s="31"/>
    </row>
    <row r="486">
      <c r="B486" s="30"/>
      <c r="D486" s="31"/>
    </row>
    <row r="487">
      <c r="B487" s="30"/>
      <c r="D487" s="31"/>
    </row>
    <row r="488">
      <c r="B488" s="30"/>
      <c r="D488" s="31"/>
    </row>
    <row r="489">
      <c r="B489" s="30"/>
      <c r="D489" s="31"/>
    </row>
    <row r="490">
      <c r="B490" s="30"/>
      <c r="D490" s="31"/>
    </row>
    <row r="491">
      <c r="B491" s="30"/>
      <c r="D491" s="31"/>
    </row>
    <row r="492">
      <c r="B492" s="30"/>
      <c r="D492" s="31"/>
    </row>
    <row r="493">
      <c r="B493" s="30"/>
      <c r="D493" s="31"/>
    </row>
    <row r="494">
      <c r="B494" s="30"/>
      <c r="D494" s="31"/>
    </row>
    <row r="495">
      <c r="B495" s="30"/>
      <c r="D495" s="31"/>
    </row>
    <row r="496">
      <c r="B496" s="30"/>
      <c r="D496" s="31"/>
    </row>
    <row r="497">
      <c r="B497" s="30"/>
      <c r="D497" s="31"/>
    </row>
    <row r="498">
      <c r="B498" s="30"/>
      <c r="D498" s="31"/>
    </row>
    <row r="499">
      <c r="B499" s="30"/>
      <c r="D499" s="31"/>
    </row>
    <row r="500">
      <c r="B500" s="30"/>
      <c r="D500" s="31"/>
    </row>
    <row r="501">
      <c r="B501" s="30"/>
      <c r="D501" s="31"/>
    </row>
    <row r="502">
      <c r="B502" s="30"/>
      <c r="D502" s="31"/>
    </row>
    <row r="503">
      <c r="B503" s="30"/>
      <c r="D503" s="31"/>
    </row>
    <row r="504">
      <c r="B504" s="30"/>
      <c r="D504" s="31"/>
    </row>
    <row r="505">
      <c r="B505" s="30"/>
      <c r="D505" s="31"/>
    </row>
    <row r="506">
      <c r="B506" s="30"/>
      <c r="D506" s="31"/>
    </row>
    <row r="507">
      <c r="B507" s="30"/>
      <c r="D507" s="31"/>
    </row>
    <row r="508">
      <c r="B508" s="30"/>
      <c r="D508" s="31"/>
    </row>
    <row r="509">
      <c r="B509" s="30"/>
      <c r="D509" s="31"/>
    </row>
    <row r="510">
      <c r="B510" s="30"/>
      <c r="D510" s="31"/>
    </row>
    <row r="511">
      <c r="B511" s="30"/>
      <c r="D511" s="31"/>
    </row>
    <row r="512">
      <c r="B512" s="30"/>
      <c r="D512" s="31"/>
    </row>
    <row r="513">
      <c r="B513" s="30"/>
      <c r="D513" s="31"/>
    </row>
    <row r="514">
      <c r="B514" s="30"/>
      <c r="D514" s="31"/>
    </row>
    <row r="515">
      <c r="B515" s="30"/>
      <c r="D515" s="31"/>
    </row>
    <row r="516">
      <c r="B516" s="30"/>
      <c r="D516" s="31"/>
    </row>
    <row r="517">
      <c r="B517" s="30"/>
      <c r="D517" s="31"/>
    </row>
    <row r="518">
      <c r="B518" s="30"/>
      <c r="D518" s="31"/>
    </row>
    <row r="519">
      <c r="B519" s="30"/>
      <c r="D519" s="31"/>
    </row>
    <row r="520">
      <c r="B520" s="30"/>
      <c r="D520" s="31"/>
    </row>
    <row r="521">
      <c r="B521" s="30"/>
      <c r="D521" s="31"/>
    </row>
    <row r="522">
      <c r="B522" s="30"/>
      <c r="D522" s="31"/>
    </row>
    <row r="523">
      <c r="B523" s="30"/>
      <c r="D523" s="31"/>
    </row>
    <row r="524">
      <c r="B524" s="30"/>
      <c r="D524" s="31"/>
    </row>
    <row r="525">
      <c r="B525" s="30"/>
      <c r="D525" s="31"/>
    </row>
    <row r="526">
      <c r="B526" s="30"/>
      <c r="D526" s="31"/>
    </row>
    <row r="527">
      <c r="B527" s="30"/>
      <c r="D527" s="31"/>
    </row>
    <row r="528">
      <c r="B528" s="30"/>
      <c r="D528" s="31"/>
    </row>
    <row r="529">
      <c r="B529" s="30"/>
      <c r="D529" s="31"/>
    </row>
    <row r="530">
      <c r="B530" s="30"/>
      <c r="D530" s="31"/>
    </row>
    <row r="531">
      <c r="B531" s="30"/>
      <c r="D531" s="31"/>
    </row>
    <row r="532">
      <c r="B532" s="30"/>
      <c r="D532" s="31"/>
    </row>
    <row r="533">
      <c r="B533" s="30"/>
      <c r="D533" s="31"/>
    </row>
    <row r="534">
      <c r="B534" s="30"/>
      <c r="D534" s="31"/>
    </row>
    <row r="535">
      <c r="B535" s="30"/>
      <c r="D535" s="31"/>
    </row>
    <row r="536">
      <c r="B536" s="30"/>
      <c r="D536" s="31"/>
    </row>
    <row r="537">
      <c r="B537" s="30"/>
      <c r="D537" s="31"/>
    </row>
    <row r="538">
      <c r="B538" s="30"/>
      <c r="D538" s="31"/>
    </row>
    <row r="539">
      <c r="B539" s="30"/>
      <c r="D539" s="31"/>
    </row>
    <row r="540">
      <c r="B540" s="30"/>
      <c r="D540" s="31"/>
    </row>
    <row r="541">
      <c r="B541" s="30"/>
      <c r="D541" s="31"/>
    </row>
    <row r="542">
      <c r="B542" s="30"/>
      <c r="D542" s="31"/>
    </row>
    <row r="543">
      <c r="B543" s="30"/>
      <c r="D543" s="31"/>
    </row>
    <row r="544">
      <c r="B544" s="30"/>
      <c r="D544" s="31"/>
    </row>
    <row r="545">
      <c r="B545" s="30"/>
      <c r="D545" s="31"/>
    </row>
    <row r="546">
      <c r="B546" s="30"/>
      <c r="D546" s="31"/>
    </row>
    <row r="547">
      <c r="B547" s="30"/>
      <c r="D547" s="31"/>
    </row>
    <row r="548">
      <c r="B548" s="30"/>
      <c r="D548" s="31"/>
    </row>
    <row r="549">
      <c r="B549" s="30"/>
      <c r="D549" s="31"/>
    </row>
    <row r="550">
      <c r="B550" s="30"/>
      <c r="D550" s="31"/>
    </row>
    <row r="551">
      <c r="B551" s="30"/>
      <c r="D551" s="31"/>
    </row>
    <row r="552">
      <c r="B552" s="30"/>
      <c r="D552" s="31"/>
    </row>
    <row r="553">
      <c r="B553" s="30"/>
      <c r="D553" s="31"/>
    </row>
    <row r="554">
      <c r="B554" s="30"/>
      <c r="D554" s="31"/>
    </row>
    <row r="555">
      <c r="B555" s="30"/>
      <c r="D555" s="31"/>
    </row>
    <row r="556">
      <c r="B556" s="30"/>
      <c r="D556" s="31"/>
    </row>
    <row r="557">
      <c r="B557" s="30"/>
      <c r="D557" s="31"/>
    </row>
    <row r="558">
      <c r="B558" s="30"/>
      <c r="D558" s="31"/>
    </row>
    <row r="559">
      <c r="B559" s="30"/>
      <c r="D559" s="31"/>
    </row>
    <row r="560">
      <c r="B560" s="30"/>
      <c r="D560" s="31"/>
    </row>
    <row r="561">
      <c r="B561" s="30"/>
      <c r="D561" s="31"/>
    </row>
    <row r="562">
      <c r="B562" s="30"/>
      <c r="D562" s="31"/>
    </row>
    <row r="563">
      <c r="B563" s="30"/>
      <c r="D563" s="31"/>
    </row>
    <row r="564">
      <c r="B564" s="30"/>
      <c r="D564" s="31"/>
    </row>
    <row r="565">
      <c r="B565" s="30"/>
      <c r="D565" s="31"/>
    </row>
    <row r="566">
      <c r="B566" s="30"/>
      <c r="D566" s="31"/>
    </row>
    <row r="567">
      <c r="B567" s="30"/>
      <c r="D567" s="31"/>
    </row>
    <row r="568">
      <c r="B568" s="30"/>
      <c r="D568" s="31"/>
    </row>
    <row r="569">
      <c r="B569" s="30"/>
      <c r="D569" s="31"/>
    </row>
    <row r="570">
      <c r="B570" s="30"/>
      <c r="D570" s="31"/>
    </row>
    <row r="571">
      <c r="B571" s="30"/>
      <c r="D571" s="31"/>
    </row>
    <row r="572">
      <c r="B572" s="30"/>
      <c r="D572" s="31"/>
    </row>
    <row r="573">
      <c r="B573" s="30"/>
      <c r="D573" s="31"/>
    </row>
    <row r="574">
      <c r="B574" s="30"/>
      <c r="D574" s="31"/>
    </row>
    <row r="575">
      <c r="B575" s="30"/>
      <c r="D575" s="31"/>
    </row>
    <row r="576">
      <c r="B576" s="30"/>
      <c r="D576" s="31"/>
    </row>
    <row r="577">
      <c r="B577" s="30"/>
      <c r="D577" s="31"/>
    </row>
    <row r="578">
      <c r="B578" s="30"/>
      <c r="D578" s="31"/>
    </row>
    <row r="579">
      <c r="B579" s="30"/>
      <c r="D579" s="31"/>
    </row>
    <row r="580">
      <c r="B580" s="30"/>
      <c r="D580" s="31"/>
    </row>
    <row r="581">
      <c r="B581" s="30"/>
      <c r="D581" s="31"/>
    </row>
    <row r="582">
      <c r="B582" s="30"/>
      <c r="D582" s="31"/>
    </row>
    <row r="583">
      <c r="B583" s="30"/>
      <c r="D583" s="31"/>
    </row>
    <row r="584">
      <c r="B584" s="30"/>
      <c r="D584" s="31"/>
    </row>
    <row r="585">
      <c r="B585" s="30"/>
      <c r="D585" s="31"/>
    </row>
    <row r="586">
      <c r="B586" s="30"/>
      <c r="D586" s="31"/>
    </row>
    <row r="587">
      <c r="B587" s="30"/>
      <c r="D587" s="31"/>
    </row>
    <row r="588">
      <c r="B588" s="30"/>
      <c r="D588" s="31"/>
    </row>
    <row r="589">
      <c r="B589" s="30"/>
      <c r="D589" s="31"/>
    </row>
    <row r="590">
      <c r="B590" s="30"/>
      <c r="D590" s="31"/>
    </row>
    <row r="591">
      <c r="B591" s="30"/>
      <c r="D591" s="31"/>
    </row>
    <row r="592">
      <c r="B592" s="30"/>
      <c r="D592" s="31"/>
    </row>
    <row r="593">
      <c r="B593" s="30"/>
      <c r="D593" s="31"/>
    </row>
    <row r="594">
      <c r="B594" s="30"/>
      <c r="D594" s="31"/>
    </row>
    <row r="595">
      <c r="B595" s="30"/>
      <c r="D595" s="31"/>
    </row>
    <row r="596">
      <c r="B596" s="30"/>
      <c r="D596" s="31"/>
    </row>
    <row r="597">
      <c r="B597" s="30"/>
      <c r="D597" s="31"/>
    </row>
    <row r="598">
      <c r="B598" s="30"/>
      <c r="D598" s="31"/>
    </row>
    <row r="599">
      <c r="B599" s="30"/>
      <c r="D599" s="31"/>
    </row>
    <row r="600">
      <c r="B600" s="30"/>
      <c r="D600" s="31"/>
    </row>
    <row r="601">
      <c r="B601" s="30"/>
      <c r="D601" s="31"/>
    </row>
    <row r="602">
      <c r="B602" s="30"/>
      <c r="D602" s="31"/>
    </row>
    <row r="603">
      <c r="B603" s="30"/>
      <c r="D603" s="31"/>
    </row>
    <row r="604">
      <c r="B604" s="30"/>
      <c r="D604" s="31"/>
    </row>
    <row r="605">
      <c r="B605" s="30"/>
      <c r="D605" s="31"/>
    </row>
    <row r="606">
      <c r="B606" s="30"/>
      <c r="D606" s="31"/>
    </row>
    <row r="607">
      <c r="B607" s="30"/>
      <c r="D607" s="31"/>
    </row>
    <row r="608">
      <c r="B608" s="30"/>
      <c r="D608" s="31"/>
    </row>
    <row r="609">
      <c r="B609" s="30"/>
      <c r="D609" s="31"/>
    </row>
    <row r="610">
      <c r="B610" s="30"/>
      <c r="D610" s="31"/>
    </row>
    <row r="611">
      <c r="B611" s="30"/>
      <c r="D611" s="31"/>
    </row>
    <row r="612">
      <c r="B612" s="30"/>
      <c r="D612" s="31"/>
    </row>
    <row r="613">
      <c r="B613" s="30"/>
      <c r="D613" s="31"/>
    </row>
    <row r="614">
      <c r="B614" s="30"/>
      <c r="D614" s="31"/>
    </row>
    <row r="615">
      <c r="B615" s="30"/>
      <c r="D615" s="31"/>
    </row>
    <row r="616">
      <c r="B616" s="30"/>
      <c r="D616" s="31"/>
    </row>
    <row r="617">
      <c r="B617" s="30"/>
      <c r="D617" s="31"/>
    </row>
    <row r="618">
      <c r="B618" s="30"/>
      <c r="D618" s="31"/>
    </row>
    <row r="619">
      <c r="B619" s="30"/>
      <c r="D619" s="31"/>
    </row>
    <row r="620">
      <c r="B620" s="30"/>
      <c r="D620" s="31"/>
    </row>
    <row r="621">
      <c r="B621" s="30"/>
      <c r="D621" s="31"/>
    </row>
    <row r="622">
      <c r="B622" s="30"/>
      <c r="D622" s="31"/>
    </row>
    <row r="623">
      <c r="B623" s="30"/>
      <c r="D623" s="31"/>
    </row>
    <row r="624">
      <c r="B624" s="30"/>
      <c r="D624" s="31"/>
    </row>
    <row r="625">
      <c r="B625" s="30"/>
      <c r="D625" s="31"/>
    </row>
    <row r="626">
      <c r="B626" s="30"/>
      <c r="D626" s="31"/>
    </row>
    <row r="627">
      <c r="B627" s="30"/>
      <c r="D627" s="31"/>
    </row>
    <row r="628">
      <c r="B628" s="30"/>
      <c r="D628" s="31"/>
    </row>
    <row r="629">
      <c r="B629" s="30"/>
      <c r="D629" s="31"/>
    </row>
    <row r="630">
      <c r="B630" s="30"/>
      <c r="D630" s="31"/>
    </row>
    <row r="631">
      <c r="B631" s="30"/>
      <c r="D631" s="31"/>
    </row>
    <row r="632">
      <c r="B632" s="30"/>
      <c r="D632" s="31"/>
    </row>
    <row r="633">
      <c r="B633" s="30"/>
      <c r="D633" s="31"/>
    </row>
    <row r="634">
      <c r="B634" s="30"/>
      <c r="D634" s="31"/>
    </row>
    <row r="635">
      <c r="B635" s="30"/>
      <c r="D635" s="31"/>
    </row>
    <row r="636">
      <c r="B636" s="30"/>
      <c r="D636" s="31"/>
    </row>
    <row r="637">
      <c r="B637" s="30"/>
      <c r="D637" s="31"/>
    </row>
    <row r="638">
      <c r="B638" s="30"/>
      <c r="D638" s="31"/>
    </row>
    <row r="639">
      <c r="B639" s="30"/>
      <c r="D639" s="31"/>
    </row>
    <row r="640">
      <c r="B640" s="30"/>
      <c r="D640" s="31"/>
    </row>
    <row r="641">
      <c r="B641" s="30"/>
      <c r="D641" s="31"/>
    </row>
    <row r="642">
      <c r="B642" s="30"/>
      <c r="D642" s="31"/>
    </row>
    <row r="643">
      <c r="B643" s="30"/>
      <c r="D643" s="31"/>
    </row>
    <row r="644">
      <c r="B644" s="30"/>
      <c r="D644" s="31"/>
    </row>
    <row r="645">
      <c r="B645" s="30"/>
      <c r="D645" s="31"/>
    </row>
    <row r="646">
      <c r="B646" s="30"/>
      <c r="D646" s="31"/>
    </row>
    <row r="647">
      <c r="B647" s="30"/>
      <c r="D647" s="31"/>
    </row>
    <row r="648">
      <c r="B648" s="30"/>
      <c r="D648" s="31"/>
    </row>
    <row r="649">
      <c r="B649" s="30"/>
      <c r="D649" s="31"/>
    </row>
    <row r="650">
      <c r="B650" s="30"/>
      <c r="D650" s="31"/>
    </row>
    <row r="651">
      <c r="B651" s="30"/>
      <c r="D651" s="31"/>
    </row>
    <row r="652">
      <c r="B652" s="30"/>
      <c r="D652" s="31"/>
    </row>
    <row r="653">
      <c r="B653" s="30"/>
      <c r="D653" s="31"/>
    </row>
    <row r="654">
      <c r="B654" s="30"/>
      <c r="D654" s="31"/>
    </row>
    <row r="655">
      <c r="B655" s="30"/>
      <c r="D655" s="31"/>
    </row>
    <row r="656">
      <c r="B656" s="30"/>
      <c r="D656" s="31"/>
    </row>
    <row r="657">
      <c r="B657" s="30"/>
      <c r="D657" s="31"/>
    </row>
    <row r="658">
      <c r="B658" s="30"/>
      <c r="D658" s="31"/>
    </row>
    <row r="659">
      <c r="B659" s="30"/>
      <c r="D659" s="31"/>
    </row>
    <row r="660">
      <c r="B660" s="30"/>
      <c r="D660" s="31"/>
    </row>
    <row r="661">
      <c r="B661" s="30"/>
      <c r="D661" s="31"/>
    </row>
    <row r="662">
      <c r="B662" s="30"/>
      <c r="D662" s="31"/>
    </row>
    <row r="663">
      <c r="B663" s="30"/>
      <c r="D663" s="31"/>
    </row>
    <row r="664">
      <c r="B664" s="30"/>
      <c r="D664" s="31"/>
    </row>
    <row r="665">
      <c r="B665" s="30"/>
      <c r="D665" s="31"/>
    </row>
    <row r="666">
      <c r="B666" s="30"/>
      <c r="D666" s="31"/>
    </row>
    <row r="667">
      <c r="B667" s="30"/>
      <c r="D667" s="31"/>
    </row>
    <row r="668">
      <c r="B668" s="30"/>
      <c r="D668" s="31"/>
    </row>
    <row r="669">
      <c r="B669" s="30"/>
      <c r="D669" s="31"/>
    </row>
    <row r="670">
      <c r="B670" s="30"/>
      <c r="D670" s="31"/>
    </row>
    <row r="671">
      <c r="B671" s="30"/>
      <c r="D671" s="31"/>
    </row>
    <row r="672">
      <c r="B672" s="30"/>
      <c r="D672" s="31"/>
    </row>
    <row r="673">
      <c r="B673" s="30"/>
      <c r="D673" s="31"/>
    </row>
    <row r="674">
      <c r="B674" s="30"/>
      <c r="D674" s="31"/>
    </row>
    <row r="675">
      <c r="B675" s="30"/>
      <c r="D675" s="31"/>
    </row>
    <row r="676">
      <c r="B676" s="30"/>
      <c r="D676" s="31"/>
    </row>
    <row r="677">
      <c r="B677" s="30"/>
      <c r="D677" s="31"/>
    </row>
    <row r="678">
      <c r="B678" s="30"/>
      <c r="D678" s="31"/>
    </row>
    <row r="679">
      <c r="B679" s="30"/>
      <c r="D679" s="31"/>
    </row>
    <row r="680">
      <c r="B680" s="30"/>
      <c r="D680" s="31"/>
    </row>
    <row r="681">
      <c r="B681" s="30"/>
      <c r="D681" s="31"/>
    </row>
    <row r="682">
      <c r="B682" s="30"/>
      <c r="D682" s="31"/>
    </row>
    <row r="683">
      <c r="B683" s="30"/>
      <c r="D683" s="31"/>
    </row>
    <row r="684">
      <c r="B684" s="30"/>
      <c r="D684" s="31"/>
    </row>
    <row r="685">
      <c r="B685" s="30"/>
      <c r="D685" s="31"/>
    </row>
    <row r="686">
      <c r="B686" s="30"/>
      <c r="D686" s="31"/>
    </row>
    <row r="687">
      <c r="B687" s="30"/>
      <c r="D687" s="31"/>
    </row>
    <row r="688">
      <c r="B688" s="30"/>
      <c r="D688" s="31"/>
    </row>
    <row r="689">
      <c r="B689" s="30"/>
      <c r="D689" s="31"/>
    </row>
    <row r="690">
      <c r="B690" s="30"/>
      <c r="D690" s="31"/>
    </row>
    <row r="691">
      <c r="B691" s="30"/>
      <c r="D691" s="31"/>
    </row>
    <row r="692">
      <c r="B692" s="30"/>
      <c r="D692" s="31"/>
    </row>
    <row r="693">
      <c r="B693" s="30"/>
      <c r="D693" s="31"/>
    </row>
    <row r="694">
      <c r="B694" s="30"/>
      <c r="D694" s="31"/>
    </row>
    <row r="695">
      <c r="B695" s="30"/>
      <c r="D695" s="31"/>
    </row>
    <row r="696">
      <c r="B696" s="30"/>
      <c r="D696" s="31"/>
    </row>
    <row r="697">
      <c r="B697" s="30"/>
      <c r="D697" s="31"/>
    </row>
    <row r="698">
      <c r="B698" s="30"/>
      <c r="D698" s="31"/>
    </row>
    <row r="699">
      <c r="B699" s="30"/>
      <c r="D699" s="31"/>
    </row>
    <row r="700">
      <c r="B700" s="30"/>
      <c r="D700" s="31"/>
    </row>
    <row r="701">
      <c r="B701" s="30"/>
      <c r="D701" s="31"/>
    </row>
    <row r="702">
      <c r="B702" s="30"/>
      <c r="D702" s="31"/>
    </row>
    <row r="703">
      <c r="B703" s="30"/>
      <c r="D703" s="31"/>
    </row>
    <row r="704">
      <c r="B704" s="30"/>
      <c r="D704" s="31"/>
    </row>
    <row r="705">
      <c r="B705" s="30"/>
      <c r="D705" s="31"/>
    </row>
    <row r="706">
      <c r="B706" s="30"/>
      <c r="D706" s="31"/>
    </row>
    <row r="707">
      <c r="B707" s="30"/>
      <c r="D707" s="31"/>
    </row>
    <row r="708">
      <c r="B708" s="30"/>
      <c r="D708" s="31"/>
    </row>
    <row r="709">
      <c r="B709" s="30"/>
      <c r="D709" s="31"/>
    </row>
    <row r="710">
      <c r="B710" s="30"/>
      <c r="D710" s="31"/>
    </row>
    <row r="711">
      <c r="B711" s="30"/>
      <c r="D711" s="31"/>
    </row>
    <row r="712">
      <c r="B712" s="30"/>
      <c r="D712" s="31"/>
    </row>
    <row r="713">
      <c r="B713" s="30"/>
      <c r="D713" s="31"/>
    </row>
    <row r="714">
      <c r="B714" s="30"/>
      <c r="D714" s="31"/>
    </row>
    <row r="715">
      <c r="B715" s="30"/>
      <c r="D715" s="31"/>
    </row>
    <row r="716">
      <c r="B716" s="30"/>
      <c r="D716" s="31"/>
    </row>
    <row r="717">
      <c r="B717" s="30"/>
      <c r="D717" s="31"/>
    </row>
    <row r="718">
      <c r="B718" s="30"/>
      <c r="D718" s="31"/>
    </row>
    <row r="719">
      <c r="B719" s="30"/>
      <c r="D719" s="31"/>
    </row>
    <row r="720">
      <c r="B720" s="30"/>
      <c r="D720" s="31"/>
    </row>
    <row r="721">
      <c r="B721" s="30"/>
      <c r="D721" s="31"/>
    </row>
    <row r="722">
      <c r="B722" s="30"/>
      <c r="D722" s="31"/>
    </row>
    <row r="723">
      <c r="B723" s="30"/>
      <c r="D723" s="31"/>
    </row>
    <row r="724">
      <c r="B724" s="30"/>
      <c r="D724" s="31"/>
    </row>
    <row r="725">
      <c r="B725" s="30"/>
      <c r="D725" s="31"/>
    </row>
    <row r="726">
      <c r="B726" s="30"/>
      <c r="D726" s="31"/>
    </row>
    <row r="727">
      <c r="B727" s="30"/>
      <c r="D727" s="31"/>
    </row>
    <row r="728">
      <c r="B728" s="30"/>
      <c r="D728" s="31"/>
    </row>
    <row r="729">
      <c r="B729" s="30"/>
      <c r="D729" s="31"/>
    </row>
    <row r="730">
      <c r="B730" s="30"/>
      <c r="D730" s="31"/>
    </row>
    <row r="731">
      <c r="B731" s="30"/>
      <c r="D731" s="31"/>
    </row>
    <row r="732">
      <c r="B732" s="30"/>
      <c r="D732" s="31"/>
    </row>
    <row r="733">
      <c r="B733" s="30"/>
      <c r="D733" s="31"/>
    </row>
    <row r="734">
      <c r="B734" s="30"/>
      <c r="D734" s="31"/>
    </row>
    <row r="735">
      <c r="B735" s="30"/>
      <c r="D735" s="31"/>
    </row>
    <row r="736">
      <c r="B736" s="30"/>
      <c r="D736" s="31"/>
    </row>
    <row r="737">
      <c r="B737" s="30"/>
      <c r="D737" s="31"/>
    </row>
    <row r="738">
      <c r="B738" s="30"/>
      <c r="D738" s="31"/>
    </row>
    <row r="739">
      <c r="B739" s="30"/>
      <c r="D739" s="31"/>
    </row>
    <row r="740">
      <c r="B740" s="30"/>
      <c r="D740" s="31"/>
    </row>
    <row r="741">
      <c r="B741" s="30"/>
      <c r="D741" s="31"/>
    </row>
    <row r="742">
      <c r="B742" s="30"/>
      <c r="D742" s="31"/>
    </row>
    <row r="743">
      <c r="B743" s="30"/>
      <c r="D743" s="31"/>
    </row>
    <row r="744">
      <c r="B744" s="30"/>
      <c r="D744" s="31"/>
    </row>
    <row r="745">
      <c r="B745" s="30"/>
      <c r="D745" s="31"/>
    </row>
    <row r="746">
      <c r="B746" s="30"/>
      <c r="D746" s="31"/>
    </row>
    <row r="747">
      <c r="B747" s="30"/>
      <c r="D747" s="31"/>
    </row>
    <row r="748">
      <c r="B748" s="30"/>
      <c r="D748" s="31"/>
    </row>
    <row r="749">
      <c r="B749" s="30"/>
      <c r="D749" s="31"/>
    </row>
    <row r="750">
      <c r="B750" s="30"/>
      <c r="D750" s="31"/>
    </row>
    <row r="751">
      <c r="B751" s="30"/>
      <c r="D751" s="31"/>
    </row>
    <row r="752">
      <c r="B752" s="30"/>
      <c r="D752" s="31"/>
    </row>
    <row r="753">
      <c r="B753" s="30"/>
      <c r="D753" s="31"/>
    </row>
    <row r="754">
      <c r="B754" s="30"/>
      <c r="D754" s="31"/>
    </row>
    <row r="755">
      <c r="B755" s="30"/>
      <c r="D755" s="31"/>
    </row>
    <row r="756">
      <c r="B756" s="30"/>
      <c r="D756" s="31"/>
    </row>
    <row r="757">
      <c r="B757" s="30"/>
      <c r="D757" s="31"/>
    </row>
    <row r="758">
      <c r="B758" s="30"/>
      <c r="D758" s="31"/>
    </row>
    <row r="759">
      <c r="B759" s="30"/>
      <c r="D759" s="31"/>
    </row>
    <row r="760">
      <c r="B760" s="30"/>
      <c r="D760" s="31"/>
    </row>
    <row r="761">
      <c r="B761" s="30"/>
      <c r="D761" s="31"/>
    </row>
    <row r="762">
      <c r="B762" s="30"/>
      <c r="D762" s="31"/>
    </row>
    <row r="763">
      <c r="B763" s="30"/>
      <c r="D763" s="31"/>
    </row>
    <row r="764">
      <c r="B764" s="30"/>
      <c r="D764" s="31"/>
    </row>
    <row r="765">
      <c r="B765" s="30"/>
      <c r="D765" s="31"/>
    </row>
    <row r="766">
      <c r="B766" s="30"/>
      <c r="D766" s="31"/>
    </row>
    <row r="767">
      <c r="B767" s="30"/>
      <c r="D767" s="31"/>
    </row>
    <row r="768">
      <c r="B768" s="30"/>
      <c r="D768" s="31"/>
    </row>
    <row r="769">
      <c r="B769" s="30"/>
      <c r="D769" s="31"/>
    </row>
    <row r="770">
      <c r="B770" s="30"/>
      <c r="D770" s="31"/>
    </row>
    <row r="771">
      <c r="B771" s="30"/>
      <c r="D771" s="31"/>
    </row>
    <row r="772">
      <c r="B772" s="30"/>
      <c r="D772" s="31"/>
    </row>
    <row r="773">
      <c r="B773" s="30"/>
      <c r="D773" s="31"/>
    </row>
    <row r="774">
      <c r="B774" s="30"/>
      <c r="D774" s="31"/>
    </row>
    <row r="775">
      <c r="B775" s="30"/>
      <c r="D775" s="31"/>
    </row>
    <row r="776">
      <c r="B776" s="30"/>
      <c r="D776" s="31"/>
    </row>
    <row r="777">
      <c r="B777" s="30"/>
      <c r="D777" s="31"/>
    </row>
    <row r="778">
      <c r="B778" s="30"/>
      <c r="D778" s="31"/>
    </row>
    <row r="779">
      <c r="B779" s="30"/>
      <c r="D779" s="31"/>
    </row>
    <row r="780">
      <c r="B780" s="30"/>
      <c r="D780" s="31"/>
    </row>
    <row r="781">
      <c r="B781" s="30"/>
      <c r="D781" s="31"/>
    </row>
    <row r="782">
      <c r="B782" s="30"/>
      <c r="D782" s="31"/>
    </row>
    <row r="783">
      <c r="B783" s="30"/>
      <c r="D783" s="31"/>
    </row>
    <row r="784">
      <c r="B784" s="30"/>
      <c r="D784" s="31"/>
    </row>
    <row r="785">
      <c r="B785" s="30"/>
      <c r="D785" s="31"/>
    </row>
    <row r="786">
      <c r="B786" s="30"/>
      <c r="D786" s="31"/>
    </row>
    <row r="787">
      <c r="B787" s="30"/>
      <c r="D787" s="31"/>
    </row>
    <row r="788">
      <c r="B788" s="30"/>
      <c r="D788" s="31"/>
    </row>
    <row r="789">
      <c r="B789" s="30"/>
      <c r="D789" s="31"/>
    </row>
    <row r="790">
      <c r="B790" s="30"/>
      <c r="D790" s="31"/>
    </row>
    <row r="791">
      <c r="B791" s="30"/>
      <c r="D791" s="31"/>
    </row>
    <row r="792">
      <c r="B792" s="30"/>
      <c r="D792" s="31"/>
    </row>
    <row r="793">
      <c r="B793" s="30"/>
      <c r="D793" s="31"/>
    </row>
    <row r="794">
      <c r="B794" s="30"/>
      <c r="D794" s="31"/>
    </row>
    <row r="795">
      <c r="B795" s="30"/>
      <c r="D795" s="31"/>
    </row>
    <row r="796">
      <c r="B796" s="30"/>
      <c r="D796" s="31"/>
    </row>
    <row r="797">
      <c r="B797" s="30"/>
      <c r="D797" s="31"/>
    </row>
    <row r="798">
      <c r="B798" s="30"/>
      <c r="D798" s="31"/>
    </row>
    <row r="799">
      <c r="B799" s="30"/>
      <c r="D799" s="31"/>
    </row>
    <row r="800">
      <c r="B800" s="30"/>
      <c r="D800" s="31"/>
    </row>
    <row r="801">
      <c r="B801" s="30"/>
      <c r="D801" s="31"/>
    </row>
    <row r="802">
      <c r="B802" s="30"/>
      <c r="D802" s="31"/>
    </row>
    <row r="803">
      <c r="B803" s="30"/>
      <c r="D803" s="31"/>
    </row>
    <row r="804">
      <c r="B804" s="30"/>
      <c r="D804" s="31"/>
    </row>
    <row r="805">
      <c r="B805" s="30"/>
      <c r="D805" s="31"/>
    </row>
    <row r="806">
      <c r="B806" s="30"/>
      <c r="D806" s="31"/>
    </row>
    <row r="807">
      <c r="B807" s="30"/>
      <c r="D807" s="31"/>
    </row>
    <row r="808">
      <c r="B808" s="30"/>
      <c r="D808" s="31"/>
    </row>
    <row r="809">
      <c r="B809" s="30"/>
      <c r="D809" s="31"/>
    </row>
    <row r="810">
      <c r="B810" s="30"/>
      <c r="D810" s="31"/>
    </row>
    <row r="811">
      <c r="B811" s="30"/>
      <c r="D811" s="31"/>
    </row>
    <row r="812">
      <c r="B812" s="30"/>
      <c r="D812" s="31"/>
    </row>
    <row r="813">
      <c r="B813" s="30"/>
      <c r="D813" s="31"/>
    </row>
    <row r="814">
      <c r="B814" s="30"/>
      <c r="D814" s="31"/>
    </row>
    <row r="815">
      <c r="B815" s="30"/>
      <c r="D815" s="31"/>
    </row>
    <row r="816">
      <c r="B816" s="30"/>
      <c r="D816" s="31"/>
    </row>
    <row r="817">
      <c r="B817" s="30"/>
      <c r="D817" s="31"/>
    </row>
    <row r="818">
      <c r="B818" s="30"/>
      <c r="D818" s="31"/>
    </row>
    <row r="819">
      <c r="B819" s="30"/>
      <c r="D819" s="31"/>
    </row>
    <row r="820">
      <c r="B820" s="30"/>
      <c r="D820" s="31"/>
    </row>
    <row r="821">
      <c r="B821" s="30"/>
      <c r="D821" s="31"/>
    </row>
    <row r="822">
      <c r="B822" s="30"/>
      <c r="D822" s="31"/>
    </row>
    <row r="823">
      <c r="B823" s="30"/>
      <c r="D823" s="31"/>
    </row>
    <row r="824">
      <c r="B824" s="30"/>
      <c r="D824" s="31"/>
    </row>
    <row r="825">
      <c r="B825" s="30"/>
      <c r="D825" s="31"/>
    </row>
    <row r="826">
      <c r="B826" s="30"/>
      <c r="D826" s="31"/>
    </row>
    <row r="827">
      <c r="B827" s="30"/>
      <c r="D827" s="31"/>
    </row>
    <row r="828">
      <c r="B828" s="30"/>
      <c r="D828" s="31"/>
    </row>
    <row r="829">
      <c r="B829" s="30"/>
      <c r="D829" s="31"/>
    </row>
    <row r="830">
      <c r="B830" s="30"/>
      <c r="D830" s="31"/>
    </row>
    <row r="831">
      <c r="B831" s="30"/>
      <c r="D831" s="31"/>
    </row>
    <row r="832">
      <c r="B832" s="30"/>
      <c r="D832" s="31"/>
    </row>
    <row r="833">
      <c r="B833" s="30"/>
      <c r="D833" s="31"/>
    </row>
    <row r="834">
      <c r="B834" s="30"/>
      <c r="D834" s="31"/>
    </row>
    <row r="835">
      <c r="B835" s="30"/>
      <c r="D835" s="31"/>
    </row>
    <row r="836">
      <c r="B836" s="30"/>
      <c r="D836" s="31"/>
    </row>
    <row r="837">
      <c r="B837" s="30"/>
      <c r="D837" s="31"/>
    </row>
    <row r="838">
      <c r="B838" s="30"/>
      <c r="D838" s="31"/>
    </row>
    <row r="839">
      <c r="B839" s="30"/>
      <c r="D839" s="31"/>
    </row>
    <row r="840">
      <c r="B840" s="30"/>
      <c r="D840" s="31"/>
    </row>
    <row r="841">
      <c r="B841" s="30"/>
      <c r="D841" s="31"/>
    </row>
    <row r="842">
      <c r="B842" s="30"/>
      <c r="D842" s="31"/>
    </row>
    <row r="843">
      <c r="B843" s="30"/>
      <c r="D843" s="31"/>
    </row>
    <row r="844">
      <c r="B844" s="30"/>
      <c r="D844" s="31"/>
    </row>
    <row r="845">
      <c r="B845" s="30"/>
      <c r="D845" s="31"/>
    </row>
    <row r="846">
      <c r="B846" s="30"/>
      <c r="D846" s="31"/>
    </row>
    <row r="847">
      <c r="B847" s="30"/>
      <c r="D847" s="31"/>
    </row>
    <row r="848">
      <c r="B848" s="30"/>
      <c r="D848" s="31"/>
    </row>
    <row r="849">
      <c r="B849" s="30"/>
      <c r="D849" s="31"/>
    </row>
    <row r="850">
      <c r="B850" s="30"/>
      <c r="D850" s="31"/>
    </row>
    <row r="851">
      <c r="B851" s="30"/>
      <c r="D851" s="31"/>
    </row>
    <row r="852">
      <c r="B852" s="30"/>
      <c r="D852" s="31"/>
    </row>
    <row r="853">
      <c r="B853" s="30"/>
      <c r="D853" s="31"/>
    </row>
    <row r="854">
      <c r="B854" s="30"/>
      <c r="D854" s="31"/>
    </row>
    <row r="855">
      <c r="B855" s="30"/>
      <c r="D855" s="31"/>
    </row>
    <row r="856">
      <c r="B856" s="30"/>
      <c r="D856" s="31"/>
    </row>
    <row r="857">
      <c r="B857" s="30"/>
      <c r="D857" s="31"/>
    </row>
    <row r="858">
      <c r="B858" s="30"/>
      <c r="D858" s="31"/>
    </row>
    <row r="859">
      <c r="B859" s="30"/>
      <c r="D859" s="31"/>
    </row>
    <row r="860">
      <c r="B860" s="30"/>
      <c r="D860" s="31"/>
    </row>
    <row r="861">
      <c r="B861" s="30"/>
      <c r="D861" s="31"/>
    </row>
    <row r="862">
      <c r="B862" s="30"/>
      <c r="D862" s="31"/>
    </row>
    <row r="863">
      <c r="B863" s="30"/>
      <c r="D863" s="31"/>
    </row>
    <row r="864">
      <c r="B864" s="30"/>
      <c r="D864" s="31"/>
    </row>
    <row r="865">
      <c r="B865" s="30"/>
      <c r="D865" s="31"/>
    </row>
    <row r="866">
      <c r="B866" s="30"/>
      <c r="D866" s="31"/>
    </row>
    <row r="867">
      <c r="B867" s="30"/>
      <c r="D867" s="31"/>
    </row>
    <row r="868">
      <c r="B868" s="30"/>
      <c r="D868" s="31"/>
    </row>
    <row r="869">
      <c r="B869" s="30"/>
      <c r="D869" s="31"/>
    </row>
    <row r="870">
      <c r="B870" s="30"/>
      <c r="D870" s="31"/>
    </row>
    <row r="871">
      <c r="B871" s="30"/>
      <c r="D871" s="31"/>
    </row>
    <row r="872">
      <c r="B872" s="30"/>
      <c r="D872" s="31"/>
    </row>
    <row r="873">
      <c r="B873" s="30"/>
      <c r="D873" s="31"/>
    </row>
    <row r="874">
      <c r="B874" s="30"/>
      <c r="D874" s="31"/>
    </row>
    <row r="875">
      <c r="B875" s="30"/>
      <c r="D875" s="31"/>
    </row>
    <row r="876">
      <c r="B876" s="30"/>
      <c r="D876" s="31"/>
    </row>
    <row r="877">
      <c r="B877" s="30"/>
      <c r="D877" s="31"/>
    </row>
    <row r="878">
      <c r="B878" s="30"/>
      <c r="D878" s="31"/>
    </row>
    <row r="879">
      <c r="B879" s="30"/>
      <c r="D879" s="31"/>
    </row>
    <row r="880">
      <c r="B880" s="30"/>
      <c r="D880" s="31"/>
    </row>
    <row r="881">
      <c r="B881" s="30"/>
      <c r="D881" s="31"/>
    </row>
    <row r="882">
      <c r="B882" s="30"/>
      <c r="D882" s="31"/>
    </row>
    <row r="883">
      <c r="B883" s="30"/>
      <c r="D883" s="31"/>
    </row>
    <row r="884">
      <c r="B884" s="30"/>
      <c r="D884" s="31"/>
    </row>
    <row r="885">
      <c r="B885" s="30"/>
      <c r="D885" s="31"/>
    </row>
    <row r="886">
      <c r="B886" s="30"/>
      <c r="D886" s="31"/>
    </row>
    <row r="887">
      <c r="B887" s="30"/>
      <c r="D887" s="31"/>
    </row>
    <row r="888">
      <c r="B888" s="30"/>
      <c r="D888" s="31"/>
    </row>
    <row r="889">
      <c r="B889" s="30"/>
      <c r="D889" s="31"/>
    </row>
    <row r="890">
      <c r="B890" s="30"/>
      <c r="D890" s="31"/>
    </row>
    <row r="891">
      <c r="B891" s="30"/>
      <c r="D891" s="31"/>
    </row>
    <row r="892">
      <c r="B892" s="30"/>
      <c r="D892" s="31"/>
    </row>
    <row r="893">
      <c r="B893" s="30"/>
      <c r="D893" s="31"/>
    </row>
    <row r="894">
      <c r="B894" s="30"/>
      <c r="D894" s="31"/>
    </row>
    <row r="895">
      <c r="B895" s="30"/>
      <c r="D895" s="31"/>
    </row>
    <row r="896">
      <c r="B896" s="30"/>
      <c r="D896" s="31"/>
    </row>
    <row r="897">
      <c r="B897" s="30"/>
      <c r="D897" s="31"/>
    </row>
    <row r="898">
      <c r="B898" s="30"/>
      <c r="D898" s="31"/>
    </row>
    <row r="899">
      <c r="B899" s="30"/>
      <c r="D899" s="31"/>
    </row>
    <row r="900">
      <c r="B900" s="30"/>
      <c r="D900" s="31"/>
    </row>
    <row r="901">
      <c r="B901" s="30"/>
      <c r="D901" s="31"/>
    </row>
    <row r="902">
      <c r="B902" s="30"/>
      <c r="D902" s="31"/>
    </row>
    <row r="903">
      <c r="B903" s="30"/>
      <c r="D903" s="31"/>
    </row>
    <row r="904">
      <c r="B904" s="30"/>
      <c r="D904" s="31"/>
    </row>
    <row r="905">
      <c r="B905" s="30"/>
      <c r="D905" s="31"/>
    </row>
    <row r="906">
      <c r="B906" s="30"/>
      <c r="D906" s="31"/>
    </row>
    <row r="907">
      <c r="B907" s="30"/>
      <c r="D907" s="31"/>
    </row>
    <row r="908">
      <c r="B908" s="30"/>
      <c r="D908" s="31"/>
    </row>
    <row r="909">
      <c r="B909" s="30"/>
      <c r="D909" s="31"/>
    </row>
    <row r="910">
      <c r="B910" s="30"/>
      <c r="D910" s="31"/>
    </row>
    <row r="911">
      <c r="B911" s="30"/>
      <c r="D911" s="31"/>
    </row>
    <row r="912">
      <c r="B912" s="30"/>
      <c r="D912" s="31"/>
    </row>
    <row r="913">
      <c r="B913" s="30"/>
      <c r="D913" s="31"/>
    </row>
    <row r="914">
      <c r="B914" s="30"/>
      <c r="D914" s="31"/>
    </row>
    <row r="915">
      <c r="B915" s="30"/>
      <c r="D915" s="31"/>
    </row>
    <row r="916">
      <c r="B916" s="30"/>
      <c r="D916" s="31"/>
    </row>
    <row r="917">
      <c r="B917" s="30"/>
      <c r="D917" s="31"/>
    </row>
    <row r="918">
      <c r="B918" s="30"/>
      <c r="D918" s="31"/>
    </row>
    <row r="919">
      <c r="B919" s="30"/>
      <c r="D919" s="31"/>
    </row>
    <row r="920">
      <c r="B920" s="30"/>
      <c r="D920" s="31"/>
    </row>
    <row r="921">
      <c r="B921" s="30"/>
      <c r="D921" s="31"/>
    </row>
    <row r="922">
      <c r="B922" s="30"/>
      <c r="D922" s="31"/>
    </row>
    <row r="923">
      <c r="B923" s="30"/>
      <c r="D923" s="31"/>
    </row>
    <row r="924">
      <c r="B924" s="30"/>
      <c r="D924" s="31"/>
    </row>
    <row r="925">
      <c r="B925" s="30"/>
      <c r="D925" s="31"/>
    </row>
    <row r="926">
      <c r="B926" s="30"/>
      <c r="D926" s="31"/>
    </row>
    <row r="927">
      <c r="B927" s="30"/>
      <c r="D927" s="31"/>
    </row>
    <row r="928">
      <c r="B928" s="30"/>
      <c r="D928" s="31"/>
    </row>
    <row r="929">
      <c r="B929" s="30"/>
      <c r="D929" s="31"/>
    </row>
    <row r="930">
      <c r="B930" s="30"/>
      <c r="D930" s="31"/>
    </row>
    <row r="931">
      <c r="B931" s="30"/>
      <c r="D931" s="31"/>
    </row>
    <row r="932">
      <c r="B932" s="30"/>
      <c r="D932" s="31"/>
    </row>
    <row r="933">
      <c r="B933" s="30"/>
      <c r="D933" s="31"/>
    </row>
    <row r="934">
      <c r="B934" s="30"/>
      <c r="D934" s="31"/>
    </row>
    <row r="935">
      <c r="B935" s="30"/>
      <c r="D935" s="31"/>
    </row>
    <row r="936">
      <c r="B936" s="30"/>
      <c r="D936" s="31"/>
    </row>
    <row r="937">
      <c r="B937" s="30"/>
      <c r="D937" s="31"/>
    </row>
    <row r="938">
      <c r="B938" s="30"/>
      <c r="D938" s="31"/>
    </row>
    <row r="939">
      <c r="B939" s="30"/>
      <c r="D939" s="31"/>
    </row>
    <row r="940">
      <c r="B940" s="30"/>
      <c r="D940" s="31"/>
    </row>
    <row r="941">
      <c r="B941" s="30"/>
      <c r="D941" s="31"/>
    </row>
    <row r="942">
      <c r="B942" s="30"/>
      <c r="D942" s="31"/>
    </row>
    <row r="943">
      <c r="B943" s="30"/>
      <c r="D943" s="31"/>
    </row>
    <row r="944">
      <c r="B944" s="30"/>
      <c r="D944" s="31"/>
    </row>
    <row r="945">
      <c r="B945" s="30"/>
      <c r="D945" s="31"/>
    </row>
    <row r="946">
      <c r="B946" s="30"/>
      <c r="D946" s="31"/>
    </row>
    <row r="947">
      <c r="B947" s="30"/>
      <c r="D947" s="31"/>
    </row>
    <row r="948">
      <c r="B948" s="30"/>
      <c r="D948" s="31"/>
    </row>
    <row r="949">
      <c r="B949" s="30"/>
      <c r="D949" s="31"/>
    </row>
    <row r="950">
      <c r="B950" s="30"/>
      <c r="D950" s="31"/>
    </row>
    <row r="951">
      <c r="B951" s="30"/>
      <c r="D951" s="31"/>
    </row>
    <row r="952">
      <c r="B952" s="30"/>
      <c r="D952" s="31"/>
    </row>
    <row r="953">
      <c r="B953" s="30"/>
      <c r="D953" s="31"/>
    </row>
    <row r="954">
      <c r="B954" s="30"/>
      <c r="D954" s="31"/>
    </row>
    <row r="955">
      <c r="B955" s="30"/>
      <c r="D955" s="31"/>
    </row>
    <row r="956">
      <c r="B956" s="30"/>
      <c r="D956" s="31"/>
    </row>
    <row r="957">
      <c r="B957" s="30"/>
      <c r="D957" s="31"/>
    </row>
    <row r="958">
      <c r="B958" s="30"/>
      <c r="D958" s="31"/>
    </row>
    <row r="959">
      <c r="B959" s="30"/>
      <c r="D959" s="31"/>
    </row>
    <row r="960">
      <c r="B960" s="30"/>
      <c r="D960" s="31"/>
    </row>
    <row r="961">
      <c r="B961" s="30"/>
      <c r="D961" s="31"/>
    </row>
    <row r="962">
      <c r="B962" s="30"/>
      <c r="D962" s="31"/>
    </row>
    <row r="963">
      <c r="B963" s="30"/>
      <c r="D963" s="31"/>
    </row>
    <row r="964">
      <c r="B964" s="30"/>
      <c r="D964" s="31"/>
    </row>
    <row r="965">
      <c r="B965" s="30"/>
      <c r="D965" s="31"/>
    </row>
    <row r="966">
      <c r="B966" s="30"/>
      <c r="D966" s="31"/>
    </row>
    <row r="967">
      <c r="B967" s="30"/>
      <c r="D967" s="31"/>
    </row>
    <row r="968">
      <c r="B968" s="30"/>
      <c r="D968" s="31"/>
    </row>
    <row r="969">
      <c r="B969" s="30"/>
      <c r="D969" s="31"/>
    </row>
    <row r="970">
      <c r="B970" s="30"/>
      <c r="D970" s="31"/>
    </row>
    <row r="971">
      <c r="B971" s="30"/>
      <c r="D971" s="31"/>
    </row>
    <row r="972">
      <c r="B972" s="30"/>
      <c r="D972" s="31"/>
    </row>
    <row r="973">
      <c r="B973" s="30"/>
      <c r="D973" s="31"/>
    </row>
    <row r="974">
      <c r="B974" s="30"/>
      <c r="D974" s="31"/>
    </row>
    <row r="975">
      <c r="B975" s="30"/>
      <c r="D975" s="31"/>
    </row>
    <row r="976">
      <c r="B976" s="30"/>
      <c r="D976" s="31"/>
    </row>
    <row r="977">
      <c r="B977" s="30"/>
      <c r="D977" s="31"/>
    </row>
    <row r="978">
      <c r="B978" s="30"/>
      <c r="D978" s="31"/>
    </row>
    <row r="979">
      <c r="B979" s="30"/>
      <c r="D979" s="31"/>
    </row>
    <row r="980">
      <c r="B980" s="30"/>
      <c r="D980" s="31"/>
    </row>
    <row r="981">
      <c r="B981" s="30"/>
      <c r="D981" s="31"/>
    </row>
    <row r="982">
      <c r="B982" s="30"/>
      <c r="D982" s="31"/>
    </row>
    <row r="983">
      <c r="B983" s="30"/>
      <c r="D983" s="31"/>
    </row>
    <row r="984">
      <c r="B984" s="30"/>
      <c r="D984" s="31"/>
    </row>
    <row r="985">
      <c r="B985" s="30"/>
      <c r="D985" s="31"/>
    </row>
    <row r="986">
      <c r="B986" s="30"/>
      <c r="D986" s="31"/>
    </row>
    <row r="987">
      <c r="B987" s="30"/>
      <c r="D987" s="31"/>
    </row>
    <row r="988">
      <c r="B988" s="30"/>
      <c r="D988" s="31"/>
    </row>
    <row r="989">
      <c r="B989" s="30"/>
      <c r="D989" s="31"/>
    </row>
    <row r="990">
      <c r="B990" s="30"/>
      <c r="D990" s="31"/>
    </row>
    <row r="991">
      <c r="B991" s="30"/>
      <c r="D991" s="31"/>
    </row>
    <row r="992">
      <c r="B992" s="30"/>
      <c r="D992" s="31"/>
    </row>
    <row r="993">
      <c r="B993" s="30"/>
      <c r="D993" s="31"/>
    </row>
    <row r="994">
      <c r="B994" s="30"/>
      <c r="D994" s="31"/>
    </row>
    <row r="995">
      <c r="B995" s="30"/>
      <c r="D995" s="31"/>
    </row>
    <row r="996">
      <c r="B996" s="32"/>
      <c r="C996" s="33"/>
      <c r="D996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1.0"/>
    <col customWidth="1" min="6" max="20" width="6.63"/>
    <col customWidth="1" min="21" max="22" width="7.63"/>
    <col customWidth="1" min="23" max="24" width="6.63"/>
    <col customWidth="1" min="25" max="25" width="10.38"/>
    <col customWidth="1" min="26" max="48" width="6.63"/>
  </cols>
  <sheetData>
    <row r="1" ht="14.25" customHeight="1">
      <c r="A1" s="35"/>
    </row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/>
      <c r="V2" s="8" t="s">
        <v>52</v>
      </c>
      <c r="W2" s="8"/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  <c r="Y3" s="37">
        <v>21863.0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8">
        <v>0.17222222222222222</v>
      </c>
      <c r="B5" s="36">
        <v>0.0</v>
      </c>
      <c r="C5" s="36">
        <v>6.5</v>
      </c>
      <c r="D5" s="36">
        <v>633.0</v>
      </c>
      <c r="E5" s="36">
        <v>578.0</v>
      </c>
      <c r="F5" s="36">
        <v>0.91</v>
      </c>
      <c r="G5" s="36">
        <v>22.0</v>
      </c>
      <c r="H5" s="36">
        <v>0.89</v>
      </c>
      <c r="I5" s="36">
        <v>19.4</v>
      </c>
      <c r="J5" s="36">
        <v>89.1</v>
      </c>
      <c r="K5" s="36">
        <v>81.0</v>
      </c>
      <c r="L5" s="36">
        <v>52.2</v>
      </c>
      <c r="M5" s="36">
        <v>108.0</v>
      </c>
      <c r="N5" s="36">
        <v>39.0</v>
      </c>
      <c r="O5" s="36">
        <v>22.0</v>
      </c>
      <c r="P5" s="36">
        <v>22.0</v>
      </c>
      <c r="Q5" s="36">
        <v>0.43</v>
      </c>
      <c r="R5" s="36">
        <v>1.18</v>
      </c>
      <c r="S5" s="36">
        <v>1.57</v>
      </c>
      <c r="T5" s="36">
        <v>2.74</v>
      </c>
      <c r="U5" s="21">
        <f t="shared" ref="U5:U130" si="1">T5*1000</f>
        <v>2740</v>
      </c>
      <c r="V5" s="21">
        <f t="shared" ref="V5:V129" si="2">(U5-U6)^2</f>
        <v>400</v>
      </c>
      <c r="W5" s="21">
        <f>STDEV(T5:T130)/AVERAGE(T5:T130)</f>
        <v>0.04297518035</v>
      </c>
      <c r="Z5" s="8"/>
    </row>
    <row r="6" ht="14.25" customHeight="1">
      <c r="A6" s="38">
        <v>0.17430555555555555</v>
      </c>
      <c r="B6" s="36">
        <v>0.0</v>
      </c>
      <c r="C6" s="36">
        <v>6.6</v>
      </c>
      <c r="D6" s="36">
        <v>638.0</v>
      </c>
      <c r="E6" s="36">
        <v>578.0</v>
      </c>
      <c r="F6" s="36">
        <v>0.91</v>
      </c>
      <c r="G6" s="36">
        <v>22.0</v>
      </c>
      <c r="H6" s="36">
        <v>0.87</v>
      </c>
      <c r="I6" s="36">
        <v>19.3</v>
      </c>
      <c r="J6" s="36">
        <v>89.2</v>
      </c>
      <c r="K6" s="36">
        <v>83.0</v>
      </c>
      <c r="L6" s="36">
        <v>51.3</v>
      </c>
      <c r="M6" s="36">
        <v>108.0</v>
      </c>
      <c r="N6" s="36">
        <v>39.0</v>
      </c>
      <c r="O6" s="36">
        <v>22.0</v>
      </c>
      <c r="P6" s="36">
        <v>22.0</v>
      </c>
      <c r="Q6" s="36">
        <v>0.43</v>
      </c>
      <c r="R6" s="36">
        <v>1.16</v>
      </c>
      <c r="S6" s="36">
        <v>1.56</v>
      </c>
      <c r="T6" s="36">
        <v>2.72</v>
      </c>
      <c r="U6" s="21">
        <f t="shared" si="1"/>
        <v>2720</v>
      </c>
      <c r="V6" s="21">
        <f t="shared" si="2"/>
        <v>10000</v>
      </c>
      <c r="X6" s="8"/>
      <c r="Y6" s="8"/>
    </row>
    <row r="7" ht="14.25" customHeight="1">
      <c r="A7" s="38">
        <v>0.1763888888888889</v>
      </c>
      <c r="B7" s="36">
        <v>0.0</v>
      </c>
      <c r="C7" s="36">
        <v>7.0</v>
      </c>
      <c r="D7" s="36">
        <v>676.0</v>
      </c>
      <c r="E7" s="36">
        <v>609.0</v>
      </c>
      <c r="F7" s="36">
        <v>0.9</v>
      </c>
      <c r="G7" s="36">
        <v>21.0</v>
      </c>
      <c r="H7" s="36">
        <v>0.94</v>
      </c>
      <c r="I7" s="36">
        <v>20.0</v>
      </c>
      <c r="J7" s="36">
        <v>88.8</v>
      </c>
      <c r="K7" s="36">
        <v>83.0</v>
      </c>
      <c r="L7" s="36">
        <v>51.1</v>
      </c>
      <c r="M7" s="36">
        <v>107.0</v>
      </c>
      <c r="N7" s="36">
        <v>39.0</v>
      </c>
      <c r="O7" s="36">
        <v>21.0</v>
      </c>
      <c r="P7" s="36">
        <v>23.0</v>
      </c>
      <c r="Q7" s="36">
        <v>0.43</v>
      </c>
      <c r="R7" s="36">
        <v>1.21</v>
      </c>
      <c r="S7" s="36">
        <v>1.61</v>
      </c>
      <c r="T7" s="36">
        <v>2.82</v>
      </c>
      <c r="U7" s="21">
        <f t="shared" si="1"/>
        <v>2820</v>
      </c>
      <c r="V7" s="21">
        <f t="shared" si="2"/>
        <v>900</v>
      </c>
      <c r="X7" s="8"/>
      <c r="Y7" s="8"/>
    </row>
    <row r="8" ht="14.25" customHeight="1">
      <c r="A8" s="38">
        <v>0.17847222222222223</v>
      </c>
      <c r="B8" s="36">
        <v>1.0</v>
      </c>
      <c r="C8" s="36">
        <v>7.4</v>
      </c>
      <c r="D8" s="36">
        <v>719.0</v>
      </c>
      <c r="E8" s="36">
        <v>644.0</v>
      </c>
      <c r="F8" s="36">
        <v>0.9</v>
      </c>
      <c r="G8" s="36">
        <v>21.0</v>
      </c>
      <c r="H8" s="36">
        <v>0.99</v>
      </c>
      <c r="I8" s="36">
        <v>20.8</v>
      </c>
      <c r="J8" s="36">
        <v>88.3</v>
      </c>
      <c r="K8" s="36">
        <v>83.0</v>
      </c>
      <c r="L8" s="36">
        <v>51.1</v>
      </c>
      <c r="M8" s="36">
        <v>107.0</v>
      </c>
      <c r="N8" s="36">
        <v>39.0</v>
      </c>
      <c r="O8" s="36">
        <v>21.0</v>
      </c>
      <c r="P8" s="36">
        <v>25.0</v>
      </c>
      <c r="Q8" s="36">
        <v>0.44</v>
      </c>
      <c r="R8" s="36">
        <v>1.24</v>
      </c>
      <c r="S8" s="36">
        <v>1.6</v>
      </c>
      <c r="T8" s="36">
        <v>2.85</v>
      </c>
      <c r="U8" s="21">
        <f t="shared" si="1"/>
        <v>2850</v>
      </c>
      <c r="V8" s="21">
        <f t="shared" si="2"/>
        <v>900</v>
      </c>
      <c r="X8" s="8"/>
      <c r="Y8" s="8"/>
    </row>
    <row r="9" ht="14.25" customHeight="1">
      <c r="A9" s="38">
        <v>0.18055555555555555</v>
      </c>
      <c r="B9" s="36">
        <v>2.0</v>
      </c>
      <c r="C9" s="36">
        <v>7.5</v>
      </c>
      <c r="D9" s="36">
        <v>726.0</v>
      </c>
      <c r="E9" s="36">
        <v>651.0</v>
      </c>
      <c r="F9" s="36">
        <v>0.9</v>
      </c>
      <c r="G9" s="36">
        <v>21.0</v>
      </c>
      <c r="H9" s="36">
        <v>1.01</v>
      </c>
      <c r="I9" s="36">
        <v>21.0</v>
      </c>
      <c r="J9" s="36">
        <v>88.2</v>
      </c>
      <c r="K9" s="36">
        <v>83.0</v>
      </c>
      <c r="L9" s="36">
        <v>51.4</v>
      </c>
      <c r="M9" s="36">
        <v>107.0</v>
      </c>
      <c r="N9" s="36">
        <v>39.0</v>
      </c>
      <c r="O9" s="36">
        <v>21.0</v>
      </c>
      <c r="P9" s="36">
        <v>25.0</v>
      </c>
      <c r="Q9" s="36">
        <v>0.44</v>
      </c>
      <c r="R9" s="36">
        <v>1.26</v>
      </c>
      <c r="S9" s="36">
        <v>1.62</v>
      </c>
      <c r="T9" s="36">
        <v>2.88</v>
      </c>
      <c r="U9" s="21">
        <f t="shared" si="1"/>
        <v>2880</v>
      </c>
      <c r="V9" s="21">
        <f t="shared" si="2"/>
        <v>16900</v>
      </c>
    </row>
    <row r="10" ht="14.25" customHeight="1">
      <c r="A10" s="38">
        <v>0.18333333333333332</v>
      </c>
      <c r="B10" s="36">
        <v>3.0</v>
      </c>
      <c r="C10" s="36">
        <v>7.1</v>
      </c>
      <c r="D10" s="36">
        <v>684.0</v>
      </c>
      <c r="E10" s="36">
        <v>623.0</v>
      </c>
      <c r="F10" s="36">
        <v>0.91</v>
      </c>
      <c r="G10" s="36">
        <v>20.0</v>
      </c>
      <c r="H10" s="36">
        <v>1.02</v>
      </c>
      <c r="I10" s="36">
        <v>20.3</v>
      </c>
      <c r="J10" s="36">
        <v>88.6</v>
      </c>
      <c r="K10" s="36">
        <v>82.0</v>
      </c>
      <c r="L10" s="36">
        <v>51.8</v>
      </c>
      <c r="M10" s="36">
        <v>107.0</v>
      </c>
      <c r="N10" s="36">
        <v>39.0</v>
      </c>
      <c r="O10" s="36">
        <v>20.0</v>
      </c>
      <c r="P10" s="36">
        <v>24.0</v>
      </c>
      <c r="Q10" s="36">
        <v>0.43</v>
      </c>
      <c r="R10" s="36">
        <v>1.29</v>
      </c>
      <c r="S10" s="36">
        <v>1.73</v>
      </c>
      <c r="T10" s="36">
        <v>3.01</v>
      </c>
      <c r="U10" s="21">
        <f t="shared" si="1"/>
        <v>3010</v>
      </c>
      <c r="V10" s="21">
        <f t="shared" si="2"/>
        <v>400</v>
      </c>
    </row>
    <row r="11" ht="14.25" customHeight="1">
      <c r="A11" s="38">
        <v>0.18541666666666667</v>
      </c>
      <c r="B11" s="36">
        <v>4.0</v>
      </c>
      <c r="C11" s="36">
        <v>7.5</v>
      </c>
      <c r="D11" s="36">
        <v>724.0</v>
      </c>
      <c r="E11" s="36">
        <v>651.0</v>
      </c>
      <c r="F11" s="36">
        <v>0.9</v>
      </c>
      <c r="G11" s="36">
        <v>20.0</v>
      </c>
      <c r="H11" s="36">
        <v>1.03</v>
      </c>
      <c r="I11" s="36">
        <v>20.5</v>
      </c>
      <c r="J11" s="36">
        <v>88.5</v>
      </c>
      <c r="K11" s="36">
        <v>82.0</v>
      </c>
      <c r="L11" s="36">
        <v>51.8</v>
      </c>
      <c r="M11" s="36">
        <v>107.0</v>
      </c>
      <c r="N11" s="36">
        <v>40.0</v>
      </c>
      <c r="O11" s="36">
        <v>20.0</v>
      </c>
      <c r="P11" s="36">
        <v>25.0</v>
      </c>
      <c r="Q11" s="36">
        <v>0.4</v>
      </c>
      <c r="R11" s="36">
        <v>1.23</v>
      </c>
      <c r="S11" s="36">
        <v>1.81</v>
      </c>
      <c r="T11" s="36">
        <v>3.03</v>
      </c>
      <c r="U11" s="21">
        <f t="shared" si="1"/>
        <v>3030</v>
      </c>
      <c r="V11" s="21">
        <f t="shared" si="2"/>
        <v>0</v>
      </c>
    </row>
    <row r="12" ht="14.25" customHeight="1">
      <c r="A12" s="38">
        <v>0.1875</v>
      </c>
      <c r="B12" s="36">
        <v>5.0</v>
      </c>
      <c r="C12" s="36">
        <v>7.5</v>
      </c>
      <c r="D12" s="36">
        <v>726.0</v>
      </c>
      <c r="E12" s="36">
        <v>657.0</v>
      </c>
      <c r="F12" s="36">
        <v>0.91</v>
      </c>
      <c r="G12" s="36">
        <v>20.0</v>
      </c>
      <c r="H12" s="36">
        <v>1.05</v>
      </c>
      <c r="I12" s="36">
        <v>20.7</v>
      </c>
      <c r="J12" s="36">
        <v>88.4</v>
      </c>
      <c r="K12" s="36">
        <v>82.0</v>
      </c>
      <c r="L12" s="36">
        <v>51.8</v>
      </c>
      <c r="M12" s="36">
        <v>107.0</v>
      </c>
      <c r="N12" s="36">
        <v>40.0</v>
      </c>
      <c r="O12" s="36">
        <v>20.0</v>
      </c>
      <c r="P12" s="36">
        <v>25.0</v>
      </c>
      <c r="Q12" s="36">
        <v>0.4</v>
      </c>
      <c r="R12" s="36">
        <v>1.22</v>
      </c>
      <c r="S12" s="36">
        <v>1.82</v>
      </c>
      <c r="T12" s="36">
        <v>3.03</v>
      </c>
      <c r="U12" s="21">
        <f t="shared" si="1"/>
        <v>3030</v>
      </c>
      <c r="V12" s="21">
        <f t="shared" si="2"/>
        <v>100</v>
      </c>
    </row>
    <row r="13" ht="14.25" customHeight="1">
      <c r="A13" s="38">
        <v>0.18958333333333333</v>
      </c>
      <c r="B13" s="36">
        <v>6.0</v>
      </c>
      <c r="C13" s="36">
        <v>7.5</v>
      </c>
      <c r="D13" s="36">
        <v>730.0</v>
      </c>
      <c r="E13" s="36">
        <v>665.0</v>
      </c>
      <c r="F13" s="36">
        <v>0.91</v>
      </c>
      <c r="G13" s="36">
        <v>20.0</v>
      </c>
      <c r="H13" s="36">
        <v>1.06</v>
      </c>
      <c r="I13" s="36">
        <v>21.0</v>
      </c>
      <c r="J13" s="36">
        <v>88.2</v>
      </c>
      <c r="K13" s="36">
        <v>82.0</v>
      </c>
      <c r="L13" s="36">
        <v>51.8</v>
      </c>
      <c r="M13" s="36">
        <v>107.0</v>
      </c>
      <c r="N13" s="36">
        <v>39.0</v>
      </c>
      <c r="O13" s="36">
        <v>20.0</v>
      </c>
      <c r="P13" s="36">
        <v>25.0</v>
      </c>
      <c r="Q13" s="36">
        <v>0.4</v>
      </c>
      <c r="R13" s="36">
        <v>1.21</v>
      </c>
      <c r="S13" s="36">
        <v>1.8</v>
      </c>
      <c r="T13" s="36">
        <v>3.02</v>
      </c>
      <c r="U13" s="21">
        <f t="shared" si="1"/>
        <v>3020</v>
      </c>
      <c r="V13" s="21">
        <f t="shared" si="2"/>
        <v>3600</v>
      </c>
    </row>
    <row r="14" ht="14.25" customHeight="1">
      <c r="A14" s="38">
        <v>0.19166666666666668</v>
      </c>
      <c r="B14" s="36">
        <v>7.0</v>
      </c>
      <c r="C14" s="36">
        <v>7.6</v>
      </c>
      <c r="D14" s="36">
        <v>732.0</v>
      </c>
      <c r="E14" s="36">
        <v>672.0</v>
      </c>
      <c r="F14" s="36">
        <v>0.92</v>
      </c>
      <c r="G14" s="36">
        <v>20.0</v>
      </c>
      <c r="H14" s="36">
        <v>1.05</v>
      </c>
      <c r="I14" s="36">
        <v>21.3</v>
      </c>
      <c r="J14" s="36">
        <v>88.1</v>
      </c>
      <c r="K14" s="36">
        <v>82.0</v>
      </c>
      <c r="L14" s="36">
        <v>51.7</v>
      </c>
      <c r="M14" s="36">
        <v>107.0</v>
      </c>
      <c r="N14" s="36">
        <v>40.0</v>
      </c>
      <c r="O14" s="36">
        <v>20.0</v>
      </c>
      <c r="P14" s="36">
        <v>25.0</v>
      </c>
      <c r="Q14" s="36">
        <v>0.4</v>
      </c>
      <c r="R14" s="36">
        <v>1.18</v>
      </c>
      <c r="S14" s="36">
        <v>1.78</v>
      </c>
      <c r="T14" s="36">
        <v>2.96</v>
      </c>
      <c r="U14" s="21">
        <f t="shared" si="1"/>
        <v>2960</v>
      </c>
      <c r="V14" s="21">
        <f t="shared" si="2"/>
        <v>1600</v>
      </c>
    </row>
    <row r="15" ht="14.25" customHeight="1">
      <c r="A15" s="38">
        <v>0.19375</v>
      </c>
      <c r="B15" s="36">
        <v>8.0</v>
      </c>
      <c r="C15" s="36">
        <v>7.2</v>
      </c>
      <c r="D15" s="36">
        <v>700.0</v>
      </c>
      <c r="E15" s="36">
        <v>646.0</v>
      </c>
      <c r="F15" s="36">
        <v>0.92</v>
      </c>
      <c r="G15" s="36">
        <v>20.0</v>
      </c>
      <c r="H15" s="36">
        <v>1.03</v>
      </c>
      <c r="I15" s="36">
        <v>20.7</v>
      </c>
      <c r="J15" s="36">
        <v>88.4</v>
      </c>
      <c r="K15" s="36">
        <v>82.0</v>
      </c>
      <c r="L15" s="36">
        <v>51.7</v>
      </c>
      <c r="M15" s="36">
        <v>108.0</v>
      </c>
      <c r="N15" s="36">
        <v>39.0</v>
      </c>
      <c r="O15" s="36">
        <v>20.0</v>
      </c>
      <c r="P15" s="36">
        <v>24.0</v>
      </c>
      <c r="Q15" s="36">
        <v>0.4</v>
      </c>
      <c r="R15" s="36">
        <v>1.21</v>
      </c>
      <c r="S15" s="36">
        <v>1.79</v>
      </c>
      <c r="T15" s="36">
        <v>3.0</v>
      </c>
      <c r="U15" s="21">
        <f t="shared" si="1"/>
        <v>3000</v>
      </c>
      <c r="V15" s="21">
        <f t="shared" si="2"/>
        <v>2500</v>
      </c>
    </row>
    <row r="16" ht="14.25" customHeight="1">
      <c r="A16" s="38">
        <v>0.19583333333333333</v>
      </c>
      <c r="B16" s="36">
        <v>9.0</v>
      </c>
      <c r="C16" s="36">
        <v>7.2</v>
      </c>
      <c r="D16" s="36">
        <v>696.0</v>
      </c>
      <c r="E16" s="36">
        <v>657.0</v>
      </c>
      <c r="F16" s="36">
        <v>0.94</v>
      </c>
      <c r="G16" s="36">
        <v>20.0</v>
      </c>
      <c r="H16" s="36">
        <v>1.06</v>
      </c>
      <c r="I16" s="36">
        <v>20.8</v>
      </c>
      <c r="J16" s="36">
        <v>88.3</v>
      </c>
      <c r="K16" s="36">
        <v>82.0</v>
      </c>
      <c r="L16" s="36">
        <v>51.7</v>
      </c>
      <c r="M16" s="36">
        <v>107.0</v>
      </c>
      <c r="N16" s="36">
        <v>40.0</v>
      </c>
      <c r="O16" s="36">
        <v>20.0</v>
      </c>
      <c r="P16" s="36">
        <v>24.0</v>
      </c>
      <c r="Q16" s="36">
        <v>0.4</v>
      </c>
      <c r="R16" s="36">
        <v>1.22</v>
      </c>
      <c r="S16" s="36">
        <v>1.84</v>
      </c>
      <c r="T16" s="36">
        <v>3.05</v>
      </c>
      <c r="U16" s="21">
        <f t="shared" si="1"/>
        <v>3050</v>
      </c>
      <c r="V16" s="21">
        <f t="shared" si="2"/>
        <v>22500</v>
      </c>
    </row>
    <row r="17" ht="14.25" customHeight="1">
      <c r="A17" s="38">
        <v>0.19722222222222222</v>
      </c>
      <c r="B17" s="36">
        <v>10.0</v>
      </c>
      <c r="C17" s="36">
        <v>7.4</v>
      </c>
      <c r="D17" s="36">
        <v>719.0</v>
      </c>
      <c r="E17" s="36">
        <v>674.0</v>
      </c>
      <c r="F17" s="36">
        <v>0.94</v>
      </c>
      <c r="G17" s="36">
        <v>21.0</v>
      </c>
      <c r="H17" s="36">
        <v>1.03</v>
      </c>
      <c r="I17" s="36">
        <v>21.3</v>
      </c>
      <c r="J17" s="36">
        <v>88.1</v>
      </c>
      <c r="K17" s="36">
        <v>81.0</v>
      </c>
      <c r="L17" s="36">
        <v>52.2</v>
      </c>
      <c r="M17" s="36">
        <v>107.0</v>
      </c>
      <c r="N17" s="36">
        <v>40.0</v>
      </c>
      <c r="O17" s="36">
        <v>21.0</v>
      </c>
      <c r="P17" s="36">
        <v>25.0</v>
      </c>
      <c r="Q17" s="36">
        <v>0.39</v>
      </c>
      <c r="R17" s="36">
        <v>1.14</v>
      </c>
      <c r="S17" s="36">
        <v>1.76</v>
      </c>
      <c r="T17" s="36">
        <v>2.9</v>
      </c>
      <c r="U17" s="21">
        <f t="shared" si="1"/>
        <v>2900</v>
      </c>
      <c r="V17" s="21">
        <f t="shared" si="2"/>
        <v>12100</v>
      </c>
    </row>
    <row r="18" ht="14.25" customHeight="1">
      <c r="A18" s="38">
        <v>0.2</v>
      </c>
      <c r="B18" s="36">
        <v>11.0</v>
      </c>
      <c r="C18" s="36">
        <v>7.2</v>
      </c>
      <c r="D18" s="36">
        <v>703.0</v>
      </c>
      <c r="E18" s="36">
        <v>682.0</v>
      </c>
      <c r="F18" s="36">
        <v>0.97</v>
      </c>
      <c r="G18" s="36">
        <v>20.0</v>
      </c>
      <c r="H18" s="36">
        <v>1.1</v>
      </c>
      <c r="I18" s="36">
        <v>21.9</v>
      </c>
      <c r="J18" s="36">
        <v>87.7</v>
      </c>
      <c r="K18" s="36">
        <v>82.0</v>
      </c>
      <c r="L18" s="36">
        <v>51.8</v>
      </c>
      <c r="M18" s="36">
        <v>107.0</v>
      </c>
      <c r="N18" s="36">
        <v>40.0</v>
      </c>
      <c r="O18" s="36">
        <v>20.0</v>
      </c>
      <c r="P18" s="36">
        <v>24.0</v>
      </c>
      <c r="Q18" s="36">
        <v>0.44</v>
      </c>
      <c r="R18" s="36">
        <v>1.32</v>
      </c>
      <c r="S18" s="36">
        <v>1.69</v>
      </c>
      <c r="T18" s="36">
        <v>3.01</v>
      </c>
      <c r="U18" s="21">
        <f t="shared" si="1"/>
        <v>3010</v>
      </c>
      <c r="V18" s="21">
        <f t="shared" si="2"/>
        <v>3600</v>
      </c>
    </row>
    <row r="19" ht="14.25" customHeight="1">
      <c r="A19" s="38">
        <v>0.20208333333333334</v>
      </c>
      <c r="B19" s="36">
        <v>12.0</v>
      </c>
      <c r="C19" s="36">
        <v>7.1</v>
      </c>
      <c r="D19" s="36">
        <v>690.0</v>
      </c>
      <c r="E19" s="36">
        <v>678.0</v>
      </c>
      <c r="F19" s="36">
        <v>0.98</v>
      </c>
      <c r="G19" s="36">
        <v>20.0</v>
      </c>
      <c r="H19" s="36">
        <v>1.12</v>
      </c>
      <c r="I19" s="36">
        <v>21.9</v>
      </c>
      <c r="J19" s="36">
        <v>87.7</v>
      </c>
      <c r="K19" s="36">
        <v>82.0</v>
      </c>
      <c r="L19" s="36">
        <v>51.9</v>
      </c>
      <c r="M19" s="36">
        <v>108.0</v>
      </c>
      <c r="N19" s="36">
        <v>40.0</v>
      </c>
      <c r="O19" s="36">
        <v>20.0</v>
      </c>
      <c r="P19" s="36">
        <v>24.0</v>
      </c>
      <c r="Q19" s="36">
        <v>0.44</v>
      </c>
      <c r="R19" s="36">
        <v>1.34</v>
      </c>
      <c r="S19" s="36">
        <v>1.72</v>
      </c>
      <c r="T19" s="36">
        <v>3.07</v>
      </c>
      <c r="U19" s="21">
        <f t="shared" si="1"/>
        <v>3070</v>
      </c>
      <c r="V19" s="21">
        <f t="shared" si="2"/>
        <v>1600</v>
      </c>
    </row>
    <row r="20" ht="14.25" customHeight="1">
      <c r="A20" s="38">
        <v>0.20416666666666666</v>
      </c>
      <c r="B20" s="36">
        <v>13.0</v>
      </c>
      <c r="C20" s="36">
        <v>7.0</v>
      </c>
      <c r="D20" s="36">
        <v>676.0</v>
      </c>
      <c r="E20" s="36">
        <v>664.0</v>
      </c>
      <c r="F20" s="36">
        <v>0.98</v>
      </c>
      <c r="G20" s="36">
        <v>19.0</v>
      </c>
      <c r="H20" s="36">
        <v>1.11</v>
      </c>
      <c r="I20" s="36">
        <v>21.5</v>
      </c>
      <c r="J20" s="36">
        <v>87.9</v>
      </c>
      <c r="K20" s="36">
        <v>82.0</v>
      </c>
      <c r="L20" s="36">
        <v>52.0</v>
      </c>
      <c r="M20" s="36">
        <v>108.0</v>
      </c>
      <c r="N20" s="36">
        <v>40.0</v>
      </c>
      <c r="O20" s="36">
        <v>19.0</v>
      </c>
      <c r="P20" s="36">
        <v>24.0</v>
      </c>
      <c r="Q20" s="36">
        <v>0.42</v>
      </c>
      <c r="R20" s="36">
        <v>1.32</v>
      </c>
      <c r="S20" s="36">
        <v>1.79</v>
      </c>
      <c r="T20" s="36">
        <v>3.11</v>
      </c>
      <c r="U20" s="21">
        <f t="shared" si="1"/>
        <v>3110</v>
      </c>
      <c r="V20" s="21">
        <f t="shared" si="2"/>
        <v>0</v>
      </c>
    </row>
    <row r="21" ht="14.25" customHeight="1">
      <c r="A21" s="38">
        <v>0.20625</v>
      </c>
      <c r="B21" s="36">
        <v>14.0</v>
      </c>
      <c r="C21" s="36">
        <v>7.0</v>
      </c>
      <c r="D21" s="36">
        <v>676.0</v>
      </c>
      <c r="E21" s="36">
        <v>664.0</v>
      </c>
      <c r="F21" s="36">
        <v>0.98</v>
      </c>
      <c r="G21" s="36">
        <v>19.0</v>
      </c>
      <c r="H21" s="36">
        <v>1.11</v>
      </c>
      <c r="I21" s="36">
        <v>21.5</v>
      </c>
      <c r="J21" s="36">
        <v>87.9</v>
      </c>
      <c r="K21" s="36">
        <v>81.0</v>
      </c>
      <c r="L21" s="36">
        <v>52.1</v>
      </c>
      <c r="M21" s="36">
        <v>108.0</v>
      </c>
      <c r="N21" s="36">
        <v>40.0</v>
      </c>
      <c r="O21" s="36">
        <v>19.0</v>
      </c>
      <c r="P21" s="36">
        <v>24.0</v>
      </c>
      <c r="Q21" s="36">
        <v>0.42</v>
      </c>
      <c r="R21" s="36">
        <v>1.32</v>
      </c>
      <c r="S21" s="36">
        <v>1.79</v>
      </c>
      <c r="T21" s="36">
        <v>3.11</v>
      </c>
      <c r="U21" s="21">
        <f t="shared" si="1"/>
        <v>3110</v>
      </c>
      <c r="V21" s="21">
        <f t="shared" si="2"/>
        <v>0</v>
      </c>
    </row>
    <row r="22" ht="14.25" customHeight="1">
      <c r="A22" s="38">
        <v>0.20902777777777778</v>
      </c>
      <c r="B22" s="36">
        <v>16.0</v>
      </c>
      <c r="C22" s="36">
        <v>7.0</v>
      </c>
      <c r="D22" s="36">
        <v>676.0</v>
      </c>
      <c r="E22" s="36">
        <v>664.0</v>
      </c>
      <c r="F22" s="36">
        <v>0.98</v>
      </c>
      <c r="G22" s="36">
        <v>19.0</v>
      </c>
      <c r="H22" s="36">
        <v>1.11</v>
      </c>
      <c r="I22" s="36">
        <v>21.5</v>
      </c>
      <c r="J22" s="36">
        <v>87.9</v>
      </c>
      <c r="K22" s="36">
        <v>81.0</v>
      </c>
      <c r="L22" s="36">
        <v>52.4</v>
      </c>
      <c r="M22" s="36">
        <v>108.0</v>
      </c>
      <c r="N22" s="36">
        <v>40.0</v>
      </c>
      <c r="O22" s="36">
        <v>19.0</v>
      </c>
      <c r="P22" s="36">
        <v>24.0</v>
      </c>
      <c r="Q22" s="36">
        <v>0.42</v>
      </c>
      <c r="R22" s="36">
        <v>1.32</v>
      </c>
      <c r="S22" s="36">
        <v>1.79</v>
      </c>
      <c r="T22" s="36">
        <v>3.11</v>
      </c>
      <c r="U22" s="21">
        <f t="shared" si="1"/>
        <v>3110</v>
      </c>
      <c r="V22" s="21">
        <f t="shared" si="2"/>
        <v>900</v>
      </c>
    </row>
    <row r="23" ht="14.25" customHeight="1">
      <c r="A23" s="38">
        <v>0.2111111111111111</v>
      </c>
      <c r="B23" s="36">
        <v>17.0</v>
      </c>
      <c r="C23" s="36">
        <v>6.9</v>
      </c>
      <c r="D23" s="36">
        <v>669.0</v>
      </c>
      <c r="E23" s="36">
        <v>640.0</v>
      </c>
      <c r="F23" s="36">
        <v>0.96</v>
      </c>
      <c r="G23" s="36">
        <v>19.0</v>
      </c>
      <c r="H23" s="36">
        <v>1.07</v>
      </c>
      <c r="I23" s="36">
        <v>20.9</v>
      </c>
      <c r="J23" s="36">
        <v>88.3</v>
      </c>
      <c r="K23" s="36">
        <v>81.0</v>
      </c>
      <c r="L23" s="36">
        <v>52.1</v>
      </c>
      <c r="M23" s="36">
        <v>108.0</v>
      </c>
      <c r="N23" s="36">
        <v>40.0</v>
      </c>
      <c r="O23" s="36">
        <v>19.0</v>
      </c>
      <c r="P23" s="36">
        <v>23.0</v>
      </c>
      <c r="Q23" s="36">
        <v>0.42</v>
      </c>
      <c r="R23" s="36">
        <v>1.29</v>
      </c>
      <c r="S23" s="36">
        <v>1.8</v>
      </c>
      <c r="T23" s="36">
        <v>3.08</v>
      </c>
      <c r="U23" s="21">
        <f t="shared" si="1"/>
        <v>3080</v>
      </c>
      <c r="V23" s="21">
        <f t="shared" si="2"/>
        <v>16900</v>
      </c>
    </row>
    <row r="24" ht="14.25" customHeight="1">
      <c r="A24" s="38">
        <v>0.21319444444444444</v>
      </c>
      <c r="B24" s="36">
        <v>18.0</v>
      </c>
      <c r="C24" s="36">
        <v>7.1</v>
      </c>
      <c r="D24" s="36">
        <v>687.0</v>
      </c>
      <c r="E24" s="36">
        <v>658.0</v>
      </c>
      <c r="F24" s="36">
        <v>0.96</v>
      </c>
      <c r="G24" s="36">
        <v>19.0</v>
      </c>
      <c r="H24" s="36">
        <v>1.14</v>
      </c>
      <c r="I24" s="36">
        <v>21.3</v>
      </c>
      <c r="J24" s="36">
        <v>88.0</v>
      </c>
      <c r="K24" s="36">
        <v>82.0</v>
      </c>
      <c r="L24" s="36">
        <v>51.9</v>
      </c>
      <c r="M24" s="36">
        <v>108.0</v>
      </c>
      <c r="N24" s="36">
        <v>40.0</v>
      </c>
      <c r="O24" s="36">
        <v>19.0</v>
      </c>
      <c r="P24" s="36">
        <v>24.0</v>
      </c>
      <c r="Q24" s="36">
        <v>0.41</v>
      </c>
      <c r="R24" s="36">
        <v>1.32</v>
      </c>
      <c r="S24" s="36">
        <v>1.9</v>
      </c>
      <c r="T24" s="36">
        <v>3.21</v>
      </c>
      <c r="U24" s="21">
        <f t="shared" si="1"/>
        <v>3210</v>
      </c>
      <c r="V24" s="21">
        <f t="shared" si="2"/>
        <v>32400</v>
      </c>
    </row>
    <row r="25" ht="14.25" customHeight="1">
      <c r="A25" s="38">
        <v>0.2152777777777778</v>
      </c>
      <c r="B25" s="36">
        <v>19.0</v>
      </c>
      <c r="C25" s="36">
        <v>7.4</v>
      </c>
      <c r="D25" s="36">
        <v>716.0</v>
      </c>
      <c r="E25" s="36">
        <v>665.0</v>
      </c>
      <c r="F25" s="36">
        <v>0.93</v>
      </c>
      <c r="G25" s="36">
        <v>20.0</v>
      </c>
      <c r="H25" s="36">
        <v>1.09</v>
      </c>
      <c r="I25" s="36">
        <v>21.5</v>
      </c>
      <c r="J25" s="36">
        <v>87.9</v>
      </c>
      <c r="K25" s="36">
        <v>82.0</v>
      </c>
      <c r="L25" s="36">
        <v>51.9</v>
      </c>
      <c r="M25" s="36">
        <v>108.0</v>
      </c>
      <c r="N25" s="36">
        <v>40.0</v>
      </c>
      <c r="O25" s="36">
        <v>20.0</v>
      </c>
      <c r="P25" s="36">
        <v>25.0</v>
      </c>
      <c r="Q25" s="36">
        <v>0.4</v>
      </c>
      <c r="R25" s="36">
        <v>1.21</v>
      </c>
      <c r="S25" s="36">
        <v>1.82</v>
      </c>
      <c r="T25" s="36">
        <v>3.03</v>
      </c>
      <c r="U25" s="21">
        <f t="shared" si="1"/>
        <v>3030</v>
      </c>
      <c r="V25" s="21">
        <f t="shared" si="2"/>
        <v>1600</v>
      </c>
    </row>
    <row r="26" ht="14.25" customHeight="1">
      <c r="A26" s="38">
        <v>0.21736111111111112</v>
      </c>
      <c r="B26" s="36">
        <v>20.0</v>
      </c>
      <c r="C26" s="36">
        <v>7.6</v>
      </c>
      <c r="D26" s="36">
        <v>742.0</v>
      </c>
      <c r="E26" s="36">
        <v>679.0</v>
      </c>
      <c r="F26" s="36">
        <v>0.91</v>
      </c>
      <c r="G26" s="36">
        <v>20.0</v>
      </c>
      <c r="H26" s="36">
        <v>1.08</v>
      </c>
      <c r="I26" s="36">
        <v>21.7</v>
      </c>
      <c r="J26" s="36">
        <v>87.8</v>
      </c>
      <c r="K26" s="36">
        <v>82.0</v>
      </c>
      <c r="L26" s="36">
        <v>51.9</v>
      </c>
      <c r="M26" s="36">
        <v>107.0</v>
      </c>
      <c r="N26" s="36">
        <v>40.0</v>
      </c>
      <c r="O26" s="36">
        <v>20.0</v>
      </c>
      <c r="P26" s="36">
        <v>26.0</v>
      </c>
      <c r="Q26" s="36">
        <v>0.4</v>
      </c>
      <c r="R26" s="36">
        <v>1.2</v>
      </c>
      <c r="S26" s="36">
        <v>1.79</v>
      </c>
      <c r="T26" s="36">
        <v>2.99</v>
      </c>
      <c r="U26" s="21">
        <f t="shared" si="1"/>
        <v>2990</v>
      </c>
      <c r="V26" s="21">
        <f t="shared" si="2"/>
        <v>400</v>
      </c>
    </row>
    <row r="27" ht="14.25" customHeight="1">
      <c r="A27" s="38">
        <v>0.21944444444444444</v>
      </c>
      <c r="B27" s="36">
        <v>21.0</v>
      </c>
      <c r="C27" s="36">
        <v>8.1</v>
      </c>
      <c r="D27" s="36">
        <v>784.0</v>
      </c>
      <c r="E27" s="36">
        <v>713.0</v>
      </c>
      <c r="F27" s="36">
        <v>0.91</v>
      </c>
      <c r="G27" s="36">
        <v>20.0</v>
      </c>
      <c r="H27" s="36">
        <v>1.12</v>
      </c>
      <c r="I27" s="36">
        <v>22.6</v>
      </c>
      <c r="J27" s="36">
        <v>87.3</v>
      </c>
      <c r="K27" s="36">
        <v>82.0</v>
      </c>
      <c r="L27" s="36">
        <v>51.8</v>
      </c>
      <c r="M27" s="36">
        <v>107.0</v>
      </c>
      <c r="N27" s="36">
        <v>40.0</v>
      </c>
      <c r="O27" s="36">
        <v>20.0</v>
      </c>
      <c r="P27" s="36">
        <v>27.0</v>
      </c>
      <c r="Q27" s="36">
        <v>0.41</v>
      </c>
      <c r="R27" s="36">
        <v>1.21</v>
      </c>
      <c r="S27" s="36">
        <v>1.76</v>
      </c>
      <c r="T27" s="36">
        <v>2.97</v>
      </c>
      <c r="U27" s="21">
        <f t="shared" si="1"/>
        <v>2970</v>
      </c>
      <c r="V27" s="21">
        <f t="shared" si="2"/>
        <v>0</v>
      </c>
    </row>
    <row r="28" ht="14.25" customHeight="1">
      <c r="A28" s="38">
        <v>0.22152777777777777</v>
      </c>
      <c r="B28" s="36">
        <v>22.0</v>
      </c>
      <c r="C28" s="36">
        <v>7.9</v>
      </c>
      <c r="D28" s="36">
        <v>769.0</v>
      </c>
      <c r="E28" s="36">
        <v>702.0</v>
      </c>
      <c r="F28" s="36">
        <v>0.91</v>
      </c>
      <c r="G28" s="36">
        <v>20.0</v>
      </c>
      <c r="H28" s="36">
        <v>1.11</v>
      </c>
      <c r="I28" s="36">
        <v>22.5</v>
      </c>
      <c r="J28" s="36">
        <v>87.4</v>
      </c>
      <c r="K28" s="36">
        <v>82.0</v>
      </c>
      <c r="L28" s="36">
        <v>51.9</v>
      </c>
      <c r="M28" s="36">
        <v>107.0</v>
      </c>
      <c r="N28" s="36">
        <v>40.0</v>
      </c>
      <c r="O28" s="36">
        <v>20.0</v>
      </c>
      <c r="P28" s="36">
        <v>27.0</v>
      </c>
      <c r="Q28" s="36">
        <v>0.41</v>
      </c>
      <c r="R28" s="36">
        <v>1.23</v>
      </c>
      <c r="S28" s="36">
        <v>1.74</v>
      </c>
      <c r="T28" s="36">
        <v>2.97</v>
      </c>
      <c r="U28" s="21">
        <f t="shared" si="1"/>
        <v>2970</v>
      </c>
      <c r="V28" s="21">
        <f t="shared" si="2"/>
        <v>900</v>
      </c>
    </row>
    <row r="29" ht="14.25" customHeight="1">
      <c r="A29" s="38">
        <v>0.22361111111111112</v>
      </c>
      <c r="B29" s="36">
        <v>23.0</v>
      </c>
      <c r="C29" s="36">
        <v>8.0</v>
      </c>
      <c r="D29" s="36">
        <v>775.0</v>
      </c>
      <c r="E29" s="36">
        <v>716.0</v>
      </c>
      <c r="F29" s="36">
        <v>0.92</v>
      </c>
      <c r="G29" s="36">
        <v>20.0</v>
      </c>
      <c r="H29" s="36">
        <v>1.13</v>
      </c>
      <c r="I29" s="36">
        <v>23.0</v>
      </c>
      <c r="J29" s="36">
        <v>87.1</v>
      </c>
      <c r="K29" s="36">
        <v>82.0</v>
      </c>
      <c r="L29" s="36">
        <v>51.5</v>
      </c>
      <c r="M29" s="36">
        <v>108.0</v>
      </c>
      <c r="N29" s="36">
        <v>39.0</v>
      </c>
      <c r="O29" s="36">
        <v>20.0</v>
      </c>
      <c r="P29" s="36">
        <v>27.0</v>
      </c>
      <c r="Q29" s="36">
        <v>0.42</v>
      </c>
      <c r="R29" s="36">
        <v>1.23</v>
      </c>
      <c r="S29" s="36">
        <v>1.71</v>
      </c>
      <c r="T29" s="36">
        <v>2.94</v>
      </c>
      <c r="U29" s="21">
        <f t="shared" si="1"/>
        <v>2940</v>
      </c>
      <c r="V29" s="21">
        <f t="shared" si="2"/>
        <v>0</v>
      </c>
    </row>
    <row r="30" ht="14.25" customHeight="1">
      <c r="A30" s="38">
        <v>0.22569444444444445</v>
      </c>
      <c r="B30" s="36">
        <v>24.0</v>
      </c>
      <c r="C30" s="36">
        <v>8.0</v>
      </c>
      <c r="D30" s="36">
        <v>776.0</v>
      </c>
      <c r="E30" s="36">
        <v>717.0</v>
      </c>
      <c r="F30" s="36">
        <v>0.92</v>
      </c>
      <c r="G30" s="36">
        <v>20.0</v>
      </c>
      <c r="H30" s="36">
        <v>1.13</v>
      </c>
      <c r="I30" s="36">
        <v>23.0</v>
      </c>
      <c r="J30" s="36">
        <v>87.1</v>
      </c>
      <c r="K30" s="36">
        <v>83.0</v>
      </c>
      <c r="L30" s="36">
        <v>51.4</v>
      </c>
      <c r="M30" s="36">
        <v>108.0</v>
      </c>
      <c r="N30" s="36">
        <v>39.0</v>
      </c>
      <c r="O30" s="36">
        <v>20.0</v>
      </c>
      <c r="P30" s="36">
        <v>27.0</v>
      </c>
      <c r="Q30" s="36">
        <v>0.42</v>
      </c>
      <c r="R30" s="36">
        <v>1.23</v>
      </c>
      <c r="S30" s="36">
        <v>1.71</v>
      </c>
      <c r="T30" s="36">
        <v>2.94</v>
      </c>
      <c r="U30" s="21">
        <f t="shared" si="1"/>
        <v>2940</v>
      </c>
      <c r="V30" s="21">
        <f t="shared" si="2"/>
        <v>400</v>
      </c>
    </row>
    <row r="31" ht="14.25" customHeight="1">
      <c r="A31" s="38">
        <v>0.22708333333333333</v>
      </c>
      <c r="B31" s="36">
        <v>24.0</v>
      </c>
      <c r="C31" s="36">
        <v>8.1</v>
      </c>
      <c r="D31" s="36">
        <v>790.0</v>
      </c>
      <c r="E31" s="36">
        <v>733.0</v>
      </c>
      <c r="F31" s="36">
        <v>0.93</v>
      </c>
      <c r="G31" s="36">
        <v>20.0</v>
      </c>
      <c r="H31" s="36">
        <v>1.17</v>
      </c>
      <c r="I31" s="36">
        <v>23.7</v>
      </c>
      <c r="J31" s="36">
        <v>86.7</v>
      </c>
      <c r="K31" s="36">
        <v>83.0</v>
      </c>
      <c r="L31" s="36">
        <v>51.3</v>
      </c>
      <c r="M31" s="36">
        <v>108.0</v>
      </c>
      <c r="N31" s="36">
        <v>39.0</v>
      </c>
      <c r="O31" s="36">
        <v>20.0</v>
      </c>
      <c r="P31" s="36">
        <v>27.0</v>
      </c>
      <c r="Q31" s="36">
        <v>0.42</v>
      </c>
      <c r="R31" s="36">
        <v>1.25</v>
      </c>
      <c r="S31" s="36">
        <v>1.71</v>
      </c>
      <c r="T31" s="36">
        <v>2.96</v>
      </c>
      <c r="U31" s="21">
        <f t="shared" si="1"/>
        <v>2960</v>
      </c>
      <c r="V31" s="21">
        <f t="shared" si="2"/>
        <v>900</v>
      </c>
    </row>
    <row r="32" ht="14.25" customHeight="1">
      <c r="A32" s="38">
        <v>0.22916666666666666</v>
      </c>
      <c r="B32" s="36">
        <v>25.0</v>
      </c>
      <c r="C32" s="36">
        <v>8.1</v>
      </c>
      <c r="D32" s="36">
        <v>787.0</v>
      </c>
      <c r="E32" s="36">
        <v>740.0</v>
      </c>
      <c r="F32" s="36">
        <v>0.94</v>
      </c>
      <c r="G32" s="36">
        <v>21.0</v>
      </c>
      <c r="H32" s="36">
        <v>1.17</v>
      </c>
      <c r="I32" s="36">
        <v>24.0</v>
      </c>
      <c r="J32" s="36">
        <v>86.5</v>
      </c>
      <c r="K32" s="36">
        <v>83.0</v>
      </c>
      <c r="L32" s="36">
        <v>50.9</v>
      </c>
      <c r="M32" s="36">
        <v>109.0</v>
      </c>
      <c r="N32" s="36">
        <v>39.0</v>
      </c>
      <c r="O32" s="36">
        <v>21.0</v>
      </c>
      <c r="P32" s="36">
        <v>27.0</v>
      </c>
      <c r="Q32" s="36">
        <v>0.42</v>
      </c>
      <c r="R32" s="36">
        <v>1.24</v>
      </c>
      <c r="S32" s="36">
        <v>1.69</v>
      </c>
      <c r="T32" s="36">
        <v>2.93</v>
      </c>
      <c r="U32" s="21">
        <f t="shared" si="1"/>
        <v>2930</v>
      </c>
      <c r="V32" s="21">
        <f t="shared" si="2"/>
        <v>900</v>
      </c>
    </row>
    <row r="33" ht="14.25" customHeight="1">
      <c r="A33" s="38">
        <v>0.23125</v>
      </c>
      <c r="B33" s="36">
        <v>26.0</v>
      </c>
      <c r="C33" s="36">
        <v>8.0</v>
      </c>
      <c r="D33" s="36">
        <v>779.0</v>
      </c>
      <c r="E33" s="36">
        <v>741.0</v>
      </c>
      <c r="F33" s="36">
        <v>0.95</v>
      </c>
      <c r="G33" s="36">
        <v>20.0</v>
      </c>
      <c r="H33" s="36">
        <v>1.18</v>
      </c>
      <c r="I33" s="36">
        <v>24.0</v>
      </c>
      <c r="J33" s="36">
        <v>86.5</v>
      </c>
      <c r="K33" s="36">
        <v>84.0</v>
      </c>
      <c r="L33" s="36">
        <v>50.5</v>
      </c>
      <c r="M33" s="36">
        <v>109.0</v>
      </c>
      <c r="N33" s="36">
        <v>39.0</v>
      </c>
      <c r="O33" s="36">
        <v>20.0</v>
      </c>
      <c r="P33" s="36">
        <v>27.0</v>
      </c>
      <c r="Q33" s="36">
        <v>0.42</v>
      </c>
      <c r="R33" s="36">
        <v>1.25</v>
      </c>
      <c r="S33" s="36">
        <v>1.71</v>
      </c>
      <c r="T33" s="36">
        <v>2.96</v>
      </c>
      <c r="U33" s="21">
        <f t="shared" si="1"/>
        <v>2960</v>
      </c>
      <c r="V33" s="21">
        <f t="shared" si="2"/>
        <v>400</v>
      </c>
    </row>
    <row r="34" ht="14.25" customHeight="1">
      <c r="A34" s="38">
        <v>0.23333333333333334</v>
      </c>
      <c r="B34" s="36">
        <v>27.0</v>
      </c>
      <c r="C34" s="36">
        <v>7.5</v>
      </c>
      <c r="D34" s="36">
        <v>726.0</v>
      </c>
      <c r="E34" s="36">
        <v>700.0</v>
      </c>
      <c r="F34" s="36">
        <v>0.96</v>
      </c>
      <c r="G34" s="36">
        <v>20.0</v>
      </c>
      <c r="H34" s="36">
        <v>1.13</v>
      </c>
      <c r="I34" s="36">
        <v>22.8</v>
      </c>
      <c r="J34" s="36">
        <v>87.2</v>
      </c>
      <c r="K34" s="36">
        <v>84.0</v>
      </c>
      <c r="L34" s="36">
        <v>50.5</v>
      </c>
      <c r="M34" s="36">
        <v>110.0</v>
      </c>
      <c r="N34" s="36">
        <v>39.0</v>
      </c>
      <c r="O34" s="36">
        <v>20.0</v>
      </c>
      <c r="P34" s="36">
        <v>25.0</v>
      </c>
      <c r="Q34" s="36">
        <v>0.42</v>
      </c>
      <c r="R34" s="36">
        <v>1.25</v>
      </c>
      <c r="S34" s="36">
        <v>1.73</v>
      </c>
      <c r="T34" s="36">
        <v>2.98</v>
      </c>
      <c r="U34" s="21">
        <f t="shared" si="1"/>
        <v>2980</v>
      </c>
      <c r="V34" s="21">
        <f t="shared" si="2"/>
        <v>100</v>
      </c>
    </row>
    <row r="35" ht="14.25" customHeight="1">
      <c r="A35" s="38">
        <v>0.23541666666666666</v>
      </c>
      <c r="B35" s="36">
        <v>28.0</v>
      </c>
      <c r="C35" s="36">
        <v>7.4</v>
      </c>
      <c r="D35" s="36">
        <v>718.0</v>
      </c>
      <c r="E35" s="36">
        <v>692.0</v>
      </c>
      <c r="F35" s="36">
        <v>0.96</v>
      </c>
      <c r="G35" s="36">
        <v>20.0</v>
      </c>
      <c r="H35" s="36">
        <v>1.11</v>
      </c>
      <c r="I35" s="36">
        <v>22.5</v>
      </c>
      <c r="J35" s="36">
        <v>87.3</v>
      </c>
      <c r="K35" s="36">
        <v>84.0</v>
      </c>
      <c r="L35" s="36">
        <v>50.6</v>
      </c>
      <c r="M35" s="36">
        <v>110.0</v>
      </c>
      <c r="N35" s="36">
        <v>39.0</v>
      </c>
      <c r="O35" s="36">
        <v>20.0</v>
      </c>
      <c r="P35" s="36">
        <v>25.0</v>
      </c>
      <c r="Q35" s="36">
        <v>0.42</v>
      </c>
      <c r="R35" s="36">
        <v>1.24</v>
      </c>
      <c r="S35" s="36">
        <v>1.73</v>
      </c>
      <c r="T35" s="36">
        <v>2.97</v>
      </c>
      <c r="U35" s="21">
        <f t="shared" si="1"/>
        <v>2970</v>
      </c>
      <c r="V35" s="21">
        <f t="shared" si="2"/>
        <v>1600</v>
      </c>
    </row>
    <row r="36" ht="14.25" customHeight="1">
      <c r="A36" s="38">
        <v>0.2375</v>
      </c>
      <c r="B36" s="36">
        <v>29.0</v>
      </c>
      <c r="C36" s="36">
        <v>7.8</v>
      </c>
      <c r="D36" s="36">
        <v>757.0</v>
      </c>
      <c r="E36" s="36">
        <v>726.0</v>
      </c>
      <c r="F36" s="36">
        <v>0.96</v>
      </c>
      <c r="G36" s="36">
        <v>20.0</v>
      </c>
      <c r="H36" s="36">
        <v>1.16</v>
      </c>
      <c r="I36" s="36">
        <v>23.2</v>
      </c>
      <c r="J36" s="36">
        <v>87.0</v>
      </c>
      <c r="K36" s="36">
        <v>84.0</v>
      </c>
      <c r="L36" s="36">
        <v>50.7</v>
      </c>
      <c r="M36" s="36">
        <v>109.0</v>
      </c>
      <c r="N36" s="36">
        <v>39.0</v>
      </c>
      <c r="O36" s="36">
        <v>20.0</v>
      </c>
      <c r="P36" s="36">
        <v>26.0</v>
      </c>
      <c r="Q36" s="36">
        <v>0.41</v>
      </c>
      <c r="R36" s="36">
        <v>1.23</v>
      </c>
      <c r="S36" s="36">
        <v>1.79</v>
      </c>
      <c r="T36" s="36">
        <v>3.01</v>
      </c>
      <c r="U36" s="21">
        <f t="shared" si="1"/>
        <v>3010</v>
      </c>
      <c r="V36" s="21">
        <f t="shared" si="2"/>
        <v>400</v>
      </c>
    </row>
    <row r="37" ht="14.25" customHeight="1">
      <c r="A37" s="38">
        <v>0.23958333333333334</v>
      </c>
      <c r="B37" s="36">
        <v>30.0</v>
      </c>
      <c r="C37" s="36">
        <v>7.8</v>
      </c>
      <c r="D37" s="36">
        <v>758.0</v>
      </c>
      <c r="E37" s="36">
        <v>728.0</v>
      </c>
      <c r="F37" s="36">
        <v>0.96</v>
      </c>
      <c r="G37" s="36">
        <v>20.0</v>
      </c>
      <c r="H37" s="36">
        <v>1.16</v>
      </c>
      <c r="I37" s="36">
        <v>23.3</v>
      </c>
      <c r="J37" s="36">
        <v>86.9</v>
      </c>
      <c r="K37" s="36">
        <v>84.0</v>
      </c>
      <c r="L37" s="36">
        <v>50.4</v>
      </c>
      <c r="M37" s="36">
        <v>108.0</v>
      </c>
      <c r="N37" s="36">
        <v>40.0</v>
      </c>
      <c r="O37" s="36">
        <v>20.0</v>
      </c>
      <c r="P37" s="36">
        <v>26.0</v>
      </c>
      <c r="Q37" s="36">
        <v>0.4</v>
      </c>
      <c r="R37" s="36">
        <v>1.21</v>
      </c>
      <c r="S37" s="36">
        <v>1.78</v>
      </c>
      <c r="T37" s="36">
        <v>2.99</v>
      </c>
      <c r="U37" s="21">
        <f t="shared" si="1"/>
        <v>2990</v>
      </c>
      <c r="V37" s="21">
        <f t="shared" si="2"/>
        <v>400</v>
      </c>
    </row>
    <row r="38" ht="14.25" customHeight="1">
      <c r="A38" s="38">
        <v>0.24166666666666667</v>
      </c>
      <c r="B38" s="36">
        <v>31.0</v>
      </c>
      <c r="C38" s="36">
        <v>7.3</v>
      </c>
      <c r="D38" s="36">
        <v>712.0</v>
      </c>
      <c r="E38" s="36">
        <v>687.0</v>
      </c>
      <c r="F38" s="36">
        <v>0.97</v>
      </c>
      <c r="G38" s="36">
        <v>20.0</v>
      </c>
      <c r="H38" s="36">
        <v>1.1</v>
      </c>
      <c r="I38" s="36">
        <v>22.3</v>
      </c>
      <c r="J38" s="36">
        <v>87.5</v>
      </c>
      <c r="K38" s="36">
        <v>85.0</v>
      </c>
      <c r="L38" s="36">
        <v>50.2</v>
      </c>
      <c r="M38" s="36">
        <v>109.0</v>
      </c>
      <c r="N38" s="36">
        <v>39.0</v>
      </c>
      <c r="O38" s="36">
        <v>20.0</v>
      </c>
      <c r="P38" s="36">
        <v>25.0</v>
      </c>
      <c r="Q38" s="36">
        <v>0.42</v>
      </c>
      <c r="R38" s="36">
        <v>1.24</v>
      </c>
      <c r="S38" s="36">
        <v>1.72</v>
      </c>
      <c r="T38" s="36">
        <v>2.97</v>
      </c>
      <c r="U38" s="21">
        <f t="shared" si="1"/>
        <v>2970</v>
      </c>
      <c r="V38" s="21">
        <f t="shared" si="2"/>
        <v>100</v>
      </c>
    </row>
    <row r="39" ht="14.25" customHeight="1">
      <c r="A39" s="38">
        <v>0.24375</v>
      </c>
      <c r="B39" s="36">
        <v>32.0</v>
      </c>
      <c r="C39" s="36">
        <v>7.3</v>
      </c>
      <c r="D39" s="36">
        <v>708.0</v>
      </c>
      <c r="E39" s="36">
        <v>684.0</v>
      </c>
      <c r="F39" s="36">
        <v>0.97</v>
      </c>
      <c r="G39" s="36">
        <v>20.0</v>
      </c>
      <c r="H39" s="36">
        <v>1.09</v>
      </c>
      <c r="I39" s="36">
        <v>22.1</v>
      </c>
      <c r="J39" s="36">
        <v>87.6</v>
      </c>
      <c r="K39" s="36">
        <v>85.0</v>
      </c>
      <c r="L39" s="36">
        <v>50.1</v>
      </c>
      <c r="M39" s="36">
        <v>109.0</v>
      </c>
      <c r="N39" s="36">
        <v>39.0</v>
      </c>
      <c r="O39" s="36">
        <v>20.0</v>
      </c>
      <c r="P39" s="36">
        <v>25.0</v>
      </c>
      <c r="Q39" s="36">
        <v>0.42</v>
      </c>
      <c r="R39" s="36">
        <v>1.26</v>
      </c>
      <c r="S39" s="36">
        <v>1.71</v>
      </c>
      <c r="T39" s="36">
        <v>2.96</v>
      </c>
      <c r="U39" s="21">
        <f t="shared" si="1"/>
        <v>2960</v>
      </c>
      <c r="V39" s="21">
        <f t="shared" si="2"/>
        <v>8100</v>
      </c>
    </row>
    <row r="40" ht="14.25" customHeight="1">
      <c r="A40" s="38">
        <v>0.24583333333333332</v>
      </c>
      <c r="B40" s="36">
        <v>33.0</v>
      </c>
      <c r="C40" s="36">
        <v>7.4</v>
      </c>
      <c r="D40" s="36">
        <v>715.0</v>
      </c>
      <c r="E40" s="36">
        <v>681.0</v>
      </c>
      <c r="F40" s="36">
        <v>0.95</v>
      </c>
      <c r="G40" s="36">
        <v>21.0</v>
      </c>
      <c r="H40" s="36">
        <v>1.05</v>
      </c>
      <c r="I40" s="36">
        <v>22.0</v>
      </c>
      <c r="J40" s="36">
        <v>87.6</v>
      </c>
      <c r="K40" s="36">
        <v>85.0</v>
      </c>
      <c r="L40" s="36">
        <v>49.9</v>
      </c>
      <c r="M40" s="36">
        <v>108.0</v>
      </c>
      <c r="N40" s="36">
        <v>40.0</v>
      </c>
      <c r="O40" s="36">
        <v>21.0</v>
      </c>
      <c r="P40" s="36">
        <v>25.0</v>
      </c>
      <c r="Q40" s="36">
        <v>0.43</v>
      </c>
      <c r="R40" s="36">
        <v>1.25</v>
      </c>
      <c r="S40" s="36">
        <v>1.63</v>
      </c>
      <c r="T40" s="36">
        <v>2.87</v>
      </c>
      <c r="U40" s="21">
        <f t="shared" si="1"/>
        <v>2870</v>
      </c>
      <c r="V40" s="21">
        <f t="shared" si="2"/>
        <v>400</v>
      </c>
    </row>
    <row r="41" ht="14.25" customHeight="1">
      <c r="A41" s="38">
        <v>0.24791666666666667</v>
      </c>
      <c r="B41" s="36">
        <v>34.0</v>
      </c>
      <c r="C41" s="36">
        <v>7.5</v>
      </c>
      <c r="D41" s="36">
        <v>729.0</v>
      </c>
      <c r="E41" s="36">
        <v>689.0</v>
      </c>
      <c r="F41" s="36">
        <v>0.94</v>
      </c>
      <c r="G41" s="36">
        <v>21.0</v>
      </c>
      <c r="H41" s="36">
        <v>1.06</v>
      </c>
      <c r="I41" s="36">
        <v>22.3</v>
      </c>
      <c r="J41" s="36">
        <v>87.5</v>
      </c>
      <c r="K41" s="36">
        <v>85.0</v>
      </c>
      <c r="L41" s="36">
        <v>49.8</v>
      </c>
      <c r="M41" s="36">
        <v>108.0</v>
      </c>
      <c r="N41" s="36">
        <v>40.0</v>
      </c>
      <c r="O41" s="36">
        <v>21.0</v>
      </c>
      <c r="P41" s="36">
        <v>25.0</v>
      </c>
      <c r="Q41" s="36">
        <v>0.44</v>
      </c>
      <c r="R41" s="36">
        <v>1.26</v>
      </c>
      <c r="S41" s="36">
        <v>1.59</v>
      </c>
      <c r="T41" s="36">
        <v>2.85</v>
      </c>
      <c r="U41" s="21">
        <f t="shared" si="1"/>
        <v>2850</v>
      </c>
      <c r="V41" s="21">
        <f t="shared" si="2"/>
        <v>100</v>
      </c>
    </row>
    <row r="42" ht="14.25" customHeight="1">
      <c r="A42" s="38">
        <v>0.25</v>
      </c>
      <c r="B42" s="36">
        <v>35.0</v>
      </c>
      <c r="C42" s="36">
        <v>7.6</v>
      </c>
      <c r="D42" s="36">
        <v>733.0</v>
      </c>
      <c r="E42" s="36">
        <v>687.0</v>
      </c>
      <c r="F42" s="36">
        <v>0.94</v>
      </c>
      <c r="G42" s="36">
        <v>21.0</v>
      </c>
      <c r="H42" s="36">
        <v>1.06</v>
      </c>
      <c r="I42" s="36">
        <v>22.2</v>
      </c>
      <c r="J42" s="36">
        <v>87.5</v>
      </c>
      <c r="K42" s="36">
        <v>85.0</v>
      </c>
      <c r="L42" s="36">
        <v>49.8</v>
      </c>
      <c r="M42" s="36">
        <v>108.0</v>
      </c>
      <c r="N42" s="36">
        <v>40.0</v>
      </c>
      <c r="O42" s="36">
        <v>21.0</v>
      </c>
      <c r="P42" s="36">
        <v>25.0</v>
      </c>
      <c r="Q42" s="36">
        <v>0.44</v>
      </c>
      <c r="R42" s="36">
        <v>1.27</v>
      </c>
      <c r="S42" s="36">
        <v>1.59</v>
      </c>
      <c r="T42" s="36">
        <v>2.86</v>
      </c>
      <c r="U42" s="21">
        <f t="shared" si="1"/>
        <v>2860</v>
      </c>
      <c r="V42" s="21">
        <f t="shared" si="2"/>
        <v>3600</v>
      </c>
    </row>
    <row r="43" ht="14.25" customHeight="1">
      <c r="A43" s="38">
        <v>0.2520833333333333</v>
      </c>
      <c r="B43" s="36">
        <v>36.0</v>
      </c>
      <c r="C43" s="36">
        <v>7.4</v>
      </c>
      <c r="D43" s="36">
        <v>716.0</v>
      </c>
      <c r="E43" s="36">
        <v>672.0</v>
      </c>
      <c r="F43" s="36">
        <v>0.94</v>
      </c>
      <c r="G43" s="36">
        <v>21.0</v>
      </c>
      <c r="H43" s="36">
        <v>1.06</v>
      </c>
      <c r="I43" s="36">
        <v>21.7</v>
      </c>
      <c r="J43" s="36">
        <v>87.8</v>
      </c>
      <c r="K43" s="36">
        <v>85.0</v>
      </c>
      <c r="L43" s="36">
        <v>49.9</v>
      </c>
      <c r="M43" s="36">
        <v>108.0</v>
      </c>
      <c r="N43" s="36">
        <v>40.0</v>
      </c>
      <c r="O43" s="36">
        <v>21.0</v>
      </c>
      <c r="P43" s="36">
        <v>25.0</v>
      </c>
      <c r="Q43" s="36">
        <v>0.43</v>
      </c>
      <c r="R43" s="36">
        <v>1.26</v>
      </c>
      <c r="S43" s="36">
        <v>1.66</v>
      </c>
      <c r="T43" s="36">
        <v>2.92</v>
      </c>
      <c r="U43" s="21">
        <f t="shared" si="1"/>
        <v>2920</v>
      </c>
      <c r="V43" s="21">
        <f t="shared" si="2"/>
        <v>1600</v>
      </c>
    </row>
    <row r="44" ht="14.25" customHeight="1">
      <c r="A44" s="38">
        <v>0.25416666666666665</v>
      </c>
      <c r="B44" s="36">
        <v>37.0</v>
      </c>
      <c r="C44" s="36">
        <v>7.5</v>
      </c>
      <c r="D44" s="36">
        <v>731.0</v>
      </c>
      <c r="E44" s="36">
        <v>683.0</v>
      </c>
      <c r="F44" s="36">
        <v>0.93</v>
      </c>
      <c r="G44" s="36">
        <v>20.0</v>
      </c>
      <c r="H44" s="36">
        <v>1.08</v>
      </c>
      <c r="I44" s="36">
        <v>21.9</v>
      </c>
      <c r="J44" s="36">
        <v>87.7</v>
      </c>
      <c r="K44" s="36">
        <v>85.0</v>
      </c>
      <c r="L44" s="36">
        <v>49.9</v>
      </c>
      <c r="M44" s="36">
        <v>108.0</v>
      </c>
      <c r="N44" s="36">
        <v>40.0</v>
      </c>
      <c r="O44" s="36">
        <v>20.0</v>
      </c>
      <c r="P44" s="36">
        <v>25.0</v>
      </c>
      <c r="Q44" s="36">
        <v>0.43</v>
      </c>
      <c r="R44" s="36">
        <v>1.27</v>
      </c>
      <c r="S44" s="36">
        <v>1.69</v>
      </c>
      <c r="T44" s="36">
        <v>2.96</v>
      </c>
      <c r="U44" s="21">
        <f t="shared" si="1"/>
        <v>2960</v>
      </c>
      <c r="V44" s="21">
        <f t="shared" si="2"/>
        <v>12100</v>
      </c>
    </row>
    <row r="45" ht="14.25" customHeight="1">
      <c r="A45" s="38">
        <v>0.25625</v>
      </c>
      <c r="B45" s="36">
        <v>38.0</v>
      </c>
      <c r="C45" s="36">
        <v>7.9</v>
      </c>
      <c r="D45" s="36">
        <v>768.0</v>
      </c>
      <c r="E45" s="36">
        <v>714.0</v>
      </c>
      <c r="F45" s="36">
        <v>0.93</v>
      </c>
      <c r="G45" s="36">
        <v>21.0</v>
      </c>
      <c r="H45" s="36">
        <v>1.08</v>
      </c>
      <c r="I45" s="36">
        <v>22.8</v>
      </c>
      <c r="J45" s="36">
        <v>87.2</v>
      </c>
      <c r="K45" s="36">
        <v>85.0</v>
      </c>
      <c r="L45" s="36">
        <v>49.9</v>
      </c>
      <c r="M45" s="36">
        <v>107.0</v>
      </c>
      <c r="N45" s="36">
        <v>40.0</v>
      </c>
      <c r="O45" s="36">
        <v>21.0</v>
      </c>
      <c r="P45" s="36">
        <v>27.0</v>
      </c>
      <c r="Q45" s="36">
        <v>0.44</v>
      </c>
      <c r="R45" s="36">
        <v>1.26</v>
      </c>
      <c r="S45" s="36">
        <v>1.59</v>
      </c>
      <c r="T45" s="36">
        <v>2.85</v>
      </c>
      <c r="U45" s="21">
        <f t="shared" si="1"/>
        <v>2850</v>
      </c>
      <c r="V45" s="21">
        <f t="shared" si="2"/>
        <v>0</v>
      </c>
    </row>
    <row r="46" ht="14.25" customHeight="1">
      <c r="A46" s="38">
        <v>0.25833333333333336</v>
      </c>
      <c r="B46" s="36">
        <v>39.0</v>
      </c>
      <c r="C46" s="36">
        <v>8.3</v>
      </c>
      <c r="D46" s="36">
        <v>804.0</v>
      </c>
      <c r="E46" s="36">
        <v>739.0</v>
      </c>
      <c r="F46" s="36">
        <v>0.92</v>
      </c>
      <c r="G46" s="36">
        <v>21.0</v>
      </c>
      <c r="H46" s="36">
        <v>1.12</v>
      </c>
      <c r="I46" s="36">
        <v>23.6</v>
      </c>
      <c r="J46" s="36">
        <v>86.7</v>
      </c>
      <c r="K46" s="36">
        <v>85.0</v>
      </c>
      <c r="L46" s="36">
        <v>50.1</v>
      </c>
      <c r="M46" s="36">
        <v>107.0</v>
      </c>
      <c r="N46" s="36">
        <v>40.0</v>
      </c>
      <c r="O46" s="36">
        <v>21.0</v>
      </c>
      <c r="P46" s="36">
        <v>28.0</v>
      </c>
      <c r="Q46" s="36">
        <v>0.44</v>
      </c>
      <c r="R46" s="36">
        <v>1.26</v>
      </c>
      <c r="S46" s="36">
        <v>1.59</v>
      </c>
      <c r="T46" s="36">
        <v>2.85</v>
      </c>
      <c r="U46" s="21">
        <f t="shared" si="1"/>
        <v>2850</v>
      </c>
      <c r="V46" s="21">
        <f t="shared" si="2"/>
        <v>12100</v>
      </c>
    </row>
    <row r="47" ht="14.25" customHeight="1">
      <c r="A47" s="38">
        <v>0.2604166666666667</v>
      </c>
      <c r="B47" s="36">
        <v>40.0</v>
      </c>
      <c r="C47" s="36">
        <v>7.9</v>
      </c>
      <c r="D47" s="36">
        <v>766.0</v>
      </c>
      <c r="E47" s="36">
        <v>708.0</v>
      </c>
      <c r="F47" s="36">
        <v>0.92</v>
      </c>
      <c r="G47" s="36">
        <v>20.0</v>
      </c>
      <c r="H47" s="36">
        <v>1.12</v>
      </c>
      <c r="I47" s="36">
        <v>22.7</v>
      </c>
      <c r="J47" s="36">
        <v>87.3</v>
      </c>
      <c r="K47" s="36">
        <v>85.0</v>
      </c>
      <c r="L47" s="36">
        <v>50.3</v>
      </c>
      <c r="M47" s="36">
        <v>108.0</v>
      </c>
      <c r="N47" s="36">
        <v>40.0</v>
      </c>
      <c r="O47" s="36">
        <v>20.0</v>
      </c>
      <c r="P47" s="36">
        <v>27.0</v>
      </c>
      <c r="Q47" s="36">
        <v>0.43</v>
      </c>
      <c r="R47" s="36">
        <v>1.28</v>
      </c>
      <c r="S47" s="36">
        <v>1.68</v>
      </c>
      <c r="T47" s="36">
        <v>2.96</v>
      </c>
      <c r="U47" s="21">
        <f t="shared" si="1"/>
        <v>2960</v>
      </c>
      <c r="V47" s="21">
        <f t="shared" si="2"/>
        <v>900</v>
      </c>
    </row>
    <row r="48" ht="14.25" customHeight="1">
      <c r="A48" s="38">
        <v>0.26180555555555557</v>
      </c>
      <c r="B48" s="36">
        <v>41.0</v>
      </c>
      <c r="C48" s="36">
        <v>8.3</v>
      </c>
      <c r="D48" s="36">
        <v>803.0</v>
      </c>
      <c r="E48" s="36">
        <v>741.0</v>
      </c>
      <c r="F48" s="36">
        <v>0.92</v>
      </c>
      <c r="G48" s="36">
        <v>20.0</v>
      </c>
      <c r="H48" s="36">
        <v>1.15</v>
      </c>
      <c r="I48" s="36">
        <v>23.6</v>
      </c>
      <c r="J48" s="36">
        <v>86.7</v>
      </c>
      <c r="K48" s="36">
        <v>85.0</v>
      </c>
      <c r="L48" s="36">
        <v>50.2</v>
      </c>
      <c r="M48" s="36">
        <v>108.0</v>
      </c>
      <c r="N48" s="36">
        <v>40.0</v>
      </c>
      <c r="O48" s="36">
        <v>20.0</v>
      </c>
      <c r="P48" s="36">
        <v>28.0</v>
      </c>
      <c r="Q48" s="36">
        <v>0.42</v>
      </c>
      <c r="R48" s="36">
        <v>1.24</v>
      </c>
      <c r="S48" s="36">
        <v>1.69</v>
      </c>
      <c r="T48" s="36">
        <v>2.93</v>
      </c>
      <c r="U48" s="21">
        <f t="shared" si="1"/>
        <v>2930</v>
      </c>
      <c r="V48" s="21">
        <f t="shared" si="2"/>
        <v>1600</v>
      </c>
    </row>
    <row r="49" ht="14.25" customHeight="1">
      <c r="A49" s="38">
        <v>0.2638888888888889</v>
      </c>
      <c r="B49" s="36">
        <v>42.0</v>
      </c>
      <c r="C49" s="36">
        <v>8.6</v>
      </c>
      <c r="D49" s="36">
        <v>832.0</v>
      </c>
      <c r="E49" s="36">
        <v>769.0</v>
      </c>
      <c r="F49" s="36">
        <v>0.92</v>
      </c>
      <c r="G49" s="36">
        <v>21.0</v>
      </c>
      <c r="H49" s="36">
        <v>1.17</v>
      </c>
      <c r="I49" s="36">
        <v>24.4</v>
      </c>
      <c r="J49" s="36">
        <v>86.3</v>
      </c>
      <c r="K49" s="36">
        <v>85.0</v>
      </c>
      <c r="L49" s="36">
        <v>49.8</v>
      </c>
      <c r="M49" s="36">
        <v>108.0</v>
      </c>
      <c r="N49" s="36">
        <v>40.0</v>
      </c>
      <c r="O49" s="36">
        <v>21.0</v>
      </c>
      <c r="P49" s="36">
        <v>29.0</v>
      </c>
      <c r="Q49" s="36">
        <v>0.43</v>
      </c>
      <c r="R49" s="36">
        <v>1.24</v>
      </c>
      <c r="S49" s="36">
        <v>1.66</v>
      </c>
      <c r="T49" s="36">
        <v>2.89</v>
      </c>
      <c r="U49" s="21">
        <f t="shared" si="1"/>
        <v>2890</v>
      </c>
      <c r="V49" s="21">
        <f t="shared" si="2"/>
        <v>6400</v>
      </c>
    </row>
    <row r="50" ht="14.25" customHeight="1">
      <c r="A50" s="38">
        <v>0.2659722222222222</v>
      </c>
      <c r="B50" s="36">
        <v>43.0</v>
      </c>
      <c r="C50" s="36">
        <v>8.5</v>
      </c>
      <c r="D50" s="36">
        <v>825.0</v>
      </c>
      <c r="E50" s="36">
        <v>766.0</v>
      </c>
      <c r="F50" s="36">
        <v>0.93</v>
      </c>
      <c r="G50" s="36">
        <v>20.0</v>
      </c>
      <c r="H50" s="36">
        <v>1.2</v>
      </c>
      <c r="I50" s="36">
        <v>24.3</v>
      </c>
      <c r="J50" s="36">
        <v>86.4</v>
      </c>
      <c r="K50" s="36">
        <v>86.0</v>
      </c>
      <c r="L50" s="36">
        <v>49.5</v>
      </c>
      <c r="M50" s="36">
        <v>108.0</v>
      </c>
      <c r="N50" s="36">
        <v>40.0</v>
      </c>
      <c r="O50" s="36">
        <v>20.0</v>
      </c>
      <c r="P50" s="36">
        <v>29.0</v>
      </c>
      <c r="Q50" s="36">
        <v>0.43</v>
      </c>
      <c r="R50" s="36">
        <v>1.27</v>
      </c>
      <c r="S50" s="36">
        <v>1.7</v>
      </c>
      <c r="T50" s="36">
        <v>2.97</v>
      </c>
      <c r="U50" s="21">
        <f t="shared" si="1"/>
        <v>2970</v>
      </c>
      <c r="V50" s="21">
        <f t="shared" si="2"/>
        <v>4900</v>
      </c>
    </row>
    <row r="51" ht="14.25" customHeight="1">
      <c r="A51" s="38">
        <v>0.26805555555555555</v>
      </c>
      <c r="B51" s="36">
        <v>44.0</v>
      </c>
      <c r="C51" s="36">
        <v>8.8</v>
      </c>
      <c r="D51" s="36">
        <v>855.0</v>
      </c>
      <c r="E51" s="36">
        <v>801.0</v>
      </c>
      <c r="F51" s="36">
        <v>0.94</v>
      </c>
      <c r="G51" s="36">
        <v>21.0</v>
      </c>
      <c r="H51" s="36">
        <v>1.22</v>
      </c>
      <c r="I51" s="36">
        <v>25.3</v>
      </c>
      <c r="J51" s="36">
        <v>85.8</v>
      </c>
      <c r="K51" s="36">
        <v>86.0</v>
      </c>
      <c r="L51" s="36">
        <v>49.3</v>
      </c>
      <c r="M51" s="36">
        <v>108.0</v>
      </c>
      <c r="N51" s="36">
        <v>40.0</v>
      </c>
      <c r="O51" s="36">
        <v>21.0</v>
      </c>
      <c r="P51" s="36">
        <v>30.0</v>
      </c>
      <c r="Q51" s="36">
        <v>0.43</v>
      </c>
      <c r="R51" s="36">
        <v>1.25</v>
      </c>
      <c r="S51" s="36">
        <v>1.65</v>
      </c>
      <c r="T51" s="36">
        <v>2.9</v>
      </c>
      <c r="U51" s="21">
        <f t="shared" si="1"/>
        <v>2900</v>
      </c>
      <c r="V51" s="21">
        <f t="shared" si="2"/>
        <v>100</v>
      </c>
    </row>
    <row r="52" ht="14.25" customHeight="1">
      <c r="A52" s="38">
        <v>0.2701388888888889</v>
      </c>
      <c r="B52" s="36">
        <v>45.0</v>
      </c>
      <c r="C52" s="36">
        <v>8.7</v>
      </c>
      <c r="D52" s="36">
        <v>848.0</v>
      </c>
      <c r="E52" s="36">
        <v>788.0</v>
      </c>
      <c r="F52" s="36">
        <v>0.93</v>
      </c>
      <c r="G52" s="36">
        <v>21.0</v>
      </c>
      <c r="H52" s="36">
        <v>1.21</v>
      </c>
      <c r="I52" s="36">
        <v>25.0</v>
      </c>
      <c r="J52" s="36">
        <v>85.9</v>
      </c>
      <c r="K52" s="36">
        <v>87.0</v>
      </c>
      <c r="L52" s="36">
        <v>48.8</v>
      </c>
      <c r="M52" s="36">
        <v>108.0</v>
      </c>
      <c r="N52" s="36">
        <v>40.0</v>
      </c>
      <c r="O52" s="36">
        <v>21.0</v>
      </c>
      <c r="P52" s="36">
        <v>29.0</v>
      </c>
      <c r="Q52" s="36">
        <v>0.44</v>
      </c>
      <c r="R52" s="36">
        <v>1.27</v>
      </c>
      <c r="S52" s="36">
        <v>1.64</v>
      </c>
      <c r="T52" s="36">
        <v>2.91</v>
      </c>
      <c r="U52" s="21">
        <f t="shared" si="1"/>
        <v>2910</v>
      </c>
      <c r="V52" s="21">
        <f t="shared" si="2"/>
        <v>2500</v>
      </c>
    </row>
    <row r="53" ht="14.25" customHeight="1">
      <c r="A53" s="38">
        <v>0.2722222222222222</v>
      </c>
      <c r="B53" s="36">
        <v>46.0</v>
      </c>
      <c r="C53" s="36">
        <v>8.7</v>
      </c>
      <c r="D53" s="36">
        <v>848.0</v>
      </c>
      <c r="E53" s="36">
        <v>787.0</v>
      </c>
      <c r="F53" s="36">
        <v>0.93</v>
      </c>
      <c r="G53" s="36">
        <v>21.0</v>
      </c>
      <c r="H53" s="36">
        <v>1.19</v>
      </c>
      <c r="I53" s="36">
        <v>25.0</v>
      </c>
      <c r="J53" s="36">
        <v>85.9</v>
      </c>
      <c r="K53" s="36">
        <v>88.0</v>
      </c>
      <c r="L53" s="36">
        <v>48.2</v>
      </c>
      <c r="M53" s="36">
        <v>108.0</v>
      </c>
      <c r="N53" s="36">
        <v>40.0</v>
      </c>
      <c r="O53" s="36">
        <v>21.0</v>
      </c>
      <c r="P53" s="36">
        <v>29.0</v>
      </c>
      <c r="Q53" s="36">
        <v>0.42</v>
      </c>
      <c r="R53" s="36">
        <v>1.21</v>
      </c>
      <c r="S53" s="36">
        <v>1.65</v>
      </c>
      <c r="T53" s="36">
        <v>2.86</v>
      </c>
      <c r="U53" s="21">
        <f t="shared" si="1"/>
        <v>2860</v>
      </c>
      <c r="V53" s="21">
        <f t="shared" si="2"/>
        <v>1600</v>
      </c>
    </row>
    <row r="54" ht="14.25" customHeight="1">
      <c r="A54" s="38">
        <v>0.2743055555555556</v>
      </c>
      <c r="B54" s="36">
        <v>47.0</v>
      </c>
      <c r="C54" s="36">
        <v>8.8</v>
      </c>
      <c r="D54" s="36">
        <v>854.0</v>
      </c>
      <c r="E54" s="36">
        <v>791.0</v>
      </c>
      <c r="F54" s="36">
        <v>0.93</v>
      </c>
      <c r="G54" s="36">
        <v>21.0</v>
      </c>
      <c r="H54" s="36">
        <v>1.18</v>
      </c>
      <c r="I54" s="36">
        <v>25.2</v>
      </c>
      <c r="J54" s="36">
        <v>85.9</v>
      </c>
      <c r="K54" s="36">
        <v>88.0</v>
      </c>
      <c r="L54" s="36">
        <v>48.2</v>
      </c>
      <c r="M54" s="36">
        <v>108.0</v>
      </c>
      <c r="N54" s="36">
        <v>40.0</v>
      </c>
      <c r="O54" s="36">
        <v>21.0</v>
      </c>
      <c r="P54" s="36">
        <v>30.0</v>
      </c>
      <c r="Q54" s="36">
        <v>0.42</v>
      </c>
      <c r="R54" s="36">
        <v>1.19</v>
      </c>
      <c r="S54" s="36">
        <v>1.62</v>
      </c>
      <c r="T54" s="36">
        <v>2.82</v>
      </c>
      <c r="U54" s="21">
        <f t="shared" si="1"/>
        <v>2820</v>
      </c>
      <c r="V54" s="21">
        <f t="shared" si="2"/>
        <v>14400</v>
      </c>
    </row>
    <row r="55" ht="14.25" customHeight="1">
      <c r="A55" s="38">
        <v>0.27569444444444446</v>
      </c>
      <c r="B55" s="36">
        <v>48.0</v>
      </c>
      <c r="C55" s="36">
        <v>8.5</v>
      </c>
      <c r="D55" s="36">
        <v>823.0</v>
      </c>
      <c r="E55" s="36">
        <v>762.0</v>
      </c>
      <c r="F55" s="36">
        <v>0.93</v>
      </c>
      <c r="G55" s="36">
        <v>20.0</v>
      </c>
      <c r="H55" s="36">
        <v>1.19</v>
      </c>
      <c r="I55" s="36">
        <v>24.2</v>
      </c>
      <c r="J55" s="36">
        <v>86.4</v>
      </c>
      <c r="K55" s="36">
        <v>90.0</v>
      </c>
      <c r="L55" s="36">
        <v>46.9</v>
      </c>
      <c r="M55" s="36">
        <v>108.0</v>
      </c>
      <c r="N55" s="36">
        <v>40.0</v>
      </c>
      <c r="O55" s="36">
        <v>20.0</v>
      </c>
      <c r="P55" s="36">
        <v>29.0</v>
      </c>
      <c r="Q55" s="36">
        <v>0.43</v>
      </c>
      <c r="R55" s="36">
        <v>1.25</v>
      </c>
      <c r="S55" s="36">
        <v>1.69</v>
      </c>
      <c r="T55" s="36">
        <v>2.94</v>
      </c>
      <c r="U55" s="21">
        <f t="shared" si="1"/>
        <v>2940</v>
      </c>
      <c r="V55" s="21">
        <f t="shared" si="2"/>
        <v>900</v>
      </c>
    </row>
    <row r="56" ht="14.25" customHeight="1">
      <c r="A56" s="38">
        <v>0.27847222222222223</v>
      </c>
      <c r="B56" s="36">
        <v>49.0</v>
      </c>
      <c r="C56" s="36">
        <v>8.7</v>
      </c>
      <c r="D56" s="36">
        <v>839.0</v>
      </c>
      <c r="E56" s="36">
        <v>782.0</v>
      </c>
      <c r="F56" s="36">
        <v>0.93</v>
      </c>
      <c r="G56" s="36">
        <v>21.0</v>
      </c>
      <c r="H56" s="36">
        <v>1.2</v>
      </c>
      <c r="I56" s="36">
        <v>24.7</v>
      </c>
      <c r="J56" s="36">
        <v>86.1</v>
      </c>
      <c r="K56" s="36">
        <v>90.0</v>
      </c>
      <c r="L56" s="36">
        <v>46.9</v>
      </c>
      <c r="M56" s="36">
        <v>107.0</v>
      </c>
      <c r="N56" s="36">
        <v>40.0</v>
      </c>
      <c r="O56" s="36">
        <v>21.0</v>
      </c>
      <c r="P56" s="36">
        <v>29.0</v>
      </c>
      <c r="Q56" s="36">
        <v>0.42</v>
      </c>
      <c r="R56" s="36">
        <v>1.23</v>
      </c>
      <c r="S56" s="36">
        <v>1.68</v>
      </c>
      <c r="T56" s="36">
        <v>2.91</v>
      </c>
      <c r="U56" s="21">
        <f t="shared" si="1"/>
        <v>2910</v>
      </c>
      <c r="V56" s="21">
        <f t="shared" si="2"/>
        <v>8100</v>
      </c>
    </row>
    <row r="57" ht="14.25" customHeight="1">
      <c r="A57" s="38">
        <v>0.28125</v>
      </c>
      <c r="B57" s="36">
        <v>50.0</v>
      </c>
      <c r="C57" s="36">
        <v>8.7</v>
      </c>
      <c r="D57" s="36">
        <v>843.0</v>
      </c>
      <c r="E57" s="36">
        <v>780.0</v>
      </c>
      <c r="F57" s="36">
        <v>0.93</v>
      </c>
      <c r="G57" s="36">
        <v>20.0</v>
      </c>
      <c r="H57" s="36">
        <v>1.22</v>
      </c>
      <c r="I57" s="36">
        <v>24.4</v>
      </c>
      <c r="J57" s="36">
        <v>86.3</v>
      </c>
      <c r="K57" s="36">
        <v>91.0</v>
      </c>
      <c r="L57" s="36">
        <v>46.7</v>
      </c>
      <c r="M57" s="36">
        <v>107.0</v>
      </c>
      <c r="N57" s="36">
        <v>40.0</v>
      </c>
      <c r="O57" s="36">
        <v>20.0</v>
      </c>
      <c r="P57" s="36">
        <v>29.0</v>
      </c>
      <c r="Q57" s="36">
        <v>0.45</v>
      </c>
      <c r="R57" s="36">
        <v>1.34</v>
      </c>
      <c r="S57" s="36">
        <v>1.66</v>
      </c>
      <c r="T57" s="36">
        <v>3.0</v>
      </c>
      <c r="U57" s="21">
        <f t="shared" si="1"/>
        <v>3000</v>
      </c>
      <c r="V57" s="21">
        <f t="shared" si="2"/>
        <v>6400</v>
      </c>
    </row>
    <row r="58" ht="14.25" customHeight="1">
      <c r="A58" s="38">
        <v>0.2833333333333333</v>
      </c>
      <c r="B58" s="36">
        <v>51.0</v>
      </c>
      <c r="C58" s="36">
        <v>8.8</v>
      </c>
      <c r="D58" s="36">
        <v>851.0</v>
      </c>
      <c r="E58" s="36">
        <v>775.0</v>
      </c>
      <c r="F58" s="36">
        <v>0.91</v>
      </c>
      <c r="G58" s="36">
        <v>20.0</v>
      </c>
      <c r="H58" s="36">
        <v>1.24</v>
      </c>
      <c r="I58" s="36">
        <v>24.2</v>
      </c>
      <c r="J58" s="36">
        <v>86.4</v>
      </c>
      <c r="K58" s="36">
        <v>91.0</v>
      </c>
      <c r="L58" s="36">
        <v>46.6</v>
      </c>
      <c r="M58" s="36">
        <v>107.0</v>
      </c>
      <c r="N58" s="36">
        <v>40.0</v>
      </c>
      <c r="O58" s="36">
        <v>20.0</v>
      </c>
      <c r="P58" s="36">
        <v>30.0</v>
      </c>
      <c r="Q58" s="36">
        <v>0.45</v>
      </c>
      <c r="R58" s="36">
        <v>1.37</v>
      </c>
      <c r="S58" s="36">
        <v>1.7</v>
      </c>
      <c r="T58" s="36">
        <v>3.08</v>
      </c>
      <c r="U58" s="21">
        <f t="shared" si="1"/>
        <v>3080</v>
      </c>
      <c r="V58" s="21">
        <f t="shared" si="2"/>
        <v>3600</v>
      </c>
    </row>
    <row r="59" ht="14.25" customHeight="1">
      <c r="A59" s="38">
        <v>0.28541666666666665</v>
      </c>
      <c r="B59" s="36">
        <v>52.0</v>
      </c>
      <c r="C59" s="36">
        <v>8.7</v>
      </c>
      <c r="D59" s="36">
        <v>846.0</v>
      </c>
      <c r="E59" s="36">
        <v>765.0</v>
      </c>
      <c r="F59" s="36">
        <v>0.91</v>
      </c>
      <c r="G59" s="36">
        <v>19.0</v>
      </c>
      <c r="H59" s="36">
        <v>1.25</v>
      </c>
      <c r="I59" s="36">
        <v>23.8</v>
      </c>
      <c r="J59" s="36">
        <v>86.6</v>
      </c>
      <c r="K59" s="36">
        <v>90.0</v>
      </c>
      <c r="L59" s="36">
        <v>46.8</v>
      </c>
      <c r="M59" s="36">
        <v>107.0</v>
      </c>
      <c r="N59" s="36">
        <v>41.0</v>
      </c>
      <c r="O59" s="36">
        <v>19.0</v>
      </c>
      <c r="P59" s="36">
        <v>29.0</v>
      </c>
      <c r="Q59" s="36">
        <v>0.44</v>
      </c>
      <c r="R59" s="36">
        <v>1.37</v>
      </c>
      <c r="S59" s="36">
        <v>1.77</v>
      </c>
      <c r="T59" s="36">
        <v>3.14</v>
      </c>
      <c r="U59" s="21">
        <f t="shared" si="1"/>
        <v>3140</v>
      </c>
      <c r="V59" s="21">
        <f t="shared" si="2"/>
        <v>3600</v>
      </c>
    </row>
    <row r="60" ht="14.25" customHeight="1">
      <c r="A60" s="38">
        <v>0.2875</v>
      </c>
      <c r="B60" s="36">
        <v>53.0</v>
      </c>
      <c r="C60" s="36">
        <v>8.5</v>
      </c>
      <c r="D60" s="36">
        <v>827.0</v>
      </c>
      <c r="E60" s="36">
        <v>746.0</v>
      </c>
      <c r="F60" s="36">
        <v>0.9</v>
      </c>
      <c r="G60" s="36">
        <v>19.0</v>
      </c>
      <c r="H60" s="36">
        <v>1.24</v>
      </c>
      <c r="I60" s="36">
        <v>23.2</v>
      </c>
      <c r="J60" s="36">
        <v>87.0</v>
      </c>
      <c r="K60" s="36">
        <v>90.0</v>
      </c>
      <c r="L60" s="36">
        <v>46.8</v>
      </c>
      <c r="M60" s="36">
        <v>107.0</v>
      </c>
      <c r="N60" s="36">
        <v>41.0</v>
      </c>
      <c r="O60" s="36">
        <v>19.0</v>
      </c>
      <c r="P60" s="36">
        <v>29.0</v>
      </c>
      <c r="Q60" s="36">
        <v>0.44</v>
      </c>
      <c r="R60" s="36">
        <v>1.4</v>
      </c>
      <c r="S60" s="36">
        <v>1.8</v>
      </c>
      <c r="T60" s="36">
        <v>3.2</v>
      </c>
      <c r="U60" s="21">
        <f t="shared" si="1"/>
        <v>3200</v>
      </c>
      <c r="V60" s="21">
        <f t="shared" si="2"/>
        <v>900</v>
      </c>
    </row>
    <row r="61" ht="14.25" customHeight="1">
      <c r="A61" s="38">
        <v>0.28958333333333336</v>
      </c>
      <c r="B61" s="36">
        <v>54.0</v>
      </c>
      <c r="C61" s="36">
        <v>8.7</v>
      </c>
      <c r="D61" s="36">
        <v>846.0</v>
      </c>
      <c r="E61" s="36">
        <v>758.0</v>
      </c>
      <c r="F61" s="36">
        <v>0.9</v>
      </c>
      <c r="G61" s="36">
        <v>19.0</v>
      </c>
      <c r="H61" s="36">
        <v>1.24</v>
      </c>
      <c r="I61" s="36">
        <v>23.5</v>
      </c>
      <c r="J61" s="36">
        <v>86.8</v>
      </c>
      <c r="K61" s="36">
        <v>90.0</v>
      </c>
      <c r="L61" s="36">
        <v>46.9</v>
      </c>
      <c r="M61" s="36">
        <v>106.0</v>
      </c>
      <c r="N61" s="36">
        <v>41.0</v>
      </c>
      <c r="O61" s="36">
        <v>19.0</v>
      </c>
      <c r="P61" s="36">
        <v>29.0</v>
      </c>
      <c r="Q61" s="36">
        <v>0.43</v>
      </c>
      <c r="R61" s="36">
        <v>1.38</v>
      </c>
      <c r="S61" s="36">
        <v>1.8</v>
      </c>
      <c r="T61" s="36">
        <v>3.17</v>
      </c>
      <c r="U61" s="21">
        <f t="shared" si="1"/>
        <v>3170</v>
      </c>
      <c r="V61" s="21">
        <f t="shared" si="2"/>
        <v>8100</v>
      </c>
    </row>
    <row r="62" ht="14.25" customHeight="1">
      <c r="A62" s="38">
        <v>0.2916666666666667</v>
      </c>
      <c r="B62" s="36">
        <v>55.0</v>
      </c>
      <c r="C62" s="36">
        <v>9.1</v>
      </c>
      <c r="D62" s="36">
        <v>880.0</v>
      </c>
      <c r="E62" s="36">
        <v>786.0</v>
      </c>
      <c r="F62" s="36">
        <v>0.89</v>
      </c>
      <c r="G62" s="36">
        <v>19.0</v>
      </c>
      <c r="H62" s="36">
        <v>1.25</v>
      </c>
      <c r="I62" s="36">
        <v>24.3</v>
      </c>
      <c r="J62" s="36">
        <v>86.3</v>
      </c>
      <c r="K62" s="36">
        <v>90.0</v>
      </c>
      <c r="L62" s="36">
        <v>46.8</v>
      </c>
      <c r="M62" s="36">
        <v>106.0</v>
      </c>
      <c r="N62" s="36">
        <v>41.0</v>
      </c>
      <c r="O62" s="36">
        <v>19.0</v>
      </c>
      <c r="P62" s="36">
        <v>31.0</v>
      </c>
      <c r="Q62" s="36">
        <v>0.41</v>
      </c>
      <c r="R62" s="36">
        <v>1.25</v>
      </c>
      <c r="S62" s="36">
        <v>1.83</v>
      </c>
      <c r="T62" s="36">
        <v>3.08</v>
      </c>
      <c r="U62" s="21">
        <f t="shared" si="1"/>
        <v>3080</v>
      </c>
      <c r="V62" s="21">
        <f t="shared" si="2"/>
        <v>0</v>
      </c>
    </row>
    <row r="63" ht="14.25" customHeight="1">
      <c r="A63" s="38">
        <v>0.29375</v>
      </c>
      <c r="B63" s="36">
        <v>56.0</v>
      </c>
      <c r="C63" s="36">
        <v>9.1</v>
      </c>
      <c r="D63" s="36">
        <v>880.0</v>
      </c>
      <c r="E63" s="36">
        <v>786.0</v>
      </c>
      <c r="F63" s="36">
        <v>0.89</v>
      </c>
      <c r="G63" s="36">
        <v>19.0</v>
      </c>
      <c r="H63" s="36">
        <v>1.25</v>
      </c>
      <c r="I63" s="36">
        <v>24.3</v>
      </c>
      <c r="J63" s="36">
        <v>86.3</v>
      </c>
      <c r="K63" s="36">
        <v>90.0</v>
      </c>
      <c r="L63" s="36">
        <v>46.8</v>
      </c>
      <c r="M63" s="36">
        <v>106.0</v>
      </c>
      <c r="N63" s="36">
        <v>41.0</v>
      </c>
      <c r="O63" s="36">
        <v>19.0</v>
      </c>
      <c r="P63" s="36">
        <v>31.0</v>
      </c>
      <c r="Q63" s="36">
        <v>0.41</v>
      </c>
      <c r="R63" s="36">
        <v>1.25</v>
      </c>
      <c r="S63" s="36">
        <v>1.83</v>
      </c>
      <c r="T63" s="36">
        <v>3.08</v>
      </c>
      <c r="U63" s="21">
        <f t="shared" si="1"/>
        <v>3080</v>
      </c>
      <c r="V63" s="21">
        <f t="shared" si="2"/>
        <v>0</v>
      </c>
    </row>
    <row r="64" ht="14.25" customHeight="1">
      <c r="A64" s="38">
        <v>0.29583333333333334</v>
      </c>
      <c r="B64" s="36">
        <v>57.0</v>
      </c>
      <c r="C64" s="36">
        <v>9.2</v>
      </c>
      <c r="D64" s="36">
        <v>895.0</v>
      </c>
      <c r="E64" s="36">
        <v>807.0</v>
      </c>
      <c r="F64" s="36">
        <v>0.9</v>
      </c>
      <c r="G64" s="36">
        <v>19.0</v>
      </c>
      <c r="H64" s="36">
        <v>1.27</v>
      </c>
      <c r="I64" s="36">
        <v>24.8</v>
      </c>
      <c r="J64" s="36">
        <v>86.1</v>
      </c>
      <c r="K64" s="36">
        <v>90.0</v>
      </c>
      <c r="L64" s="36">
        <v>46.9</v>
      </c>
      <c r="M64" s="36">
        <v>106.0</v>
      </c>
      <c r="N64" s="36">
        <v>41.0</v>
      </c>
      <c r="O64" s="36">
        <v>19.0</v>
      </c>
      <c r="P64" s="36">
        <v>31.0</v>
      </c>
      <c r="Q64" s="36">
        <v>0.41</v>
      </c>
      <c r="R64" s="36">
        <v>1.25</v>
      </c>
      <c r="S64" s="36">
        <v>1.83</v>
      </c>
      <c r="T64" s="36">
        <v>3.08</v>
      </c>
      <c r="U64" s="21">
        <f t="shared" si="1"/>
        <v>3080</v>
      </c>
      <c r="V64" s="21">
        <f t="shared" si="2"/>
        <v>400</v>
      </c>
    </row>
    <row r="65" ht="14.25" customHeight="1">
      <c r="A65" s="38">
        <v>0.29791666666666666</v>
      </c>
      <c r="B65" s="36">
        <v>58.0</v>
      </c>
      <c r="C65" s="36">
        <v>9.3</v>
      </c>
      <c r="D65" s="36">
        <v>900.0</v>
      </c>
      <c r="E65" s="36">
        <v>811.0</v>
      </c>
      <c r="F65" s="36">
        <v>0.9</v>
      </c>
      <c r="G65" s="36">
        <v>20.0</v>
      </c>
      <c r="H65" s="36">
        <v>1.27</v>
      </c>
      <c r="I65" s="36">
        <v>25.0</v>
      </c>
      <c r="J65" s="36">
        <v>86.0</v>
      </c>
      <c r="K65" s="36">
        <v>91.0</v>
      </c>
      <c r="L65" s="36">
        <v>46.2</v>
      </c>
      <c r="M65" s="36">
        <v>106.0</v>
      </c>
      <c r="N65" s="36">
        <v>41.0</v>
      </c>
      <c r="O65" s="36">
        <v>20.0</v>
      </c>
      <c r="P65" s="36">
        <v>31.0</v>
      </c>
      <c r="Q65" s="36">
        <v>0.4</v>
      </c>
      <c r="R65" s="36">
        <v>1.24</v>
      </c>
      <c r="S65" s="36">
        <v>1.82</v>
      </c>
      <c r="T65" s="36">
        <v>3.06</v>
      </c>
      <c r="U65" s="21">
        <f t="shared" si="1"/>
        <v>3060</v>
      </c>
      <c r="V65" s="21">
        <f t="shared" si="2"/>
        <v>1600</v>
      </c>
    </row>
    <row r="66" ht="14.25" customHeight="1">
      <c r="A66" s="38">
        <v>0.3</v>
      </c>
      <c r="B66" s="36">
        <v>59.0</v>
      </c>
      <c r="C66" s="36">
        <v>9.5</v>
      </c>
      <c r="D66" s="36">
        <v>922.0</v>
      </c>
      <c r="E66" s="36">
        <v>828.0</v>
      </c>
      <c r="F66" s="36">
        <v>0.9</v>
      </c>
      <c r="G66" s="36">
        <v>20.0</v>
      </c>
      <c r="H66" s="36">
        <v>1.28</v>
      </c>
      <c r="I66" s="36">
        <v>25.5</v>
      </c>
      <c r="J66" s="36">
        <v>85.7</v>
      </c>
      <c r="K66" s="36">
        <v>93.0</v>
      </c>
      <c r="L66" s="36">
        <v>45.3</v>
      </c>
      <c r="M66" s="36">
        <v>106.0</v>
      </c>
      <c r="N66" s="36">
        <v>41.0</v>
      </c>
      <c r="O66" s="36">
        <v>20.0</v>
      </c>
      <c r="P66" s="36">
        <v>32.0</v>
      </c>
      <c r="Q66" s="36">
        <v>0.41</v>
      </c>
      <c r="R66" s="36">
        <v>1.24</v>
      </c>
      <c r="S66" s="36">
        <v>1.78</v>
      </c>
      <c r="T66" s="36">
        <v>3.02</v>
      </c>
      <c r="U66" s="21">
        <f t="shared" si="1"/>
        <v>3020</v>
      </c>
      <c r="V66" s="21">
        <f t="shared" si="2"/>
        <v>0</v>
      </c>
    </row>
    <row r="67" ht="14.25" customHeight="1">
      <c r="A67" s="38">
        <v>0.30277777777777776</v>
      </c>
      <c r="B67" s="36">
        <v>60.0</v>
      </c>
      <c r="C67" s="36">
        <v>9.7</v>
      </c>
      <c r="D67" s="36">
        <v>938.0</v>
      </c>
      <c r="E67" s="36">
        <v>844.0</v>
      </c>
      <c r="F67" s="36">
        <v>0.9</v>
      </c>
      <c r="G67" s="36">
        <v>20.0</v>
      </c>
      <c r="H67" s="36">
        <v>1.31</v>
      </c>
      <c r="I67" s="36">
        <v>26.1</v>
      </c>
      <c r="J67" s="36">
        <v>85.4</v>
      </c>
      <c r="K67" s="36">
        <v>93.0</v>
      </c>
      <c r="L67" s="36">
        <v>45.0</v>
      </c>
      <c r="M67" s="36">
        <v>105.0</v>
      </c>
      <c r="N67" s="36">
        <v>41.0</v>
      </c>
      <c r="O67" s="36">
        <v>20.0</v>
      </c>
      <c r="P67" s="36">
        <v>33.0</v>
      </c>
      <c r="Q67" s="36">
        <v>0.41</v>
      </c>
      <c r="R67" s="36">
        <v>1.24</v>
      </c>
      <c r="S67" s="36">
        <v>1.78</v>
      </c>
      <c r="T67" s="36">
        <v>3.02</v>
      </c>
      <c r="U67" s="21">
        <f t="shared" si="1"/>
        <v>3020</v>
      </c>
      <c r="V67" s="21">
        <f t="shared" si="2"/>
        <v>0</v>
      </c>
    </row>
    <row r="68" ht="14.25" customHeight="1">
      <c r="A68" s="38">
        <v>0.3055555555555556</v>
      </c>
      <c r="B68" s="36">
        <v>62.0</v>
      </c>
      <c r="C68" s="36">
        <v>9.7</v>
      </c>
      <c r="D68" s="36">
        <v>938.0</v>
      </c>
      <c r="E68" s="36">
        <v>844.0</v>
      </c>
      <c r="F68" s="36">
        <v>0.9</v>
      </c>
      <c r="G68" s="36">
        <v>20.0</v>
      </c>
      <c r="H68" s="36">
        <v>1.31</v>
      </c>
      <c r="I68" s="36">
        <v>26.1</v>
      </c>
      <c r="J68" s="36">
        <v>85.4</v>
      </c>
      <c r="K68" s="36">
        <v>93.0</v>
      </c>
      <c r="L68" s="36">
        <v>45.0</v>
      </c>
      <c r="M68" s="36">
        <v>105.0</v>
      </c>
      <c r="N68" s="36">
        <v>41.0</v>
      </c>
      <c r="O68" s="36">
        <v>20.0</v>
      </c>
      <c r="P68" s="36">
        <v>33.0</v>
      </c>
      <c r="Q68" s="36">
        <v>0.41</v>
      </c>
      <c r="R68" s="36">
        <v>1.24</v>
      </c>
      <c r="S68" s="36">
        <v>1.78</v>
      </c>
      <c r="T68" s="36">
        <v>3.02</v>
      </c>
      <c r="U68" s="21">
        <f t="shared" si="1"/>
        <v>3020</v>
      </c>
      <c r="V68" s="21">
        <f t="shared" si="2"/>
        <v>900</v>
      </c>
    </row>
    <row r="69" ht="14.25" customHeight="1">
      <c r="A69" s="38">
        <v>0.3076388888888889</v>
      </c>
      <c r="B69" s="36">
        <v>63.0</v>
      </c>
      <c r="C69" s="36">
        <v>9.6</v>
      </c>
      <c r="D69" s="36">
        <v>935.0</v>
      </c>
      <c r="E69" s="36">
        <v>840.0</v>
      </c>
      <c r="F69" s="36">
        <v>0.9</v>
      </c>
      <c r="G69" s="36">
        <v>20.0</v>
      </c>
      <c r="H69" s="36">
        <v>1.31</v>
      </c>
      <c r="I69" s="36">
        <v>25.8</v>
      </c>
      <c r="J69" s="36">
        <v>85.5</v>
      </c>
      <c r="K69" s="36">
        <v>94.0</v>
      </c>
      <c r="L69" s="36">
        <v>44.9</v>
      </c>
      <c r="M69" s="36">
        <v>105.0</v>
      </c>
      <c r="N69" s="36">
        <v>41.0</v>
      </c>
      <c r="O69" s="36">
        <v>20.0</v>
      </c>
      <c r="P69" s="36">
        <v>32.0</v>
      </c>
      <c r="Q69" s="36">
        <v>0.42</v>
      </c>
      <c r="R69" s="36">
        <v>1.29</v>
      </c>
      <c r="S69" s="36">
        <v>1.76</v>
      </c>
      <c r="T69" s="36">
        <v>3.05</v>
      </c>
      <c r="U69" s="21">
        <f t="shared" si="1"/>
        <v>3050</v>
      </c>
      <c r="V69" s="21">
        <f t="shared" si="2"/>
        <v>400</v>
      </c>
    </row>
    <row r="70" ht="14.25" customHeight="1">
      <c r="A70" s="38">
        <v>0.3104166666666667</v>
      </c>
      <c r="B70" s="36">
        <v>64.0</v>
      </c>
      <c r="C70" s="36">
        <v>9.7</v>
      </c>
      <c r="D70" s="36">
        <v>945.0</v>
      </c>
      <c r="E70" s="36">
        <v>848.0</v>
      </c>
      <c r="F70" s="36">
        <v>0.9</v>
      </c>
      <c r="G70" s="36">
        <v>20.0</v>
      </c>
      <c r="H70" s="36">
        <v>1.33</v>
      </c>
      <c r="I70" s="36">
        <v>26.0</v>
      </c>
      <c r="J70" s="36">
        <v>85.4</v>
      </c>
      <c r="K70" s="36">
        <v>94.0</v>
      </c>
      <c r="L70" s="36">
        <v>44.7</v>
      </c>
      <c r="M70" s="36">
        <v>105.0</v>
      </c>
      <c r="N70" s="36">
        <v>42.0</v>
      </c>
      <c r="O70" s="36">
        <v>20.0</v>
      </c>
      <c r="P70" s="36">
        <v>33.0</v>
      </c>
      <c r="Q70" s="36">
        <v>0.43</v>
      </c>
      <c r="R70" s="36">
        <v>1.32</v>
      </c>
      <c r="S70" s="36">
        <v>1.75</v>
      </c>
      <c r="T70" s="36">
        <v>3.07</v>
      </c>
      <c r="U70" s="21">
        <f t="shared" si="1"/>
        <v>3070</v>
      </c>
      <c r="V70" s="21">
        <f t="shared" si="2"/>
        <v>1600</v>
      </c>
    </row>
    <row r="71" ht="14.25" customHeight="1">
      <c r="A71" s="38">
        <v>0.31180555555555556</v>
      </c>
      <c r="B71" s="36">
        <v>65.0</v>
      </c>
      <c r="C71" s="36">
        <v>9.8</v>
      </c>
      <c r="D71" s="36">
        <v>955.0</v>
      </c>
      <c r="E71" s="36">
        <v>861.0</v>
      </c>
      <c r="F71" s="36">
        <v>0.9</v>
      </c>
      <c r="G71" s="36">
        <v>20.0</v>
      </c>
      <c r="H71" s="36">
        <v>1.34</v>
      </c>
      <c r="I71" s="36">
        <v>26.5</v>
      </c>
      <c r="J71" s="36">
        <v>85.1</v>
      </c>
      <c r="K71" s="36">
        <v>94.0</v>
      </c>
      <c r="L71" s="36">
        <v>44.6</v>
      </c>
      <c r="M71" s="36">
        <v>105.0</v>
      </c>
      <c r="N71" s="36">
        <v>42.0</v>
      </c>
      <c r="O71" s="36">
        <v>20.0</v>
      </c>
      <c r="P71" s="36">
        <v>33.0</v>
      </c>
      <c r="Q71" s="36">
        <v>0.43</v>
      </c>
      <c r="R71" s="36">
        <v>1.31</v>
      </c>
      <c r="S71" s="36">
        <v>1.72</v>
      </c>
      <c r="T71" s="36">
        <v>3.03</v>
      </c>
      <c r="U71" s="21">
        <f t="shared" si="1"/>
        <v>3030</v>
      </c>
      <c r="V71" s="21">
        <f t="shared" si="2"/>
        <v>2500</v>
      </c>
    </row>
    <row r="72" ht="14.25" customHeight="1">
      <c r="A72" s="38">
        <v>0.3138888888888889</v>
      </c>
      <c r="B72" s="36">
        <v>66.0</v>
      </c>
      <c r="C72" s="36">
        <v>9.9</v>
      </c>
      <c r="D72" s="36">
        <v>962.0</v>
      </c>
      <c r="E72" s="36">
        <v>869.0</v>
      </c>
      <c r="F72" s="36">
        <v>0.9</v>
      </c>
      <c r="G72" s="36">
        <v>20.0</v>
      </c>
      <c r="H72" s="36">
        <v>1.35</v>
      </c>
      <c r="I72" s="36">
        <v>26.4</v>
      </c>
      <c r="J72" s="36">
        <v>85.2</v>
      </c>
      <c r="K72" s="36">
        <v>94.0</v>
      </c>
      <c r="L72" s="36">
        <v>44.5</v>
      </c>
      <c r="M72" s="36">
        <v>105.0</v>
      </c>
      <c r="N72" s="36">
        <v>42.0</v>
      </c>
      <c r="O72" s="36">
        <v>20.0</v>
      </c>
      <c r="P72" s="36">
        <v>33.0</v>
      </c>
      <c r="Q72" s="36">
        <v>0.43</v>
      </c>
      <c r="R72" s="36">
        <v>1.32</v>
      </c>
      <c r="S72" s="36">
        <v>1.75</v>
      </c>
      <c r="T72" s="36">
        <v>3.08</v>
      </c>
      <c r="U72" s="21">
        <f t="shared" si="1"/>
        <v>3080</v>
      </c>
      <c r="V72" s="21">
        <f t="shared" si="2"/>
        <v>1600</v>
      </c>
    </row>
    <row r="73" ht="14.25" customHeight="1">
      <c r="A73" s="38">
        <v>0.31666666666666665</v>
      </c>
      <c r="B73" s="36">
        <v>67.0</v>
      </c>
      <c r="C73" s="36">
        <v>9.9</v>
      </c>
      <c r="D73" s="36">
        <v>956.0</v>
      </c>
      <c r="E73" s="36">
        <v>863.0</v>
      </c>
      <c r="F73" s="36">
        <v>0.9</v>
      </c>
      <c r="G73" s="36">
        <v>19.0</v>
      </c>
      <c r="H73" s="36">
        <v>1.35</v>
      </c>
      <c r="I73" s="36">
        <v>26.0</v>
      </c>
      <c r="J73" s="36">
        <v>85.4</v>
      </c>
      <c r="K73" s="36">
        <v>95.0</v>
      </c>
      <c r="L73" s="36">
        <v>44.2</v>
      </c>
      <c r="M73" s="36">
        <v>105.0</v>
      </c>
      <c r="N73" s="36">
        <v>42.0</v>
      </c>
      <c r="O73" s="36">
        <v>19.0</v>
      </c>
      <c r="P73" s="36">
        <v>33.0</v>
      </c>
      <c r="Q73" s="36">
        <v>0.43</v>
      </c>
      <c r="R73" s="36">
        <v>1.35</v>
      </c>
      <c r="S73" s="36">
        <v>1.77</v>
      </c>
      <c r="T73" s="36">
        <v>3.12</v>
      </c>
      <c r="U73" s="21">
        <f t="shared" si="1"/>
        <v>3120</v>
      </c>
      <c r="V73" s="21">
        <f t="shared" si="2"/>
        <v>0</v>
      </c>
    </row>
    <row r="74" ht="14.25" customHeight="1">
      <c r="A74" s="38">
        <v>0.31875</v>
      </c>
      <c r="B74" s="36">
        <v>68.0</v>
      </c>
      <c r="C74" s="36">
        <v>9.9</v>
      </c>
      <c r="D74" s="36">
        <v>956.0</v>
      </c>
      <c r="E74" s="36">
        <v>863.0</v>
      </c>
      <c r="F74" s="36">
        <v>0.9</v>
      </c>
      <c r="G74" s="36">
        <v>19.0</v>
      </c>
      <c r="H74" s="36">
        <v>1.35</v>
      </c>
      <c r="I74" s="36">
        <v>26.0</v>
      </c>
      <c r="J74" s="36">
        <v>85.4</v>
      </c>
      <c r="K74" s="36">
        <v>95.0</v>
      </c>
      <c r="L74" s="36">
        <v>44.3</v>
      </c>
      <c r="M74" s="36">
        <v>105.0</v>
      </c>
      <c r="N74" s="36">
        <v>42.0</v>
      </c>
      <c r="O74" s="36">
        <v>19.0</v>
      </c>
      <c r="P74" s="36">
        <v>33.0</v>
      </c>
      <c r="Q74" s="36">
        <v>0.43</v>
      </c>
      <c r="R74" s="36">
        <v>1.35</v>
      </c>
      <c r="S74" s="36">
        <v>1.77</v>
      </c>
      <c r="T74" s="36">
        <v>3.12</v>
      </c>
      <c r="U74" s="21">
        <f t="shared" si="1"/>
        <v>3120</v>
      </c>
      <c r="V74" s="21">
        <f t="shared" si="2"/>
        <v>4900</v>
      </c>
    </row>
    <row r="75" ht="14.25" customHeight="1">
      <c r="A75" s="38">
        <v>0.32013888888888886</v>
      </c>
      <c r="B75" s="36">
        <v>69.0</v>
      </c>
      <c r="C75" s="36">
        <v>10.2</v>
      </c>
      <c r="D75" s="36">
        <v>988.0</v>
      </c>
      <c r="E75" s="36">
        <v>892.0</v>
      </c>
      <c r="F75" s="36">
        <v>0.9</v>
      </c>
      <c r="G75" s="36">
        <v>20.0</v>
      </c>
      <c r="H75" s="36">
        <v>1.37</v>
      </c>
      <c r="I75" s="36">
        <v>26.9</v>
      </c>
      <c r="J75" s="36">
        <v>84.9</v>
      </c>
      <c r="K75" s="36">
        <v>96.0</v>
      </c>
      <c r="L75" s="36">
        <v>43.7</v>
      </c>
      <c r="M75" s="36">
        <v>105.0</v>
      </c>
      <c r="N75" s="36">
        <v>42.0</v>
      </c>
      <c r="O75" s="36">
        <v>20.0</v>
      </c>
      <c r="P75" s="36">
        <v>34.0</v>
      </c>
      <c r="Q75" s="36">
        <v>0.43</v>
      </c>
      <c r="R75" s="36">
        <v>1.3</v>
      </c>
      <c r="S75" s="36">
        <v>1.75</v>
      </c>
      <c r="T75" s="36">
        <v>3.05</v>
      </c>
      <c r="U75" s="21">
        <f t="shared" si="1"/>
        <v>3050</v>
      </c>
      <c r="V75" s="21">
        <f t="shared" si="2"/>
        <v>3600</v>
      </c>
    </row>
    <row r="76" ht="14.25" customHeight="1">
      <c r="A76" s="38">
        <v>0.32222222222222224</v>
      </c>
      <c r="B76" s="36">
        <v>70.0</v>
      </c>
      <c r="C76" s="36">
        <v>10.5</v>
      </c>
      <c r="D76" s="36">
        <v>1023.0</v>
      </c>
      <c r="E76" s="36">
        <v>927.0</v>
      </c>
      <c r="F76" s="36">
        <v>0.91</v>
      </c>
      <c r="G76" s="36">
        <v>20.0</v>
      </c>
      <c r="H76" s="36">
        <v>1.39</v>
      </c>
      <c r="I76" s="36">
        <v>28.0</v>
      </c>
      <c r="J76" s="36">
        <v>84.3</v>
      </c>
      <c r="K76" s="36">
        <v>96.0</v>
      </c>
      <c r="L76" s="36">
        <v>43.8</v>
      </c>
      <c r="M76" s="36">
        <v>105.0</v>
      </c>
      <c r="N76" s="36">
        <v>42.0</v>
      </c>
      <c r="O76" s="36">
        <v>20.0</v>
      </c>
      <c r="P76" s="36">
        <v>36.0</v>
      </c>
      <c r="Q76" s="36">
        <v>0.43</v>
      </c>
      <c r="R76" s="36">
        <v>1.28</v>
      </c>
      <c r="S76" s="36">
        <v>1.7</v>
      </c>
      <c r="T76" s="36">
        <v>2.99</v>
      </c>
      <c r="U76" s="21">
        <f t="shared" si="1"/>
        <v>2990</v>
      </c>
      <c r="V76" s="21">
        <f t="shared" si="2"/>
        <v>2500</v>
      </c>
    </row>
    <row r="77" ht="14.25" customHeight="1">
      <c r="A77" s="38">
        <v>0.32430555555555557</v>
      </c>
      <c r="B77" s="36">
        <v>71.0</v>
      </c>
      <c r="C77" s="36">
        <v>10.7</v>
      </c>
      <c r="D77" s="36">
        <v>1038.0</v>
      </c>
      <c r="E77" s="36">
        <v>949.0</v>
      </c>
      <c r="F77" s="36">
        <v>0.91</v>
      </c>
      <c r="G77" s="36">
        <v>20.0</v>
      </c>
      <c r="H77" s="36">
        <v>1.4</v>
      </c>
      <c r="I77" s="36">
        <v>28.6</v>
      </c>
      <c r="J77" s="36">
        <v>83.9</v>
      </c>
      <c r="K77" s="36">
        <v>96.0</v>
      </c>
      <c r="L77" s="36">
        <v>43.4</v>
      </c>
      <c r="M77" s="36">
        <v>106.0</v>
      </c>
      <c r="N77" s="36">
        <v>42.0</v>
      </c>
      <c r="O77" s="36">
        <v>20.0</v>
      </c>
      <c r="P77" s="36">
        <v>36.0</v>
      </c>
      <c r="Q77" s="36">
        <v>0.43</v>
      </c>
      <c r="R77" s="36">
        <v>1.26</v>
      </c>
      <c r="S77" s="36">
        <v>1.68</v>
      </c>
      <c r="T77" s="36">
        <v>2.94</v>
      </c>
      <c r="U77" s="21">
        <f t="shared" si="1"/>
        <v>2940</v>
      </c>
      <c r="V77" s="21">
        <f t="shared" si="2"/>
        <v>400</v>
      </c>
    </row>
    <row r="78" ht="14.25" customHeight="1">
      <c r="A78" s="38">
        <v>0.3263888888888889</v>
      </c>
      <c r="B78" s="36">
        <v>72.0</v>
      </c>
      <c r="C78" s="36">
        <v>10.9</v>
      </c>
      <c r="D78" s="36">
        <v>1060.0</v>
      </c>
      <c r="E78" s="36">
        <v>968.0</v>
      </c>
      <c r="F78" s="36">
        <v>0.91</v>
      </c>
      <c r="G78" s="36">
        <v>20.0</v>
      </c>
      <c r="H78" s="36">
        <v>1.44</v>
      </c>
      <c r="I78" s="36">
        <v>29.1</v>
      </c>
      <c r="J78" s="36">
        <v>83.7</v>
      </c>
      <c r="K78" s="36">
        <v>97.0</v>
      </c>
      <c r="L78" s="36">
        <v>43.1</v>
      </c>
      <c r="M78" s="36">
        <v>106.0</v>
      </c>
      <c r="N78" s="36">
        <v>41.0</v>
      </c>
      <c r="O78" s="36">
        <v>20.0</v>
      </c>
      <c r="P78" s="36">
        <v>37.0</v>
      </c>
      <c r="Q78" s="36">
        <v>0.43</v>
      </c>
      <c r="R78" s="36">
        <v>1.28</v>
      </c>
      <c r="S78" s="36">
        <v>1.69</v>
      </c>
      <c r="T78" s="36">
        <v>2.96</v>
      </c>
      <c r="U78" s="21">
        <f t="shared" si="1"/>
        <v>2960</v>
      </c>
      <c r="V78" s="21">
        <f t="shared" si="2"/>
        <v>100</v>
      </c>
    </row>
    <row r="79" ht="14.25" customHeight="1">
      <c r="A79" s="38">
        <v>0.3284722222222222</v>
      </c>
      <c r="B79" s="36">
        <v>73.0</v>
      </c>
      <c r="C79" s="36">
        <v>11.0</v>
      </c>
      <c r="D79" s="36">
        <v>1066.0</v>
      </c>
      <c r="E79" s="36">
        <v>984.0</v>
      </c>
      <c r="F79" s="36">
        <v>0.92</v>
      </c>
      <c r="G79" s="36">
        <v>20.0</v>
      </c>
      <c r="H79" s="36">
        <v>1.46</v>
      </c>
      <c r="I79" s="36">
        <v>29.7</v>
      </c>
      <c r="J79" s="36">
        <v>83.3</v>
      </c>
      <c r="K79" s="36">
        <v>97.0</v>
      </c>
      <c r="L79" s="36">
        <v>42.8</v>
      </c>
      <c r="M79" s="36">
        <v>106.0</v>
      </c>
      <c r="N79" s="36">
        <v>41.0</v>
      </c>
      <c r="O79" s="36">
        <v>20.0</v>
      </c>
      <c r="P79" s="36">
        <v>37.0</v>
      </c>
      <c r="Q79" s="36">
        <v>0.43</v>
      </c>
      <c r="R79" s="36">
        <v>1.28</v>
      </c>
      <c r="S79" s="36">
        <v>1.67</v>
      </c>
      <c r="T79" s="36">
        <v>2.95</v>
      </c>
      <c r="U79" s="21">
        <f t="shared" si="1"/>
        <v>2950</v>
      </c>
      <c r="V79" s="21">
        <f t="shared" si="2"/>
        <v>0</v>
      </c>
    </row>
    <row r="80" ht="14.25" customHeight="1">
      <c r="A80" s="38">
        <v>0.33055555555555555</v>
      </c>
      <c r="B80" s="36">
        <v>74.0</v>
      </c>
      <c r="C80" s="36">
        <v>11.0</v>
      </c>
      <c r="D80" s="36">
        <v>1067.0</v>
      </c>
      <c r="E80" s="36">
        <v>984.0</v>
      </c>
      <c r="F80" s="36">
        <v>0.92</v>
      </c>
      <c r="G80" s="36">
        <v>20.0</v>
      </c>
      <c r="H80" s="36">
        <v>1.46</v>
      </c>
      <c r="I80" s="36">
        <v>29.7</v>
      </c>
      <c r="J80" s="36">
        <v>83.3</v>
      </c>
      <c r="K80" s="36">
        <v>98.0</v>
      </c>
      <c r="L80" s="36">
        <v>42.1</v>
      </c>
      <c r="M80" s="36">
        <v>106.0</v>
      </c>
      <c r="N80" s="36">
        <v>41.0</v>
      </c>
      <c r="O80" s="36">
        <v>20.0</v>
      </c>
      <c r="P80" s="36">
        <v>37.0</v>
      </c>
      <c r="Q80" s="36">
        <v>0.43</v>
      </c>
      <c r="R80" s="36">
        <v>1.28</v>
      </c>
      <c r="S80" s="36">
        <v>1.67</v>
      </c>
      <c r="T80" s="36">
        <v>2.95</v>
      </c>
      <c r="U80" s="21">
        <f t="shared" si="1"/>
        <v>2950</v>
      </c>
      <c r="V80" s="21">
        <f t="shared" si="2"/>
        <v>100</v>
      </c>
    </row>
    <row r="81" ht="14.25" customHeight="1">
      <c r="A81" s="38">
        <v>0.3326388888888889</v>
      </c>
      <c r="B81" s="36">
        <v>75.0</v>
      </c>
      <c r="C81" s="36">
        <v>11.0</v>
      </c>
      <c r="D81" s="36">
        <v>1067.0</v>
      </c>
      <c r="E81" s="36">
        <v>997.0</v>
      </c>
      <c r="F81" s="36">
        <v>0.93</v>
      </c>
      <c r="G81" s="36">
        <v>20.0</v>
      </c>
      <c r="H81" s="36">
        <v>1.48</v>
      </c>
      <c r="I81" s="36">
        <v>30.0</v>
      </c>
      <c r="J81" s="36">
        <v>83.1</v>
      </c>
      <c r="K81" s="36">
        <v>98.0</v>
      </c>
      <c r="L81" s="36">
        <v>42.1</v>
      </c>
      <c r="M81" s="36">
        <v>107.0</v>
      </c>
      <c r="N81" s="36">
        <v>41.0</v>
      </c>
      <c r="O81" s="36">
        <v>20.0</v>
      </c>
      <c r="P81" s="36">
        <v>37.0</v>
      </c>
      <c r="Q81" s="36">
        <v>0.43</v>
      </c>
      <c r="R81" s="36">
        <v>1.28</v>
      </c>
      <c r="S81" s="36">
        <v>1.68</v>
      </c>
      <c r="T81" s="36">
        <v>2.96</v>
      </c>
      <c r="U81" s="21">
        <f t="shared" si="1"/>
        <v>2960</v>
      </c>
      <c r="V81" s="21">
        <f t="shared" si="2"/>
        <v>400</v>
      </c>
    </row>
    <row r="82" ht="14.25" customHeight="1">
      <c r="A82" s="38">
        <v>0.3347222222222222</v>
      </c>
      <c r="B82" s="36">
        <v>76.0</v>
      </c>
      <c r="C82" s="36">
        <v>11.0</v>
      </c>
      <c r="D82" s="36">
        <v>1070.0</v>
      </c>
      <c r="E82" s="36">
        <v>999.0</v>
      </c>
      <c r="F82" s="36">
        <v>0.93</v>
      </c>
      <c r="G82" s="36">
        <v>20.0</v>
      </c>
      <c r="H82" s="36">
        <v>1.48</v>
      </c>
      <c r="I82" s="36">
        <v>30.1</v>
      </c>
      <c r="J82" s="36">
        <v>83.1</v>
      </c>
      <c r="K82" s="36">
        <v>99.0</v>
      </c>
      <c r="L82" s="36">
        <v>41.9</v>
      </c>
      <c r="M82" s="36">
        <v>107.0</v>
      </c>
      <c r="N82" s="36">
        <v>41.0</v>
      </c>
      <c r="O82" s="36">
        <v>20.0</v>
      </c>
      <c r="P82" s="36">
        <v>37.0</v>
      </c>
      <c r="Q82" s="36">
        <v>0.43</v>
      </c>
      <c r="R82" s="36">
        <v>1.27</v>
      </c>
      <c r="S82" s="36">
        <v>1.68</v>
      </c>
      <c r="T82" s="36">
        <v>2.94</v>
      </c>
      <c r="U82" s="21">
        <f t="shared" si="1"/>
        <v>2940</v>
      </c>
      <c r="V82" s="21">
        <f t="shared" si="2"/>
        <v>1600</v>
      </c>
    </row>
    <row r="83" ht="14.25" customHeight="1">
      <c r="A83" s="38">
        <v>0.3368055555555556</v>
      </c>
      <c r="B83" s="36">
        <v>77.0</v>
      </c>
      <c r="C83" s="36">
        <v>10.8</v>
      </c>
      <c r="D83" s="36">
        <v>1048.0</v>
      </c>
      <c r="E83" s="36">
        <v>986.0</v>
      </c>
      <c r="F83" s="36">
        <v>0.94</v>
      </c>
      <c r="G83" s="36">
        <v>20.0</v>
      </c>
      <c r="H83" s="36">
        <v>1.47</v>
      </c>
      <c r="I83" s="36">
        <v>29.7</v>
      </c>
      <c r="J83" s="36">
        <v>83.3</v>
      </c>
      <c r="K83" s="36">
        <v>99.0</v>
      </c>
      <c r="L83" s="36">
        <v>41.7</v>
      </c>
      <c r="M83" s="36">
        <v>107.0</v>
      </c>
      <c r="N83" s="36">
        <v>41.0</v>
      </c>
      <c r="O83" s="36">
        <v>20.0</v>
      </c>
      <c r="P83" s="36">
        <v>36.0</v>
      </c>
      <c r="Q83" s="36">
        <v>0.42</v>
      </c>
      <c r="R83" s="36">
        <v>1.27</v>
      </c>
      <c r="S83" s="36">
        <v>1.72</v>
      </c>
      <c r="T83" s="36">
        <v>2.98</v>
      </c>
      <c r="U83" s="21">
        <f t="shared" si="1"/>
        <v>2980</v>
      </c>
      <c r="V83" s="21">
        <f t="shared" si="2"/>
        <v>1600</v>
      </c>
    </row>
    <row r="84" ht="14.25" customHeight="1">
      <c r="A84" s="38">
        <v>0.3388888888888889</v>
      </c>
      <c r="B84" s="36">
        <v>78.0</v>
      </c>
      <c r="C84" s="36">
        <v>10.7</v>
      </c>
      <c r="D84" s="36">
        <v>1043.0</v>
      </c>
      <c r="E84" s="36">
        <v>980.0</v>
      </c>
      <c r="F84" s="36">
        <v>0.94</v>
      </c>
      <c r="G84" s="36">
        <v>20.0</v>
      </c>
      <c r="H84" s="36">
        <v>1.47</v>
      </c>
      <c r="I84" s="36">
        <v>29.2</v>
      </c>
      <c r="J84" s="36">
        <v>83.6</v>
      </c>
      <c r="K84" s="36">
        <v>99.0</v>
      </c>
      <c r="L84" s="36">
        <v>41.7</v>
      </c>
      <c r="M84" s="36">
        <v>106.0</v>
      </c>
      <c r="N84" s="36">
        <v>42.0</v>
      </c>
      <c r="O84" s="36">
        <v>20.0</v>
      </c>
      <c r="P84" s="36">
        <v>36.0</v>
      </c>
      <c r="Q84" s="36">
        <v>0.42</v>
      </c>
      <c r="R84" s="36">
        <v>1.27</v>
      </c>
      <c r="S84" s="36">
        <v>1.75</v>
      </c>
      <c r="T84" s="36">
        <v>3.02</v>
      </c>
      <c r="U84" s="21">
        <f t="shared" si="1"/>
        <v>3020</v>
      </c>
      <c r="V84" s="21">
        <f t="shared" si="2"/>
        <v>0</v>
      </c>
    </row>
    <row r="85" ht="14.25" customHeight="1">
      <c r="A85" s="38">
        <v>0.34097222222222223</v>
      </c>
      <c r="B85" s="36">
        <v>79.0</v>
      </c>
      <c r="C85" s="36">
        <v>10.9</v>
      </c>
      <c r="D85" s="36">
        <v>1060.0</v>
      </c>
      <c r="E85" s="36">
        <v>993.0</v>
      </c>
      <c r="F85" s="36">
        <v>0.94</v>
      </c>
      <c r="G85" s="36">
        <v>20.0</v>
      </c>
      <c r="H85" s="36">
        <v>1.47</v>
      </c>
      <c r="I85" s="36">
        <v>29.3</v>
      </c>
      <c r="J85" s="36">
        <v>83.6</v>
      </c>
      <c r="K85" s="36">
        <v>99.0</v>
      </c>
      <c r="L85" s="36">
        <v>41.6</v>
      </c>
      <c r="M85" s="36">
        <v>106.0</v>
      </c>
      <c r="N85" s="36">
        <v>42.0</v>
      </c>
      <c r="O85" s="36">
        <v>20.0</v>
      </c>
      <c r="P85" s="36">
        <v>37.0</v>
      </c>
      <c r="Q85" s="36">
        <v>0.42</v>
      </c>
      <c r="R85" s="36">
        <v>1.27</v>
      </c>
      <c r="S85" s="36">
        <v>1.75</v>
      </c>
      <c r="T85" s="36">
        <v>3.02</v>
      </c>
      <c r="U85" s="21">
        <f t="shared" si="1"/>
        <v>3020</v>
      </c>
      <c r="V85" s="21">
        <f t="shared" si="2"/>
        <v>0</v>
      </c>
    </row>
    <row r="86" ht="14.25" customHeight="1">
      <c r="A86" s="38">
        <v>0.34375</v>
      </c>
      <c r="B86" s="36">
        <v>80.0</v>
      </c>
      <c r="C86" s="36">
        <v>11.0</v>
      </c>
      <c r="D86" s="36">
        <v>1065.0</v>
      </c>
      <c r="E86" s="36">
        <v>996.0</v>
      </c>
      <c r="F86" s="36">
        <v>0.93</v>
      </c>
      <c r="G86" s="36">
        <v>20.0</v>
      </c>
      <c r="H86" s="36">
        <v>1.47</v>
      </c>
      <c r="I86" s="36">
        <v>29.2</v>
      </c>
      <c r="J86" s="36">
        <v>83.6</v>
      </c>
      <c r="K86" s="36">
        <v>99.0</v>
      </c>
      <c r="L86" s="36">
        <v>41.7</v>
      </c>
      <c r="M86" s="36">
        <v>106.0</v>
      </c>
      <c r="N86" s="36">
        <v>43.0</v>
      </c>
      <c r="O86" s="36">
        <v>20.0</v>
      </c>
      <c r="P86" s="36">
        <v>37.0</v>
      </c>
      <c r="Q86" s="36">
        <v>0.42</v>
      </c>
      <c r="R86" s="36">
        <v>1.28</v>
      </c>
      <c r="S86" s="36">
        <v>1.74</v>
      </c>
      <c r="T86" s="36">
        <v>3.02</v>
      </c>
      <c r="U86" s="21">
        <f t="shared" si="1"/>
        <v>3020</v>
      </c>
      <c r="V86" s="21">
        <f t="shared" si="2"/>
        <v>400</v>
      </c>
    </row>
    <row r="87" ht="14.25" customHeight="1">
      <c r="A87" s="38">
        <v>0.3458333333333333</v>
      </c>
      <c r="B87" s="36">
        <v>81.0</v>
      </c>
      <c r="C87" s="36">
        <v>11.1</v>
      </c>
      <c r="D87" s="36">
        <v>1077.0</v>
      </c>
      <c r="E87" s="36">
        <v>1005.0</v>
      </c>
      <c r="F87" s="36">
        <v>0.93</v>
      </c>
      <c r="G87" s="36">
        <v>20.0</v>
      </c>
      <c r="H87" s="36">
        <v>1.49</v>
      </c>
      <c r="I87" s="36">
        <v>29.4</v>
      </c>
      <c r="J87" s="36">
        <v>83.5</v>
      </c>
      <c r="K87" s="36">
        <v>99.0</v>
      </c>
      <c r="L87" s="36">
        <v>41.6</v>
      </c>
      <c r="M87" s="36">
        <v>105.0</v>
      </c>
      <c r="N87" s="36">
        <v>43.0</v>
      </c>
      <c r="O87" s="36">
        <v>20.0</v>
      </c>
      <c r="P87" s="36">
        <v>37.0</v>
      </c>
      <c r="Q87" s="36">
        <v>0.42</v>
      </c>
      <c r="R87" s="36">
        <v>1.29</v>
      </c>
      <c r="S87" s="36">
        <v>1.75</v>
      </c>
      <c r="T87" s="36">
        <v>3.04</v>
      </c>
      <c r="U87" s="21">
        <f t="shared" si="1"/>
        <v>3040</v>
      </c>
      <c r="V87" s="21">
        <f t="shared" si="2"/>
        <v>100</v>
      </c>
    </row>
    <row r="88" ht="14.25" customHeight="1">
      <c r="A88" s="38">
        <v>0.34791666666666665</v>
      </c>
      <c r="B88" s="36">
        <v>82.0</v>
      </c>
      <c r="C88" s="36">
        <v>11.1</v>
      </c>
      <c r="D88" s="36">
        <v>1073.0</v>
      </c>
      <c r="E88" s="36">
        <v>1000.0</v>
      </c>
      <c r="F88" s="36">
        <v>0.93</v>
      </c>
      <c r="G88" s="36">
        <v>20.0</v>
      </c>
      <c r="H88" s="36">
        <v>1.47</v>
      </c>
      <c r="I88" s="36">
        <v>29.2</v>
      </c>
      <c r="J88" s="36">
        <v>83.6</v>
      </c>
      <c r="K88" s="36">
        <v>99.0</v>
      </c>
      <c r="L88" s="36">
        <v>41.6</v>
      </c>
      <c r="M88" s="36">
        <v>105.0</v>
      </c>
      <c r="N88" s="36">
        <v>43.0</v>
      </c>
      <c r="O88" s="36">
        <v>20.0</v>
      </c>
      <c r="P88" s="36">
        <v>37.0</v>
      </c>
      <c r="Q88" s="36">
        <v>0.42</v>
      </c>
      <c r="R88" s="36">
        <v>1.27</v>
      </c>
      <c r="S88" s="36">
        <v>1.76</v>
      </c>
      <c r="T88" s="36">
        <v>3.03</v>
      </c>
      <c r="U88" s="21">
        <f t="shared" si="1"/>
        <v>3030</v>
      </c>
      <c r="V88" s="21">
        <f t="shared" si="2"/>
        <v>3600</v>
      </c>
    </row>
    <row r="89" ht="14.25" customHeight="1">
      <c r="A89" s="38">
        <v>0.35</v>
      </c>
      <c r="B89" s="36">
        <v>83.0</v>
      </c>
      <c r="C89" s="36">
        <v>10.9</v>
      </c>
      <c r="D89" s="36">
        <v>1062.0</v>
      </c>
      <c r="E89" s="36">
        <v>989.0</v>
      </c>
      <c r="F89" s="36">
        <v>0.93</v>
      </c>
      <c r="G89" s="36">
        <v>19.0</v>
      </c>
      <c r="H89" s="36">
        <v>1.48</v>
      </c>
      <c r="I89" s="36">
        <v>28.8</v>
      </c>
      <c r="J89" s="36">
        <v>83.8</v>
      </c>
      <c r="K89" s="36">
        <v>99.0</v>
      </c>
      <c r="L89" s="36">
        <v>41.5</v>
      </c>
      <c r="M89" s="36">
        <v>105.0</v>
      </c>
      <c r="N89" s="36">
        <v>43.0</v>
      </c>
      <c r="O89" s="36">
        <v>19.0</v>
      </c>
      <c r="P89" s="36">
        <v>37.0</v>
      </c>
      <c r="Q89" s="36">
        <v>0.42</v>
      </c>
      <c r="R89" s="36">
        <v>1.3</v>
      </c>
      <c r="S89" s="36">
        <v>1.79</v>
      </c>
      <c r="T89" s="36">
        <v>3.09</v>
      </c>
      <c r="U89" s="21">
        <f t="shared" si="1"/>
        <v>3090</v>
      </c>
      <c r="V89" s="21">
        <f t="shared" si="2"/>
        <v>2500</v>
      </c>
    </row>
    <row r="90" ht="14.25" customHeight="1">
      <c r="A90" s="38">
        <v>0.35208333333333336</v>
      </c>
      <c r="B90" s="36">
        <v>84.0</v>
      </c>
      <c r="C90" s="36">
        <v>11.0</v>
      </c>
      <c r="D90" s="36">
        <v>1065.0</v>
      </c>
      <c r="E90" s="36">
        <v>994.0</v>
      </c>
      <c r="F90" s="36">
        <v>0.93</v>
      </c>
      <c r="G90" s="36">
        <v>20.0</v>
      </c>
      <c r="H90" s="36">
        <v>1.47</v>
      </c>
      <c r="I90" s="36">
        <v>29.1</v>
      </c>
      <c r="J90" s="36">
        <v>83.7</v>
      </c>
      <c r="K90" s="36">
        <v>99.0</v>
      </c>
      <c r="L90" s="36">
        <v>41.7</v>
      </c>
      <c r="M90" s="36">
        <v>105.0</v>
      </c>
      <c r="N90" s="36">
        <v>43.0</v>
      </c>
      <c r="O90" s="36">
        <v>20.0</v>
      </c>
      <c r="P90" s="36">
        <v>37.0</v>
      </c>
      <c r="Q90" s="36">
        <v>0.42</v>
      </c>
      <c r="R90" s="36">
        <v>1.27</v>
      </c>
      <c r="S90" s="36">
        <v>1.77</v>
      </c>
      <c r="T90" s="36">
        <v>3.04</v>
      </c>
      <c r="U90" s="21">
        <f t="shared" si="1"/>
        <v>3040</v>
      </c>
      <c r="V90" s="21">
        <f t="shared" si="2"/>
        <v>400</v>
      </c>
    </row>
    <row r="91" ht="14.25" customHeight="1">
      <c r="A91" s="38">
        <v>0.3541666666666667</v>
      </c>
      <c r="B91" s="36">
        <v>85.0</v>
      </c>
      <c r="C91" s="36">
        <v>11.1</v>
      </c>
      <c r="D91" s="36">
        <v>1077.0</v>
      </c>
      <c r="E91" s="36">
        <v>1006.0</v>
      </c>
      <c r="F91" s="36">
        <v>0.93</v>
      </c>
      <c r="G91" s="36">
        <v>20.0</v>
      </c>
      <c r="H91" s="36">
        <v>1.48</v>
      </c>
      <c r="I91" s="36">
        <v>29.4</v>
      </c>
      <c r="J91" s="36">
        <v>83.5</v>
      </c>
      <c r="K91" s="36">
        <v>100.0</v>
      </c>
      <c r="L91" s="36">
        <v>41.0</v>
      </c>
      <c r="M91" s="36">
        <v>105.0</v>
      </c>
      <c r="N91" s="36">
        <v>43.0</v>
      </c>
      <c r="O91" s="36">
        <v>20.0</v>
      </c>
      <c r="P91" s="36">
        <v>37.0</v>
      </c>
      <c r="Q91" s="36">
        <v>0.42</v>
      </c>
      <c r="R91" s="36">
        <v>1.27</v>
      </c>
      <c r="S91" s="36">
        <v>1.76</v>
      </c>
      <c r="T91" s="36">
        <v>3.02</v>
      </c>
      <c r="U91" s="21">
        <f t="shared" si="1"/>
        <v>3020</v>
      </c>
      <c r="V91" s="21">
        <f t="shared" si="2"/>
        <v>1600</v>
      </c>
    </row>
    <row r="92" ht="14.25" customHeight="1">
      <c r="A92" s="38">
        <v>0.35625</v>
      </c>
      <c r="B92" s="36">
        <v>86.0</v>
      </c>
      <c r="C92" s="36">
        <v>11.0</v>
      </c>
      <c r="D92" s="36">
        <v>1071.0</v>
      </c>
      <c r="E92" s="36">
        <v>1003.0</v>
      </c>
      <c r="F92" s="36">
        <v>0.94</v>
      </c>
      <c r="G92" s="36">
        <v>20.0</v>
      </c>
      <c r="H92" s="36">
        <v>1.49</v>
      </c>
      <c r="I92" s="36">
        <v>29.3</v>
      </c>
      <c r="J92" s="36">
        <v>83.5</v>
      </c>
      <c r="K92" s="36">
        <v>101.0</v>
      </c>
      <c r="L92" s="36">
        <v>40.6</v>
      </c>
      <c r="M92" s="36">
        <v>105.0</v>
      </c>
      <c r="N92" s="36">
        <v>43.0</v>
      </c>
      <c r="O92" s="36">
        <v>20.0</v>
      </c>
      <c r="P92" s="36">
        <v>37.0</v>
      </c>
      <c r="Q92" s="36">
        <v>0.42</v>
      </c>
      <c r="R92" s="36">
        <v>1.27</v>
      </c>
      <c r="S92" s="36">
        <v>1.79</v>
      </c>
      <c r="T92" s="36">
        <v>3.06</v>
      </c>
      <c r="U92" s="21">
        <f t="shared" si="1"/>
        <v>3060</v>
      </c>
      <c r="V92" s="21">
        <f t="shared" si="2"/>
        <v>0</v>
      </c>
    </row>
    <row r="93" ht="14.25" customHeight="1">
      <c r="A93" s="38">
        <v>0.35833333333333334</v>
      </c>
      <c r="B93" s="36">
        <v>87.0</v>
      </c>
      <c r="C93" s="36">
        <v>11.3</v>
      </c>
      <c r="D93" s="36">
        <v>1093.0</v>
      </c>
      <c r="E93" s="36">
        <v>1021.0</v>
      </c>
      <c r="F93" s="36">
        <v>0.93</v>
      </c>
      <c r="G93" s="36">
        <v>20.0</v>
      </c>
      <c r="H93" s="36">
        <v>1.52</v>
      </c>
      <c r="I93" s="36">
        <v>29.7</v>
      </c>
      <c r="J93" s="36">
        <v>83.3</v>
      </c>
      <c r="K93" s="36">
        <v>102.0</v>
      </c>
      <c r="L93" s="36">
        <v>40.1</v>
      </c>
      <c r="M93" s="36">
        <v>105.0</v>
      </c>
      <c r="N93" s="36">
        <v>43.0</v>
      </c>
      <c r="O93" s="36">
        <v>20.0</v>
      </c>
      <c r="P93" s="36">
        <v>38.0</v>
      </c>
      <c r="Q93" s="36">
        <v>0.42</v>
      </c>
      <c r="R93" s="36">
        <v>1.27</v>
      </c>
      <c r="S93" s="36">
        <v>1.79</v>
      </c>
      <c r="T93" s="36">
        <v>3.06</v>
      </c>
      <c r="U93" s="21">
        <f t="shared" si="1"/>
        <v>3060</v>
      </c>
      <c r="V93" s="21">
        <f t="shared" si="2"/>
        <v>100</v>
      </c>
    </row>
    <row r="94" ht="14.25" customHeight="1">
      <c r="A94" s="38">
        <v>0.36041666666666666</v>
      </c>
      <c r="B94" s="36">
        <v>88.0</v>
      </c>
      <c r="C94" s="36">
        <v>11.5</v>
      </c>
      <c r="D94" s="36">
        <v>1116.0</v>
      </c>
      <c r="E94" s="36">
        <v>1042.0</v>
      </c>
      <c r="F94" s="36">
        <v>0.93</v>
      </c>
      <c r="G94" s="36">
        <v>20.0</v>
      </c>
      <c r="H94" s="36">
        <v>1.53</v>
      </c>
      <c r="I94" s="36">
        <v>30.1</v>
      </c>
      <c r="J94" s="36">
        <v>83.1</v>
      </c>
      <c r="K94" s="36">
        <v>102.0</v>
      </c>
      <c r="L94" s="36">
        <v>39.9</v>
      </c>
      <c r="M94" s="36">
        <v>105.0</v>
      </c>
      <c r="N94" s="36">
        <v>43.0</v>
      </c>
      <c r="O94" s="36">
        <v>20.0</v>
      </c>
      <c r="P94" s="36">
        <v>39.0</v>
      </c>
      <c r="Q94" s="36">
        <v>0.42</v>
      </c>
      <c r="R94" s="36">
        <v>1.28</v>
      </c>
      <c r="S94" s="36">
        <v>1.77</v>
      </c>
      <c r="T94" s="36">
        <v>3.05</v>
      </c>
      <c r="U94" s="21">
        <f t="shared" si="1"/>
        <v>3050</v>
      </c>
      <c r="V94" s="21">
        <f t="shared" si="2"/>
        <v>100</v>
      </c>
    </row>
    <row r="95" ht="14.25" customHeight="1">
      <c r="A95" s="38">
        <v>0.3625</v>
      </c>
      <c r="B95" s="36">
        <v>89.0</v>
      </c>
      <c r="C95" s="36">
        <v>11.4</v>
      </c>
      <c r="D95" s="36">
        <v>1110.0</v>
      </c>
      <c r="E95" s="36">
        <v>1051.0</v>
      </c>
      <c r="F95" s="36">
        <v>0.95</v>
      </c>
      <c r="G95" s="36">
        <v>20.0</v>
      </c>
      <c r="H95" s="36">
        <v>1.53</v>
      </c>
      <c r="I95" s="36">
        <v>30.3</v>
      </c>
      <c r="J95" s="36">
        <v>83.0</v>
      </c>
      <c r="K95" s="36">
        <v>102.0</v>
      </c>
      <c r="L95" s="36">
        <v>39.9</v>
      </c>
      <c r="M95" s="36">
        <v>105.0</v>
      </c>
      <c r="N95" s="36">
        <v>43.0</v>
      </c>
      <c r="O95" s="36">
        <v>20.0</v>
      </c>
      <c r="P95" s="36">
        <v>39.0</v>
      </c>
      <c r="Q95" s="36">
        <v>0.42</v>
      </c>
      <c r="R95" s="36">
        <v>1.28</v>
      </c>
      <c r="S95" s="36">
        <v>1.76</v>
      </c>
      <c r="T95" s="36">
        <v>3.04</v>
      </c>
      <c r="U95" s="21">
        <f t="shared" si="1"/>
        <v>3040</v>
      </c>
      <c r="V95" s="21">
        <f t="shared" si="2"/>
        <v>2500</v>
      </c>
    </row>
    <row r="96" ht="14.25" customHeight="1">
      <c r="A96" s="38">
        <v>0.3638888888888889</v>
      </c>
      <c r="B96" s="36">
        <v>90.0</v>
      </c>
      <c r="C96" s="36">
        <v>11.9</v>
      </c>
      <c r="D96" s="36">
        <v>1150.0</v>
      </c>
      <c r="E96" s="36">
        <v>1075.0</v>
      </c>
      <c r="F96" s="36">
        <v>0.94</v>
      </c>
      <c r="G96" s="36">
        <v>20.0</v>
      </c>
      <c r="H96" s="36">
        <v>1.55</v>
      </c>
      <c r="I96" s="36">
        <v>31.0</v>
      </c>
      <c r="J96" s="36">
        <v>82.6</v>
      </c>
      <c r="K96" s="36">
        <v>102.0</v>
      </c>
      <c r="L96" s="36">
        <v>39.8</v>
      </c>
      <c r="M96" s="36">
        <v>105.0</v>
      </c>
      <c r="N96" s="36">
        <v>43.0</v>
      </c>
      <c r="O96" s="36">
        <v>20.0</v>
      </c>
      <c r="P96" s="36">
        <v>40.0</v>
      </c>
      <c r="Q96" s="36">
        <v>0.43</v>
      </c>
      <c r="R96" s="36">
        <v>1.28</v>
      </c>
      <c r="S96" s="36">
        <v>1.71</v>
      </c>
      <c r="T96" s="36">
        <v>2.99</v>
      </c>
      <c r="U96" s="21">
        <f t="shared" si="1"/>
        <v>2990</v>
      </c>
      <c r="V96" s="21">
        <f t="shared" si="2"/>
        <v>3600</v>
      </c>
    </row>
    <row r="97" ht="14.25" customHeight="1">
      <c r="A97" s="38">
        <v>0.3659722222222222</v>
      </c>
      <c r="B97" s="36">
        <v>91.0</v>
      </c>
      <c r="C97" s="36">
        <v>12.3</v>
      </c>
      <c r="D97" s="36">
        <v>1196.0</v>
      </c>
      <c r="E97" s="36">
        <v>1120.0</v>
      </c>
      <c r="F97" s="36">
        <v>0.94</v>
      </c>
      <c r="G97" s="36">
        <v>20.0</v>
      </c>
      <c r="H97" s="36">
        <v>1.57</v>
      </c>
      <c r="I97" s="36">
        <v>32.1</v>
      </c>
      <c r="J97" s="36">
        <v>81.9</v>
      </c>
      <c r="K97" s="36">
        <v>103.0</v>
      </c>
      <c r="L97" s="36">
        <v>39.7</v>
      </c>
      <c r="M97" s="36">
        <v>105.0</v>
      </c>
      <c r="N97" s="36">
        <v>43.0</v>
      </c>
      <c r="O97" s="36">
        <v>20.0</v>
      </c>
      <c r="P97" s="36">
        <v>42.0</v>
      </c>
      <c r="Q97" s="36">
        <v>0.43</v>
      </c>
      <c r="R97" s="36">
        <v>1.27</v>
      </c>
      <c r="S97" s="36">
        <v>1.67</v>
      </c>
      <c r="T97" s="36">
        <v>2.93</v>
      </c>
      <c r="U97" s="21">
        <f t="shared" si="1"/>
        <v>2930</v>
      </c>
      <c r="V97" s="21">
        <f t="shared" si="2"/>
        <v>2500</v>
      </c>
    </row>
    <row r="98" ht="14.25" customHeight="1">
      <c r="A98" s="38">
        <v>0.3680555555555556</v>
      </c>
      <c r="B98" s="36">
        <v>92.0</v>
      </c>
      <c r="C98" s="36">
        <v>12.5</v>
      </c>
      <c r="D98" s="36">
        <v>1208.0</v>
      </c>
      <c r="E98" s="36">
        <v>1146.0</v>
      </c>
      <c r="F98" s="36">
        <v>0.95</v>
      </c>
      <c r="G98" s="36">
        <v>21.0</v>
      </c>
      <c r="H98" s="36">
        <v>1.58</v>
      </c>
      <c r="I98" s="36">
        <v>33.0</v>
      </c>
      <c r="J98" s="36">
        <v>81.5</v>
      </c>
      <c r="K98" s="36">
        <v>103.0</v>
      </c>
      <c r="L98" s="36">
        <v>39.6</v>
      </c>
      <c r="M98" s="36">
        <v>106.0</v>
      </c>
      <c r="N98" s="36">
        <v>43.0</v>
      </c>
      <c r="O98" s="36">
        <v>21.0</v>
      </c>
      <c r="P98" s="36">
        <v>42.0</v>
      </c>
      <c r="Q98" s="36">
        <v>0.43</v>
      </c>
      <c r="R98" s="36">
        <v>1.24</v>
      </c>
      <c r="S98" s="36">
        <v>1.64</v>
      </c>
      <c r="T98" s="36">
        <v>2.88</v>
      </c>
      <c r="U98" s="21">
        <f t="shared" si="1"/>
        <v>2880</v>
      </c>
      <c r="V98" s="21">
        <f t="shared" si="2"/>
        <v>4900</v>
      </c>
    </row>
    <row r="99" ht="14.25" customHeight="1">
      <c r="A99" s="38">
        <v>0.3701388888888889</v>
      </c>
      <c r="B99" s="36">
        <v>93.0</v>
      </c>
      <c r="C99" s="36">
        <v>12.8</v>
      </c>
      <c r="D99" s="36">
        <v>1244.0</v>
      </c>
      <c r="E99" s="36">
        <v>1193.0</v>
      </c>
      <c r="F99" s="36">
        <v>0.96</v>
      </c>
      <c r="G99" s="36">
        <v>21.0</v>
      </c>
      <c r="H99" s="36">
        <v>1.61</v>
      </c>
      <c r="I99" s="36">
        <v>34.4</v>
      </c>
      <c r="J99" s="36">
        <v>80.7</v>
      </c>
      <c r="K99" s="36">
        <v>102.0</v>
      </c>
      <c r="L99" s="36">
        <v>40.2</v>
      </c>
      <c r="M99" s="36">
        <v>106.0</v>
      </c>
      <c r="N99" s="36">
        <v>43.0</v>
      </c>
      <c r="O99" s="36">
        <v>21.0</v>
      </c>
      <c r="P99" s="36">
        <v>43.0</v>
      </c>
      <c r="Q99" s="36">
        <v>0.44</v>
      </c>
      <c r="R99" s="36">
        <v>1.22</v>
      </c>
      <c r="S99" s="36">
        <v>1.59</v>
      </c>
      <c r="T99" s="36">
        <v>2.81</v>
      </c>
      <c r="U99" s="21">
        <f t="shared" si="1"/>
        <v>2810</v>
      </c>
      <c r="V99" s="21">
        <f t="shared" si="2"/>
        <v>2500</v>
      </c>
    </row>
    <row r="100" ht="14.25" customHeight="1">
      <c r="A100" s="38">
        <v>0.37222222222222223</v>
      </c>
      <c r="B100" s="36">
        <v>94.0</v>
      </c>
      <c r="C100" s="36">
        <v>12.9</v>
      </c>
      <c r="D100" s="36">
        <v>1250.0</v>
      </c>
      <c r="E100" s="36">
        <v>1214.0</v>
      </c>
      <c r="F100" s="36">
        <v>0.97</v>
      </c>
      <c r="G100" s="36">
        <v>22.0</v>
      </c>
      <c r="H100" s="36">
        <v>1.62</v>
      </c>
      <c r="I100" s="36">
        <v>35.2</v>
      </c>
      <c r="J100" s="36">
        <v>80.2</v>
      </c>
      <c r="K100" s="36">
        <v>102.0</v>
      </c>
      <c r="L100" s="36">
        <v>40.0</v>
      </c>
      <c r="M100" s="36">
        <v>107.0</v>
      </c>
      <c r="N100" s="36">
        <v>43.0</v>
      </c>
      <c r="O100" s="36">
        <v>22.0</v>
      </c>
      <c r="P100" s="36">
        <v>43.0</v>
      </c>
      <c r="Q100" s="36">
        <v>0.44</v>
      </c>
      <c r="R100" s="36">
        <v>1.2</v>
      </c>
      <c r="S100" s="36">
        <v>1.56</v>
      </c>
      <c r="T100" s="36">
        <v>2.76</v>
      </c>
      <c r="U100" s="21">
        <f t="shared" si="1"/>
        <v>2760</v>
      </c>
      <c r="V100" s="21">
        <f t="shared" si="2"/>
        <v>2500</v>
      </c>
    </row>
    <row r="101" ht="14.25" customHeight="1">
      <c r="A101" s="38">
        <v>0.3736111111111111</v>
      </c>
      <c r="B101" s="36">
        <v>95.0</v>
      </c>
      <c r="C101" s="36">
        <v>12.8</v>
      </c>
      <c r="D101" s="36">
        <v>1244.0</v>
      </c>
      <c r="E101" s="36">
        <v>1226.0</v>
      </c>
      <c r="F101" s="36">
        <v>0.99</v>
      </c>
      <c r="G101" s="36">
        <v>22.0</v>
      </c>
      <c r="H101" s="36">
        <v>1.62</v>
      </c>
      <c r="I101" s="36">
        <v>35.8</v>
      </c>
      <c r="J101" s="36">
        <v>79.9</v>
      </c>
      <c r="K101" s="36">
        <v>102.0</v>
      </c>
      <c r="L101" s="36">
        <v>40.1</v>
      </c>
      <c r="M101" s="36">
        <v>107.0</v>
      </c>
      <c r="N101" s="36">
        <v>43.0</v>
      </c>
      <c r="O101" s="36">
        <v>22.0</v>
      </c>
      <c r="P101" s="36">
        <v>43.0</v>
      </c>
      <c r="Q101" s="36">
        <v>0.44</v>
      </c>
      <c r="R101" s="36">
        <v>1.19</v>
      </c>
      <c r="S101" s="36">
        <v>1.53</v>
      </c>
      <c r="T101" s="36">
        <v>2.71</v>
      </c>
      <c r="U101" s="21">
        <f t="shared" si="1"/>
        <v>2710</v>
      </c>
      <c r="V101" s="21">
        <f t="shared" si="2"/>
        <v>0</v>
      </c>
    </row>
    <row r="102" ht="14.25" customHeight="1">
      <c r="A102" s="38">
        <v>0.37569444444444444</v>
      </c>
      <c r="B102" s="36">
        <v>96.0</v>
      </c>
      <c r="C102" s="36">
        <v>12.8</v>
      </c>
      <c r="D102" s="36">
        <v>1245.0</v>
      </c>
      <c r="E102" s="36">
        <v>1226.0</v>
      </c>
      <c r="F102" s="36">
        <v>0.99</v>
      </c>
      <c r="G102" s="36">
        <v>22.0</v>
      </c>
      <c r="H102" s="36">
        <v>1.62</v>
      </c>
      <c r="I102" s="36">
        <v>35.8</v>
      </c>
      <c r="J102" s="36">
        <v>79.9</v>
      </c>
      <c r="K102" s="36">
        <v>102.0</v>
      </c>
      <c r="L102" s="36">
        <v>40.1</v>
      </c>
      <c r="M102" s="36">
        <v>107.0</v>
      </c>
      <c r="N102" s="36">
        <v>43.0</v>
      </c>
      <c r="O102" s="36">
        <v>22.0</v>
      </c>
      <c r="P102" s="36">
        <v>43.0</v>
      </c>
      <c r="Q102" s="36">
        <v>0.44</v>
      </c>
      <c r="R102" s="36">
        <v>1.19</v>
      </c>
      <c r="S102" s="36">
        <v>1.53</v>
      </c>
      <c r="T102" s="36">
        <v>2.71</v>
      </c>
      <c r="U102" s="21">
        <f t="shared" si="1"/>
        <v>2710</v>
      </c>
      <c r="V102" s="21">
        <f t="shared" si="2"/>
        <v>400</v>
      </c>
    </row>
    <row r="103" ht="14.25" customHeight="1">
      <c r="A103" s="38">
        <v>0.37777777777777777</v>
      </c>
      <c r="B103" s="36">
        <v>96.0</v>
      </c>
      <c r="C103" s="36">
        <v>12.7</v>
      </c>
      <c r="D103" s="36">
        <v>1229.0</v>
      </c>
      <c r="E103" s="36">
        <v>1230.0</v>
      </c>
      <c r="F103" s="36">
        <v>1.0</v>
      </c>
      <c r="G103" s="36">
        <v>22.0</v>
      </c>
      <c r="H103" s="36">
        <v>1.64</v>
      </c>
      <c r="I103" s="36">
        <v>36.0</v>
      </c>
      <c r="J103" s="36">
        <v>79.8</v>
      </c>
      <c r="K103" s="36">
        <v>102.0</v>
      </c>
      <c r="L103" s="36">
        <v>39.8</v>
      </c>
      <c r="M103" s="36">
        <v>108.0</v>
      </c>
      <c r="N103" s="36">
        <v>43.0</v>
      </c>
      <c r="O103" s="36">
        <v>22.0</v>
      </c>
      <c r="P103" s="36">
        <v>43.0</v>
      </c>
      <c r="Q103" s="36">
        <v>0.44</v>
      </c>
      <c r="R103" s="36">
        <v>1.19</v>
      </c>
      <c r="S103" s="36">
        <v>1.54</v>
      </c>
      <c r="T103" s="36">
        <v>2.73</v>
      </c>
      <c r="U103" s="21">
        <f t="shared" si="1"/>
        <v>2730</v>
      </c>
      <c r="V103" s="21">
        <f t="shared" si="2"/>
        <v>100</v>
      </c>
    </row>
    <row r="104" ht="14.25" customHeight="1">
      <c r="A104" s="38">
        <v>0.37916666666666665</v>
      </c>
      <c r="B104" s="36">
        <v>97.0</v>
      </c>
      <c r="C104" s="36">
        <v>12.6</v>
      </c>
      <c r="D104" s="36">
        <v>1221.0</v>
      </c>
      <c r="E104" s="36">
        <v>1223.0</v>
      </c>
      <c r="F104" s="36">
        <v>1.0</v>
      </c>
      <c r="G104" s="36">
        <v>22.0</v>
      </c>
      <c r="H104" s="36">
        <v>1.62</v>
      </c>
      <c r="I104" s="36">
        <v>35.6</v>
      </c>
      <c r="J104" s="36">
        <v>80.0</v>
      </c>
      <c r="K104" s="36">
        <v>104.0</v>
      </c>
      <c r="L104" s="36">
        <v>38.7</v>
      </c>
      <c r="M104" s="36">
        <v>107.0</v>
      </c>
      <c r="N104" s="36">
        <v>43.0</v>
      </c>
      <c r="O104" s="36">
        <v>22.0</v>
      </c>
      <c r="P104" s="36">
        <v>42.0</v>
      </c>
      <c r="Q104" s="36">
        <v>0.43</v>
      </c>
      <c r="R104" s="36">
        <v>1.18</v>
      </c>
      <c r="S104" s="36">
        <v>1.56</v>
      </c>
      <c r="T104" s="36">
        <v>2.74</v>
      </c>
      <c r="U104" s="21">
        <f t="shared" si="1"/>
        <v>2740</v>
      </c>
      <c r="V104" s="21">
        <f t="shared" si="2"/>
        <v>0</v>
      </c>
    </row>
    <row r="105" ht="14.25" customHeight="1">
      <c r="A105" s="38">
        <v>0.38125</v>
      </c>
      <c r="B105" s="36">
        <v>98.0</v>
      </c>
      <c r="C105" s="36">
        <v>12.6</v>
      </c>
      <c r="D105" s="36">
        <v>1224.0</v>
      </c>
      <c r="E105" s="36">
        <v>1224.0</v>
      </c>
      <c r="F105" s="36">
        <v>1.0</v>
      </c>
      <c r="G105" s="36">
        <v>22.0</v>
      </c>
      <c r="H105" s="36">
        <v>1.61</v>
      </c>
      <c r="I105" s="36">
        <v>35.3</v>
      </c>
      <c r="J105" s="36">
        <v>80.2</v>
      </c>
      <c r="K105" s="36">
        <v>106.0</v>
      </c>
      <c r="L105" s="36">
        <v>37.9</v>
      </c>
      <c r="M105" s="36">
        <v>107.0</v>
      </c>
      <c r="N105" s="36">
        <v>43.0</v>
      </c>
      <c r="O105" s="36">
        <v>22.0</v>
      </c>
      <c r="P105" s="36">
        <v>43.0</v>
      </c>
      <c r="Q105" s="36">
        <v>0.43</v>
      </c>
      <c r="R105" s="36">
        <v>1.19</v>
      </c>
      <c r="S105" s="36">
        <v>1.55</v>
      </c>
      <c r="T105" s="36">
        <v>2.74</v>
      </c>
      <c r="U105" s="21">
        <f t="shared" si="1"/>
        <v>2740</v>
      </c>
      <c r="V105" s="21">
        <f t="shared" si="2"/>
        <v>19600</v>
      </c>
    </row>
    <row r="106" ht="14.25" customHeight="1">
      <c r="A106" s="38">
        <v>0.3840277777777778</v>
      </c>
      <c r="B106" s="36">
        <v>100.0</v>
      </c>
      <c r="C106" s="36">
        <v>12.6</v>
      </c>
      <c r="D106" s="36">
        <v>1225.0</v>
      </c>
      <c r="E106" s="36">
        <v>1222.0</v>
      </c>
      <c r="F106" s="36">
        <v>1.0</v>
      </c>
      <c r="G106" s="36">
        <v>21.0</v>
      </c>
      <c r="H106" s="36">
        <v>1.67</v>
      </c>
      <c r="I106" s="36">
        <v>34.9</v>
      </c>
      <c r="J106" s="36">
        <v>80.4</v>
      </c>
      <c r="K106" s="36">
        <v>107.0</v>
      </c>
      <c r="L106" s="36">
        <v>37.2</v>
      </c>
      <c r="M106" s="36">
        <v>107.0</v>
      </c>
      <c r="N106" s="36">
        <v>43.0</v>
      </c>
      <c r="O106" s="36">
        <v>21.0</v>
      </c>
      <c r="P106" s="36">
        <v>43.0</v>
      </c>
      <c r="Q106" s="36">
        <v>0.43</v>
      </c>
      <c r="R106" s="36">
        <v>1.24</v>
      </c>
      <c r="S106" s="36">
        <v>1.64</v>
      </c>
      <c r="T106" s="36">
        <v>2.88</v>
      </c>
      <c r="U106" s="21">
        <f t="shared" si="1"/>
        <v>2880</v>
      </c>
      <c r="V106" s="21">
        <f t="shared" si="2"/>
        <v>900</v>
      </c>
    </row>
    <row r="107" ht="14.25" customHeight="1">
      <c r="A107" s="38">
        <v>0.3861111111111111</v>
      </c>
      <c r="B107" s="36">
        <v>101.0</v>
      </c>
      <c r="C107" s="36">
        <v>12.5</v>
      </c>
      <c r="D107" s="36">
        <v>1214.0</v>
      </c>
      <c r="E107" s="36">
        <v>1211.0</v>
      </c>
      <c r="F107" s="36">
        <v>1.0</v>
      </c>
      <c r="G107" s="36">
        <v>21.0</v>
      </c>
      <c r="H107" s="36">
        <v>1.64</v>
      </c>
      <c r="I107" s="36">
        <v>34.4</v>
      </c>
      <c r="J107" s="36">
        <v>80.7</v>
      </c>
      <c r="K107" s="36">
        <v>108.0</v>
      </c>
      <c r="L107" s="36">
        <v>36.7</v>
      </c>
      <c r="M107" s="36">
        <v>107.0</v>
      </c>
      <c r="N107" s="36">
        <v>43.0</v>
      </c>
      <c r="O107" s="36">
        <v>21.0</v>
      </c>
      <c r="P107" s="36">
        <v>42.0</v>
      </c>
      <c r="Q107" s="36">
        <v>0.43</v>
      </c>
      <c r="R107" s="36">
        <v>1.24</v>
      </c>
      <c r="S107" s="36">
        <v>1.61</v>
      </c>
      <c r="T107" s="36">
        <v>2.85</v>
      </c>
      <c r="U107" s="21">
        <f t="shared" si="1"/>
        <v>2850</v>
      </c>
      <c r="V107" s="21">
        <f t="shared" si="2"/>
        <v>3600</v>
      </c>
    </row>
    <row r="108" ht="14.25" customHeight="1">
      <c r="A108" s="38">
        <v>0.38819444444444445</v>
      </c>
      <c r="B108" s="36">
        <v>102.0</v>
      </c>
      <c r="C108" s="36">
        <v>12.6</v>
      </c>
      <c r="D108" s="36">
        <v>1224.0</v>
      </c>
      <c r="E108" s="36">
        <v>1220.0</v>
      </c>
      <c r="F108" s="36">
        <v>1.0</v>
      </c>
      <c r="G108" s="36">
        <v>21.0</v>
      </c>
      <c r="H108" s="36">
        <v>1.67</v>
      </c>
      <c r="I108" s="36">
        <v>34.6</v>
      </c>
      <c r="J108" s="36">
        <v>80.6</v>
      </c>
      <c r="K108" s="36">
        <v>108.0</v>
      </c>
      <c r="L108" s="36">
        <v>36.4</v>
      </c>
      <c r="M108" s="36">
        <v>107.0</v>
      </c>
      <c r="N108" s="36">
        <v>44.0</v>
      </c>
      <c r="O108" s="36">
        <v>21.0</v>
      </c>
      <c r="P108" s="36">
        <v>43.0</v>
      </c>
      <c r="Q108" s="36">
        <v>0.43</v>
      </c>
      <c r="R108" s="36">
        <v>1.25</v>
      </c>
      <c r="S108" s="36">
        <v>1.65</v>
      </c>
      <c r="T108" s="36">
        <v>2.91</v>
      </c>
      <c r="U108" s="21">
        <f t="shared" si="1"/>
        <v>2910</v>
      </c>
      <c r="V108" s="21">
        <f t="shared" si="2"/>
        <v>900</v>
      </c>
    </row>
    <row r="109" ht="14.25" customHeight="1">
      <c r="A109" s="38">
        <v>0.3902777777777778</v>
      </c>
      <c r="B109" s="36">
        <v>103.0</v>
      </c>
      <c r="C109" s="36">
        <v>12.7</v>
      </c>
      <c r="D109" s="36">
        <v>1233.0</v>
      </c>
      <c r="E109" s="36">
        <v>1230.0</v>
      </c>
      <c r="F109" s="36">
        <v>1.0</v>
      </c>
      <c r="G109" s="36">
        <v>20.0</v>
      </c>
      <c r="H109" s="36">
        <v>1.7</v>
      </c>
      <c r="I109" s="36">
        <v>34.7</v>
      </c>
      <c r="J109" s="36">
        <v>80.5</v>
      </c>
      <c r="K109" s="36">
        <v>109.0</v>
      </c>
      <c r="L109" s="36">
        <v>35.8</v>
      </c>
      <c r="M109" s="36">
        <v>106.0</v>
      </c>
      <c r="N109" s="36">
        <v>44.0</v>
      </c>
      <c r="O109" s="36">
        <v>20.0</v>
      </c>
      <c r="P109" s="36">
        <v>43.0</v>
      </c>
      <c r="Q109" s="36">
        <v>0.43</v>
      </c>
      <c r="R109" s="36">
        <v>1.26</v>
      </c>
      <c r="S109" s="36">
        <v>1.68</v>
      </c>
      <c r="T109" s="36">
        <v>2.94</v>
      </c>
      <c r="U109" s="21">
        <f t="shared" si="1"/>
        <v>2940</v>
      </c>
      <c r="V109" s="21">
        <f t="shared" si="2"/>
        <v>2500</v>
      </c>
    </row>
    <row r="110" ht="14.25" customHeight="1">
      <c r="A110" s="38">
        <v>0.3923611111111111</v>
      </c>
      <c r="B110" s="36">
        <v>104.0</v>
      </c>
      <c r="C110" s="36">
        <v>13.0</v>
      </c>
      <c r="D110" s="36">
        <v>1258.0</v>
      </c>
      <c r="E110" s="36">
        <v>1240.0</v>
      </c>
      <c r="F110" s="36">
        <v>0.99</v>
      </c>
      <c r="G110" s="36">
        <v>20.0</v>
      </c>
      <c r="H110" s="36">
        <v>1.72</v>
      </c>
      <c r="I110" s="36">
        <v>34.5</v>
      </c>
      <c r="J110" s="36">
        <v>80.6</v>
      </c>
      <c r="K110" s="36">
        <v>110.0</v>
      </c>
      <c r="L110" s="36">
        <v>35.5</v>
      </c>
      <c r="M110" s="36">
        <v>106.0</v>
      </c>
      <c r="N110" s="36">
        <v>44.0</v>
      </c>
      <c r="O110" s="36">
        <v>20.0</v>
      </c>
      <c r="P110" s="36">
        <v>44.0</v>
      </c>
      <c r="Q110" s="36">
        <v>0.43</v>
      </c>
      <c r="R110" s="36">
        <v>1.27</v>
      </c>
      <c r="S110" s="36">
        <v>1.71</v>
      </c>
      <c r="T110" s="36">
        <v>2.99</v>
      </c>
      <c r="U110" s="21">
        <f t="shared" si="1"/>
        <v>2990</v>
      </c>
      <c r="V110" s="21">
        <f t="shared" si="2"/>
        <v>8100</v>
      </c>
    </row>
    <row r="111" ht="14.25" customHeight="1">
      <c r="A111" s="38">
        <v>0.39444444444444443</v>
      </c>
      <c r="B111" s="36">
        <v>105.0</v>
      </c>
      <c r="C111" s="36">
        <v>12.9</v>
      </c>
      <c r="D111" s="36">
        <v>1254.0</v>
      </c>
      <c r="E111" s="36">
        <v>1238.0</v>
      </c>
      <c r="F111" s="36">
        <v>0.99</v>
      </c>
      <c r="G111" s="36">
        <v>19.0</v>
      </c>
      <c r="H111" s="36">
        <v>1.76</v>
      </c>
      <c r="I111" s="36">
        <v>34.3</v>
      </c>
      <c r="J111" s="36">
        <v>80.8</v>
      </c>
      <c r="K111" s="36">
        <v>110.0</v>
      </c>
      <c r="L111" s="36">
        <v>35.2</v>
      </c>
      <c r="M111" s="36">
        <v>105.0</v>
      </c>
      <c r="N111" s="36">
        <v>45.0</v>
      </c>
      <c r="O111" s="36">
        <v>19.0</v>
      </c>
      <c r="P111" s="36">
        <v>44.0</v>
      </c>
      <c r="Q111" s="36">
        <v>0.42</v>
      </c>
      <c r="R111" s="36">
        <v>1.29</v>
      </c>
      <c r="S111" s="36">
        <v>1.8</v>
      </c>
      <c r="T111" s="36">
        <v>3.08</v>
      </c>
      <c r="U111" s="21">
        <f t="shared" si="1"/>
        <v>3080</v>
      </c>
      <c r="V111" s="21">
        <f t="shared" si="2"/>
        <v>10000</v>
      </c>
    </row>
    <row r="112" ht="14.25" customHeight="1">
      <c r="A112" s="39">
        <v>0.3972222222222222</v>
      </c>
      <c r="B112" s="40">
        <v>106.0</v>
      </c>
      <c r="C112" s="40">
        <v>12.9</v>
      </c>
      <c r="D112" s="40">
        <v>1254.0</v>
      </c>
      <c r="E112" s="40">
        <v>1237.0</v>
      </c>
      <c r="F112" s="40">
        <v>0.99</v>
      </c>
      <c r="G112" s="40">
        <v>19.0</v>
      </c>
      <c r="H112" s="40">
        <v>1.8</v>
      </c>
      <c r="I112" s="40">
        <v>34.0</v>
      </c>
      <c r="J112" s="40">
        <v>80.9</v>
      </c>
      <c r="K112" s="40">
        <v>111.0</v>
      </c>
      <c r="L112" s="40">
        <v>34.9</v>
      </c>
      <c r="M112" s="40">
        <v>105.0</v>
      </c>
      <c r="N112" s="40">
        <v>45.0</v>
      </c>
      <c r="O112" s="40">
        <v>19.0</v>
      </c>
      <c r="P112" s="40">
        <v>44.0</v>
      </c>
      <c r="Q112" s="40">
        <v>0.42</v>
      </c>
      <c r="R112" s="40">
        <v>1.35</v>
      </c>
      <c r="S112" s="40">
        <v>1.83</v>
      </c>
      <c r="T112" s="40">
        <v>3.18</v>
      </c>
      <c r="U112" s="41">
        <f t="shared" si="1"/>
        <v>3180</v>
      </c>
      <c r="V112" s="41">
        <f t="shared" si="2"/>
        <v>14400</v>
      </c>
      <c r="W112" s="42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</row>
    <row r="113" ht="14.25" customHeight="1">
      <c r="A113" s="38">
        <v>0.39861111111111114</v>
      </c>
      <c r="B113" s="36">
        <v>107.0</v>
      </c>
      <c r="C113" s="36">
        <v>13.2</v>
      </c>
      <c r="D113" s="36">
        <v>1278.0</v>
      </c>
      <c r="E113" s="36">
        <v>1253.0</v>
      </c>
      <c r="F113" s="36">
        <v>0.98</v>
      </c>
      <c r="G113" s="36">
        <v>20.0</v>
      </c>
      <c r="H113" s="36">
        <v>1.75</v>
      </c>
      <c r="I113" s="36">
        <v>34.4</v>
      </c>
      <c r="J113" s="36">
        <v>80.7</v>
      </c>
      <c r="K113" s="36">
        <v>111.0</v>
      </c>
      <c r="L113" s="36">
        <v>34.5</v>
      </c>
      <c r="M113" s="36">
        <v>105.0</v>
      </c>
      <c r="N113" s="36">
        <v>45.0</v>
      </c>
      <c r="O113" s="36">
        <v>20.0</v>
      </c>
      <c r="P113" s="36">
        <v>44.0</v>
      </c>
      <c r="Q113" s="36">
        <v>0.42</v>
      </c>
      <c r="R113" s="36">
        <v>1.29</v>
      </c>
      <c r="S113" s="36">
        <v>1.76</v>
      </c>
      <c r="T113" s="36">
        <v>3.06</v>
      </c>
      <c r="U113" s="21">
        <f t="shared" si="1"/>
        <v>3060</v>
      </c>
      <c r="V113" s="21">
        <f t="shared" si="2"/>
        <v>4900</v>
      </c>
    </row>
    <row r="114" ht="14.25" customHeight="1">
      <c r="A114" s="38">
        <v>0.40069444444444446</v>
      </c>
      <c r="B114" s="36">
        <v>108.0</v>
      </c>
      <c r="C114" s="36">
        <v>13.3</v>
      </c>
      <c r="D114" s="36">
        <v>1291.0</v>
      </c>
      <c r="E114" s="36">
        <v>1258.0</v>
      </c>
      <c r="F114" s="36">
        <v>0.97</v>
      </c>
      <c r="G114" s="36">
        <v>20.0</v>
      </c>
      <c r="H114" s="36">
        <v>1.72</v>
      </c>
      <c r="I114" s="36">
        <v>34.6</v>
      </c>
      <c r="J114" s="36">
        <v>80.6</v>
      </c>
      <c r="K114" s="36">
        <v>112.0</v>
      </c>
      <c r="L114" s="36">
        <v>34.2</v>
      </c>
      <c r="M114" s="36">
        <v>104.0</v>
      </c>
      <c r="N114" s="36">
        <v>45.0</v>
      </c>
      <c r="O114" s="36">
        <v>20.0</v>
      </c>
      <c r="P114" s="36">
        <v>45.0</v>
      </c>
      <c r="Q114" s="36">
        <v>0.44</v>
      </c>
      <c r="R114" s="36">
        <v>1.31</v>
      </c>
      <c r="S114" s="36">
        <v>1.68</v>
      </c>
      <c r="T114" s="36">
        <v>2.99</v>
      </c>
      <c r="U114" s="21">
        <f t="shared" si="1"/>
        <v>2990</v>
      </c>
      <c r="V114" s="21">
        <f t="shared" si="2"/>
        <v>400</v>
      </c>
    </row>
    <row r="115" ht="14.25" customHeight="1">
      <c r="A115" s="38">
        <v>0.4027777777777778</v>
      </c>
      <c r="B115" s="36">
        <v>109.0</v>
      </c>
      <c r="C115" s="36">
        <v>13.4</v>
      </c>
      <c r="D115" s="36">
        <v>1296.0</v>
      </c>
      <c r="E115" s="36">
        <v>1268.0</v>
      </c>
      <c r="F115" s="36">
        <v>0.98</v>
      </c>
      <c r="G115" s="36">
        <v>20.0</v>
      </c>
      <c r="H115" s="36">
        <v>1.73</v>
      </c>
      <c r="I115" s="36">
        <v>34.9</v>
      </c>
      <c r="J115" s="36">
        <v>80.4</v>
      </c>
      <c r="K115" s="36">
        <v>113.0</v>
      </c>
      <c r="L115" s="36">
        <v>33.8</v>
      </c>
      <c r="M115" s="36">
        <v>105.0</v>
      </c>
      <c r="N115" s="36">
        <v>45.0</v>
      </c>
      <c r="O115" s="36">
        <v>20.0</v>
      </c>
      <c r="P115" s="36">
        <v>45.0</v>
      </c>
      <c r="Q115" s="36">
        <v>0.45</v>
      </c>
      <c r="R115" s="36">
        <v>1.33</v>
      </c>
      <c r="S115" s="36">
        <v>1.65</v>
      </c>
      <c r="T115" s="36">
        <v>2.97</v>
      </c>
      <c r="U115" s="21">
        <f t="shared" si="1"/>
        <v>2970</v>
      </c>
      <c r="V115" s="21">
        <f t="shared" si="2"/>
        <v>1600</v>
      </c>
    </row>
    <row r="116" ht="14.25" customHeight="1">
      <c r="A116" s="38">
        <v>0.40555555555555556</v>
      </c>
      <c r="B116" s="36">
        <v>110.0</v>
      </c>
      <c r="C116" s="36">
        <v>13.8</v>
      </c>
      <c r="D116" s="36">
        <v>1340.0</v>
      </c>
      <c r="E116" s="36">
        <v>1302.0</v>
      </c>
      <c r="F116" s="36">
        <v>0.97</v>
      </c>
      <c r="G116" s="36">
        <v>20.0</v>
      </c>
      <c r="H116" s="36">
        <v>1.79</v>
      </c>
      <c r="I116" s="36">
        <v>35.6</v>
      </c>
      <c r="J116" s="36">
        <v>80.0</v>
      </c>
      <c r="K116" s="36">
        <v>113.0</v>
      </c>
      <c r="L116" s="36">
        <v>33.6</v>
      </c>
      <c r="M116" s="36">
        <v>104.0</v>
      </c>
      <c r="N116" s="36">
        <v>45.0</v>
      </c>
      <c r="O116" s="36">
        <v>20.0</v>
      </c>
      <c r="P116" s="36">
        <v>47.0</v>
      </c>
      <c r="Q116" s="36">
        <v>0.45</v>
      </c>
      <c r="R116" s="36">
        <v>1.34</v>
      </c>
      <c r="S116" s="36">
        <v>1.67</v>
      </c>
      <c r="T116" s="36">
        <v>3.01</v>
      </c>
      <c r="U116" s="21">
        <f t="shared" si="1"/>
        <v>3010</v>
      </c>
      <c r="V116" s="21">
        <f t="shared" si="2"/>
        <v>8100</v>
      </c>
    </row>
    <row r="117" ht="14.25" customHeight="1">
      <c r="A117" s="38">
        <v>0.4076388888888889</v>
      </c>
      <c r="B117" s="36">
        <v>111.0</v>
      </c>
      <c r="C117" s="36">
        <v>14.2</v>
      </c>
      <c r="D117" s="36">
        <v>1375.0</v>
      </c>
      <c r="E117" s="36">
        <v>1342.0</v>
      </c>
      <c r="F117" s="36">
        <v>0.98</v>
      </c>
      <c r="G117" s="36">
        <v>19.0</v>
      </c>
      <c r="H117" s="36">
        <v>1.87</v>
      </c>
      <c r="I117" s="36">
        <v>36.3</v>
      </c>
      <c r="J117" s="36">
        <v>79.6</v>
      </c>
      <c r="K117" s="36">
        <v>114.0</v>
      </c>
      <c r="L117" s="36">
        <v>32.9</v>
      </c>
      <c r="M117" s="36">
        <v>104.0</v>
      </c>
      <c r="N117" s="36">
        <v>45.0</v>
      </c>
      <c r="O117" s="36">
        <v>19.0</v>
      </c>
      <c r="P117" s="36">
        <v>48.0</v>
      </c>
      <c r="Q117" s="36">
        <v>0.44</v>
      </c>
      <c r="R117" s="36">
        <v>1.35</v>
      </c>
      <c r="S117" s="36">
        <v>1.74</v>
      </c>
      <c r="T117" s="36">
        <v>3.1</v>
      </c>
      <c r="U117" s="21">
        <f t="shared" si="1"/>
        <v>3100</v>
      </c>
      <c r="V117" s="21">
        <f t="shared" si="2"/>
        <v>22500</v>
      </c>
    </row>
    <row r="118" ht="14.25" customHeight="1">
      <c r="A118" s="38">
        <v>0.4097222222222222</v>
      </c>
      <c r="B118" s="36">
        <v>112.0</v>
      </c>
      <c r="C118" s="36">
        <v>14.8</v>
      </c>
      <c r="D118" s="36">
        <v>1437.0</v>
      </c>
      <c r="E118" s="36">
        <v>1402.0</v>
      </c>
      <c r="F118" s="36">
        <v>0.98</v>
      </c>
      <c r="G118" s="36">
        <v>20.0</v>
      </c>
      <c r="H118" s="36">
        <v>1.85</v>
      </c>
      <c r="I118" s="36">
        <v>37.6</v>
      </c>
      <c r="J118" s="36">
        <v>78.9</v>
      </c>
      <c r="K118" s="36">
        <v>115.0</v>
      </c>
      <c r="L118" s="36">
        <v>32.4</v>
      </c>
      <c r="M118" s="36">
        <v>104.0</v>
      </c>
      <c r="N118" s="36">
        <v>45.0</v>
      </c>
      <c r="O118" s="36">
        <v>20.0</v>
      </c>
      <c r="P118" s="36">
        <v>50.0</v>
      </c>
      <c r="Q118" s="36">
        <v>0.45</v>
      </c>
      <c r="R118" s="36">
        <v>1.31</v>
      </c>
      <c r="S118" s="36">
        <v>1.64</v>
      </c>
      <c r="T118" s="36">
        <v>2.95</v>
      </c>
      <c r="U118" s="21">
        <f t="shared" si="1"/>
        <v>2950</v>
      </c>
      <c r="V118" s="21">
        <f t="shared" si="2"/>
        <v>2500</v>
      </c>
    </row>
    <row r="119" ht="14.25" customHeight="1">
      <c r="A119" s="38">
        <v>0.4111111111111111</v>
      </c>
      <c r="B119" s="36">
        <v>113.0</v>
      </c>
      <c r="C119" s="36">
        <v>15.1</v>
      </c>
      <c r="D119" s="36">
        <v>1468.0</v>
      </c>
      <c r="E119" s="36">
        <v>1446.0</v>
      </c>
      <c r="F119" s="36">
        <v>0.98</v>
      </c>
      <c r="G119" s="36">
        <v>21.0</v>
      </c>
      <c r="H119" s="36">
        <v>1.89</v>
      </c>
      <c r="I119" s="36">
        <v>39.0</v>
      </c>
      <c r="J119" s="36">
        <v>78.1</v>
      </c>
      <c r="K119" s="36">
        <v>116.0</v>
      </c>
      <c r="L119" s="36">
        <v>31.9</v>
      </c>
      <c r="M119" s="36">
        <v>105.0</v>
      </c>
      <c r="N119" s="36">
        <v>45.0</v>
      </c>
      <c r="O119" s="36">
        <v>21.0</v>
      </c>
      <c r="P119" s="36">
        <v>51.0</v>
      </c>
      <c r="Q119" s="36">
        <v>0.45</v>
      </c>
      <c r="R119" s="36">
        <v>1.3</v>
      </c>
      <c r="S119" s="36">
        <v>1.6</v>
      </c>
      <c r="T119" s="36">
        <v>2.9</v>
      </c>
      <c r="U119" s="21">
        <f t="shared" si="1"/>
        <v>2900</v>
      </c>
      <c r="V119" s="21">
        <f t="shared" si="2"/>
        <v>0</v>
      </c>
    </row>
    <row r="120" ht="14.25" customHeight="1">
      <c r="A120" s="38">
        <v>0.4131944444444444</v>
      </c>
      <c r="B120" s="36">
        <v>114.0</v>
      </c>
      <c r="C120" s="36">
        <v>15.2</v>
      </c>
      <c r="D120" s="36">
        <v>1470.0</v>
      </c>
      <c r="E120" s="36">
        <v>1461.0</v>
      </c>
      <c r="F120" s="36">
        <v>0.99</v>
      </c>
      <c r="G120" s="36">
        <v>21.0</v>
      </c>
      <c r="H120" s="36">
        <v>1.91</v>
      </c>
      <c r="I120" s="36">
        <v>39.6</v>
      </c>
      <c r="J120" s="36">
        <v>77.8</v>
      </c>
      <c r="K120" s="36">
        <v>116.0</v>
      </c>
      <c r="L120" s="36">
        <v>31.5</v>
      </c>
      <c r="M120" s="36">
        <v>106.0</v>
      </c>
      <c r="N120" s="36">
        <v>44.0</v>
      </c>
      <c r="O120" s="36">
        <v>21.0</v>
      </c>
      <c r="P120" s="36">
        <v>51.0</v>
      </c>
      <c r="Q120" s="36">
        <v>0.47</v>
      </c>
      <c r="R120" s="36">
        <v>1.36</v>
      </c>
      <c r="S120" s="36">
        <v>1.54</v>
      </c>
      <c r="T120" s="36">
        <v>2.9</v>
      </c>
      <c r="U120" s="21">
        <f t="shared" si="1"/>
        <v>2900</v>
      </c>
      <c r="V120" s="21">
        <f t="shared" si="2"/>
        <v>8100</v>
      </c>
    </row>
    <row r="121" ht="14.25" customHeight="1">
      <c r="A121" s="38">
        <v>0.4152777777777778</v>
      </c>
      <c r="B121" s="36">
        <v>115.0</v>
      </c>
      <c r="C121" s="36">
        <v>15.7</v>
      </c>
      <c r="D121" s="36">
        <v>1519.0</v>
      </c>
      <c r="E121" s="36">
        <v>1516.0</v>
      </c>
      <c r="F121" s="36">
        <v>1.0</v>
      </c>
      <c r="G121" s="36">
        <v>20.0</v>
      </c>
      <c r="H121" s="36">
        <v>2.04</v>
      </c>
      <c r="I121" s="36">
        <v>40.9</v>
      </c>
      <c r="J121" s="36">
        <v>77.0</v>
      </c>
      <c r="K121" s="36">
        <v>117.0</v>
      </c>
      <c r="L121" s="36">
        <v>30.9</v>
      </c>
      <c r="M121" s="36">
        <v>106.0</v>
      </c>
      <c r="N121" s="36">
        <v>44.0</v>
      </c>
      <c r="O121" s="36">
        <v>20.0</v>
      </c>
      <c r="P121" s="36">
        <v>53.0</v>
      </c>
      <c r="Q121" s="36">
        <v>0.48</v>
      </c>
      <c r="R121" s="36">
        <v>1.43</v>
      </c>
      <c r="S121" s="36">
        <v>1.55</v>
      </c>
      <c r="T121" s="36">
        <v>2.99</v>
      </c>
      <c r="U121" s="21">
        <f t="shared" si="1"/>
        <v>2990</v>
      </c>
      <c r="V121" s="21">
        <f t="shared" si="2"/>
        <v>400</v>
      </c>
    </row>
    <row r="122" ht="14.25" customHeight="1">
      <c r="A122" s="38">
        <v>0.4173611111111111</v>
      </c>
      <c r="B122" s="36">
        <v>115.0</v>
      </c>
      <c r="C122" s="36">
        <v>16.1</v>
      </c>
      <c r="D122" s="36">
        <v>1558.0</v>
      </c>
      <c r="E122" s="36">
        <v>1561.0</v>
      </c>
      <c r="F122" s="36">
        <v>1.0</v>
      </c>
      <c r="G122" s="36">
        <v>20.0</v>
      </c>
      <c r="H122" s="36">
        <v>2.09</v>
      </c>
      <c r="I122" s="36">
        <v>42.2</v>
      </c>
      <c r="J122" s="36">
        <v>76.3</v>
      </c>
      <c r="K122" s="36">
        <v>117.0</v>
      </c>
      <c r="L122" s="36">
        <v>30.9</v>
      </c>
      <c r="M122" s="36">
        <v>106.0</v>
      </c>
      <c r="N122" s="36">
        <v>44.0</v>
      </c>
      <c r="O122" s="36">
        <v>20.0</v>
      </c>
      <c r="P122" s="36">
        <v>54.0</v>
      </c>
      <c r="Q122" s="36">
        <v>0.48</v>
      </c>
      <c r="R122" s="36">
        <v>1.43</v>
      </c>
      <c r="S122" s="36">
        <v>1.54</v>
      </c>
      <c r="T122" s="36">
        <v>2.97</v>
      </c>
      <c r="U122" s="21">
        <f t="shared" si="1"/>
        <v>2970</v>
      </c>
      <c r="V122" s="21">
        <f t="shared" si="2"/>
        <v>10000</v>
      </c>
    </row>
    <row r="123" ht="14.25" customHeight="1">
      <c r="A123" s="38">
        <v>0.41875</v>
      </c>
      <c r="B123" s="36">
        <v>116.0</v>
      </c>
      <c r="C123" s="36">
        <v>15.8</v>
      </c>
      <c r="D123" s="36">
        <v>1534.0</v>
      </c>
      <c r="E123" s="36">
        <v>1547.0</v>
      </c>
      <c r="F123" s="36">
        <v>1.01</v>
      </c>
      <c r="G123" s="36">
        <v>21.0</v>
      </c>
      <c r="H123" s="36">
        <v>2.03</v>
      </c>
      <c r="I123" s="36">
        <v>42.5</v>
      </c>
      <c r="J123" s="36">
        <v>76.1</v>
      </c>
      <c r="K123" s="36">
        <v>119.0</v>
      </c>
      <c r="L123" s="36">
        <v>30.0</v>
      </c>
      <c r="M123" s="36">
        <v>107.0</v>
      </c>
      <c r="N123" s="36">
        <v>44.0</v>
      </c>
      <c r="O123" s="36">
        <v>21.0</v>
      </c>
      <c r="P123" s="36">
        <v>53.0</v>
      </c>
      <c r="Q123" s="36">
        <v>0.5</v>
      </c>
      <c r="R123" s="36">
        <v>1.44</v>
      </c>
      <c r="S123" s="36">
        <v>1.43</v>
      </c>
      <c r="T123" s="36">
        <v>2.87</v>
      </c>
      <c r="U123" s="21">
        <f t="shared" si="1"/>
        <v>2870</v>
      </c>
      <c r="V123" s="21">
        <f t="shared" si="2"/>
        <v>22500</v>
      </c>
    </row>
    <row r="124" ht="14.25" customHeight="1">
      <c r="A124" s="38">
        <v>0.42083333333333334</v>
      </c>
      <c r="B124" s="36">
        <v>117.0</v>
      </c>
      <c r="C124" s="36">
        <v>15.5</v>
      </c>
      <c r="D124" s="36">
        <v>1506.0</v>
      </c>
      <c r="E124" s="36">
        <v>1527.0</v>
      </c>
      <c r="F124" s="36">
        <v>1.01</v>
      </c>
      <c r="G124" s="36">
        <v>22.0</v>
      </c>
      <c r="H124" s="36">
        <v>1.91</v>
      </c>
      <c r="I124" s="36">
        <v>42.2</v>
      </c>
      <c r="J124" s="36">
        <v>76.3</v>
      </c>
      <c r="K124" s="36">
        <v>120.0</v>
      </c>
      <c r="L124" s="36">
        <v>29.3</v>
      </c>
      <c r="M124" s="36">
        <v>108.0</v>
      </c>
      <c r="N124" s="36">
        <v>44.0</v>
      </c>
      <c r="O124" s="36">
        <v>22.0</v>
      </c>
      <c r="P124" s="36">
        <v>52.0</v>
      </c>
      <c r="Q124" s="36">
        <v>0.49</v>
      </c>
      <c r="R124" s="36">
        <v>1.33</v>
      </c>
      <c r="S124" s="36">
        <v>1.39</v>
      </c>
      <c r="T124" s="36">
        <v>2.72</v>
      </c>
      <c r="U124" s="21">
        <f t="shared" si="1"/>
        <v>2720</v>
      </c>
      <c r="V124" s="21">
        <f t="shared" si="2"/>
        <v>400</v>
      </c>
    </row>
    <row r="125" ht="14.25" customHeight="1">
      <c r="A125" s="38">
        <v>0.4222222222222222</v>
      </c>
      <c r="B125" s="36">
        <v>118.0</v>
      </c>
      <c r="C125" s="36">
        <v>15.6</v>
      </c>
      <c r="D125" s="36">
        <v>1512.0</v>
      </c>
      <c r="E125" s="36">
        <v>1547.0</v>
      </c>
      <c r="F125" s="36">
        <v>1.02</v>
      </c>
      <c r="G125" s="36">
        <v>22.0</v>
      </c>
      <c r="H125" s="36">
        <v>1.94</v>
      </c>
      <c r="I125" s="36">
        <v>43.2</v>
      </c>
      <c r="J125" s="36">
        <v>75.7</v>
      </c>
      <c r="K125" s="36">
        <v>120.0</v>
      </c>
      <c r="L125" s="36">
        <v>29.3</v>
      </c>
      <c r="M125" s="36">
        <v>108.0</v>
      </c>
      <c r="N125" s="36">
        <v>44.0</v>
      </c>
      <c r="O125" s="36">
        <v>22.0</v>
      </c>
      <c r="P125" s="36">
        <v>53.0</v>
      </c>
      <c r="Q125" s="36">
        <v>0.48</v>
      </c>
      <c r="R125" s="36">
        <v>1.3</v>
      </c>
      <c r="S125" s="36">
        <v>1.4</v>
      </c>
      <c r="T125" s="36">
        <v>2.7</v>
      </c>
      <c r="U125" s="21">
        <f t="shared" si="1"/>
        <v>2700</v>
      </c>
      <c r="V125" s="21">
        <f t="shared" si="2"/>
        <v>400</v>
      </c>
    </row>
    <row r="126" ht="14.25" customHeight="1">
      <c r="A126" s="38">
        <v>0.42430555555555555</v>
      </c>
      <c r="B126" s="36">
        <v>119.0</v>
      </c>
      <c r="C126" s="36">
        <v>15.6</v>
      </c>
      <c r="D126" s="36">
        <v>1516.0</v>
      </c>
      <c r="E126" s="36">
        <v>1555.0</v>
      </c>
      <c r="F126" s="36">
        <v>1.03</v>
      </c>
      <c r="G126" s="36">
        <v>22.0</v>
      </c>
      <c r="H126" s="36">
        <v>1.94</v>
      </c>
      <c r="I126" s="36">
        <v>43.4</v>
      </c>
      <c r="J126" s="36">
        <v>75.6</v>
      </c>
      <c r="K126" s="36">
        <v>121.0</v>
      </c>
      <c r="L126" s="36">
        <v>29.0</v>
      </c>
      <c r="M126" s="36">
        <v>108.0</v>
      </c>
      <c r="N126" s="36">
        <v>44.0</v>
      </c>
      <c r="O126" s="36">
        <v>22.0</v>
      </c>
      <c r="P126" s="36">
        <v>53.0</v>
      </c>
      <c r="Q126" s="36">
        <v>0.49</v>
      </c>
      <c r="R126" s="36">
        <v>1.3</v>
      </c>
      <c r="S126" s="36">
        <v>1.38</v>
      </c>
      <c r="T126" s="36">
        <v>2.68</v>
      </c>
      <c r="U126" s="21">
        <f t="shared" si="1"/>
        <v>2680</v>
      </c>
      <c r="V126" s="21">
        <f t="shared" si="2"/>
        <v>2500</v>
      </c>
    </row>
    <row r="127" ht="14.25" customHeight="1">
      <c r="A127" s="38">
        <v>0.4263888888888889</v>
      </c>
      <c r="B127" s="36">
        <v>120.0</v>
      </c>
      <c r="C127" s="36">
        <v>15.8</v>
      </c>
      <c r="D127" s="36">
        <v>1537.0</v>
      </c>
      <c r="E127" s="36">
        <v>1589.0</v>
      </c>
      <c r="F127" s="36">
        <v>1.03</v>
      </c>
      <c r="G127" s="36">
        <v>23.0</v>
      </c>
      <c r="H127" s="36">
        <v>1.95</v>
      </c>
      <c r="I127" s="36">
        <v>44.4</v>
      </c>
      <c r="J127" s="36">
        <v>75.0</v>
      </c>
      <c r="K127" s="36">
        <v>121.0</v>
      </c>
      <c r="L127" s="36">
        <v>29.0</v>
      </c>
      <c r="M127" s="36">
        <v>108.0</v>
      </c>
      <c r="N127" s="36">
        <v>44.0</v>
      </c>
      <c r="O127" s="36">
        <v>23.0</v>
      </c>
      <c r="P127" s="36">
        <v>53.0</v>
      </c>
      <c r="Q127" s="36">
        <v>0.46</v>
      </c>
      <c r="R127" s="36">
        <v>1.21</v>
      </c>
      <c r="S127" s="36">
        <v>1.42</v>
      </c>
      <c r="T127" s="36">
        <v>2.63</v>
      </c>
      <c r="U127" s="21">
        <f t="shared" si="1"/>
        <v>2630</v>
      </c>
      <c r="V127" s="21">
        <f t="shared" si="2"/>
        <v>100</v>
      </c>
    </row>
    <row r="128" ht="14.25" customHeight="1">
      <c r="A128" s="38">
        <v>0.4284722222222222</v>
      </c>
      <c r="B128" s="36">
        <v>121.0</v>
      </c>
      <c r="C128" s="36">
        <v>15.4</v>
      </c>
      <c r="D128" s="36">
        <v>1490.0</v>
      </c>
      <c r="E128" s="36">
        <v>1534.0</v>
      </c>
      <c r="F128" s="36">
        <v>1.03</v>
      </c>
      <c r="G128" s="36">
        <v>23.0</v>
      </c>
      <c r="H128" s="36">
        <v>1.86</v>
      </c>
      <c r="I128" s="36">
        <v>42.5</v>
      </c>
      <c r="J128" s="36">
        <v>76.1</v>
      </c>
      <c r="K128" s="36">
        <v>120.0</v>
      </c>
      <c r="L128" s="36">
        <v>29.3</v>
      </c>
      <c r="M128" s="36">
        <v>108.0</v>
      </c>
      <c r="N128" s="36">
        <v>44.0</v>
      </c>
      <c r="O128" s="36">
        <v>23.0</v>
      </c>
      <c r="P128" s="36">
        <v>52.0</v>
      </c>
      <c r="Q128" s="36">
        <v>0.48</v>
      </c>
      <c r="R128" s="36">
        <v>1.25</v>
      </c>
      <c r="S128" s="36">
        <v>1.38</v>
      </c>
      <c r="T128" s="36">
        <v>2.62</v>
      </c>
      <c r="U128" s="21">
        <f t="shared" si="1"/>
        <v>2620</v>
      </c>
      <c r="V128" s="21">
        <f t="shared" si="2"/>
        <v>0</v>
      </c>
    </row>
    <row r="129" ht="14.25" customHeight="1">
      <c r="A129" s="38">
        <v>0.43125</v>
      </c>
      <c r="B129" s="36">
        <v>122.0</v>
      </c>
      <c r="C129" s="36">
        <v>15.4</v>
      </c>
      <c r="D129" s="36">
        <v>1489.0</v>
      </c>
      <c r="E129" s="36">
        <v>1534.0</v>
      </c>
      <c r="F129" s="36">
        <v>1.03</v>
      </c>
      <c r="G129" s="36">
        <v>23.0</v>
      </c>
      <c r="H129" s="36">
        <v>1.86</v>
      </c>
      <c r="I129" s="36">
        <v>42.5</v>
      </c>
      <c r="J129" s="36">
        <v>76.1</v>
      </c>
      <c r="K129" s="36">
        <v>120.0</v>
      </c>
      <c r="L129" s="36">
        <v>29.3</v>
      </c>
      <c r="M129" s="36">
        <v>108.0</v>
      </c>
      <c r="N129" s="36">
        <v>44.0</v>
      </c>
      <c r="O129" s="36">
        <v>23.0</v>
      </c>
      <c r="P129" s="36">
        <v>52.0</v>
      </c>
      <c r="Q129" s="36">
        <v>0.48</v>
      </c>
      <c r="R129" s="36">
        <v>1.25</v>
      </c>
      <c r="S129" s="36">
        <v>1.38</v>
      </c>
      <c r="T129" s="36">
        <v>2.62</v>
      </c>
      <c r="U129" s="21">
        <f t="shared" si="1"/>
        <v>2620</v>
      </c>
      <c r="V129" s="21">
        <f t="shared" si="2"/>
        <v>2500</v>
      </c>
    </row>
    <row r="130" ht="14.25" customHeight="1">
      <c r="A130" s="38">
        <v>0.4326388888888889</v>
      </c>
      <c r="B130" s="36">
        <v>123.0</v>
      </c>
      <c r="C130" s="36">
        <v>15.8</v>
      </c>
      <c r="D130" s="36">
        <v>1533.0</v>
      </c>
      <c r="E130" s="36">
        <v>1567.0</v>
      </c>
      <c r="F130" s="36">
        <v>1.02</v>
      </c>
      <c r="G130" s="36">
        <v>23.0</v>
      </c>
      <c r="H130" s="36">
        <v>1.86</v>
      </c>
      <c r="I130" s="36">
        <v>43.4</v>
      </c>
      <c r="J130" s="36">
        <v>75.6</v>
      </c>
      <c r="K130" s="36">
        <v>118.0</v>
      </c>
      <c r="L130" s="36">
        <v>30.4</v>
      </c>
      <c r="M130" s="36">
        <v>107.0</v>
      </c>
      <c r="N130" s="36">
        <v>45.0</v>
      </c>
      <c r="O130" s="36">
        <v>23.0</v>
      </c>
      <c r="P130" s="36">
        <v>53.0</v>
      </c>
      <c r="Q130" s="36">
        <v>0.46</v>
      </c>
      <c r="R130" s="36">
        <v>1.19</v>
      </c>
      <c r="S130" s="36">
        <v>1.38</v>
      </c>
      <c r="T130" s="36">
        <v>2.57</v>
      </c>
      <c r="U130" s="21">
        <f t="shared" si="1"/>
        <v>2570</v>
      </c>
      <c r="W130" s="21">
        <f>SQRT(AVERAGE(V5:V129))</f>
        <v>59.07960731</v>
      </c>
    </row>
    <row r="131" ht="14.25" customHeight="1">
      <c r="A131" s="36" t="s">
        <v>80</v>
      </c>
    </row>
    <row r="132" ht="14.25" customHeight="1">
      <c r="A132" s="38">
        <v>0.43472222222222223</v>
      </c>
      <c r="B132" s="36">
        <v>124.0</v>
      </c>
      <c r="C132" s="36">
        <v>16.3</v>
      </c>
      <c r="D132" s="36">
        <v>1583.0</v>
      </c>
      <c r="E132" s="36">
        <v>1612.0</v>
      </c>
      <c r="F132" s="36">
        <v>1.02</v>
      </c>
      <c r="G132" s="36">
        <v>24.0</v>
      </c>
      <c r="H132" s="36">
        <v>1.87</v>
      </c>
      <c r="I132" s="36">
        <v>44.9</v>
      </c>
      <c r="J132" s="36">
        <v>74.8</v>
      </c>
      <c r="K132" s="36">
        <v>118.0</v>
      </c>
      <c r="L132" s="36">
        <v>30.7</v>
      </c>
      <c r="M132" s="36">
        <v>107.0</v>
      </c>
      <c r="N132" s="36">
        <v>44.0</v>
      </c>
      <c r="O132" s="36">
        <v>24.0</v>
      </c>
      <c r="P132" s="36">
        <v>55.0</v>
      </c>
      <c r="Q132" s="36">
        <v>0.46</v>
      </c>
      <c r="R132" s="36">
        <v>1.14</v>
      </c>
      <c r="S132" s="36">
        <v>1.36</v>
      </c>
      <c r="T132" s="36">
        <v>2.49</v>
      </c>
      <c r="U132" s="21">
        <f t="shared" ref="U132:U202" si="3">T132*1000</f>
        <v>2490</v>
      </c>
      <c r="V132" s="21">
        <f t="shared" ref="V132:V150" si="4">(U132-U133)^2</f>
        <v>2500</v>
      </c>
      <c r="W132" s="21">
        <f>SQRT(AVERAGE(V132:V151))</f>
        <v>119.9780682</v>
      </c>
      <c r="X132" s="21">
        <f>STDEV(T132:T151)/AVERAGE(T132:T151)</f>
        <v>0.06404321742</v>
      </c>
    </row>
    <row r="133" ht="14.25" customHeight="1">
      <c r="A133" s="38">
        <v>0.4361111111111111</v>
      </c>
      <c r="B133" s="36">
        <v>125.0</v>
      </c>
      <c r="C133" s="36">
        <v>15.9</v>
      </c>
      <c r="D133" s="36">
        <v>1543.0</v>
      </c>
      <c r="E133" s="36">
        <v>1586.0</v>
      </c>
      <c r="F133" s="36">
        <v>1.03</v>
      </c>
      <c r="G133" s="36">
        <v>24.0</v>
      </c>
      <c r="H133" s="36">
        <v>1.86</v>
      </c>
      <c r="I133" s="36">
        <v>44.0</v>
      </c>
      <c r="J133" s="36">
        <v>75.3</v>
      </c>
      <c r="K133" s="36">
        <v>117.0</v>
      </c>
      <c r="L133" s="36">
        <v>31.1</v>
      </c>
      <c r="M133" s="36">
        <v>107.0</v>
      </c>
      <c r="N133" s="36">
        <v>45.0</v>
      </c>
      <c r="O133" s="36">
        <v>24.0</v>
      </c>
      <c r="P133" s="36">
        <v>54.0</v>
      </c>
      <c r="Q133" s="36">
        <v>0.44</v>
      </c>
      <c r="R133" s="36">
        <v>1.11</v>
      </c>
      <c r="S133" s="36">
        <v>1.43</v>
      </c>
      <c r="T133" s="36">
        <v>2.54</v>
      </c>
      <c r="U133" s="21">
        <f t="shared" si="3"/>
        <v>2540</v>
      </c>
      <c r="V133" s="21">
        <f t="shared" si="4"/>
        <v>4900</v>
      </c>
    </row>
    <row r="134" ht="14.25" customHeight="1">
      <c r="A134" s="38">
        <v>0.4375</v>
      </c>
      <c r="B134" s="36">
        <v>125.0</v>
      </c>
      <c r="C134" s="36">
        <v>14.5</v>
      </c>
      <c r="D134" s="36">
        <v>1409.0</v>
      </c>
      <c r="E134" s="36">
        <v>1444.0</v>
      </c>
      <c r="F134" s="36">
        <v>1.02</v>
      </c>
      <c r="G134" s="36">
        <v>23.0</v>
      </c>
      <c r="H134" s="36">
        <v>1.76</v>
      </c>
      <c r="I134" s="36">
        <v>40.4</v>
      </c>
      <c r="J134" s="36">
        <v>77.3</v>
      </c>
      <c r="K134" s="36">
        <v>117.0</v>
      </c>
      <c r="L134" s="36">
        <v>31.1</v>
      </c>
      <c r="M134" s="36">
        <v>107.0</v>
      </c>
      <c r="N134" s="36">
        <v>45.0</v>
      </c>
      <c r="O134" s="36">
        <v>23.0</v>
      </c>
      <c r="P134" s="36">
        <v>49.0</v>
      </c>
      <c r="Q134" s="36">
        <v>0.42</v>
      </c>
      <c r="R134" s="36">
        <v>1.09</v>
      </c>
      <c r="S134" s="36">
        <v>1.52</v>
      </c>
      <c r="T134" s="36">
        <v>2.61</v>
      </c>
      <c r="U134" s="21">
        <f t="shared" si="3"/>
        <v>2610</v>
      </c>
      <c r="V134" s="21">
        <f t="shared" si="4"/>
        <v>96100</v>
      </c>
    </row>
    <row r="135" ht="14.25" customHeight="1">
      <c r="A135" s="38">
        <v>0.4388888888888889</v>
      </c>
      <c r="B135" s="36">
        <v>126.0</v>
      </c>
      <c r="C135" s="36">
        <v>15.5</v>
      </c>
      <c r="D135" s="36">
        <v>1507.0</v>
      </c>
      <c r="E135" s="36">
        <v>1551.0</v>
      </c>
      <c r="F135" s="36">
        <v>1.03</v>
      </c>
      <c r="G135" s="36">
        <v>21.0</v>
      </c>
      <c r="H135" s="36">
        <v>2.08</v>
      </c>
      <c r="I135" s="36">
        <v>42.8</v>
      </c>
      <c r="J135" s="36">
        <v>75.9</v>
      </c>
      <c r="K135" s="36">
        <v>118.0</v>
      </c>
      <c r="L135" s="36">
        <v>30.8</v>
      </c>
      <c r="M135" s="36">
        <v>106.0</v>
      </c>
      <c r="N135" s="36">
        <v>45.0</v>
      </c>
      <c r="O135" s="36">
        <v>21.0</v>
      </c>
      <c r="P135" s="36">
        <v>52.0</v>
      </c>
      <c r="Q135" s="36">
        <v>0.41</v>
      </c>
      <c r="R135" s="36">
        <v>1.21</v>
      </c>
      <c r="S135" s="36">
        <v>1.71</v>
      </c>
      <c r="T135" s="36">
        <v>2.92</v>
      </c>
      <c r="U135" s="21">
        <f t="shared" si="3"/>
        <v>2920</v>
      </c>
      <c r="V135" s="21">
        <f t="shared" si="4"/>
        <v>14400</v>
      </c>
    </row>
    <row r="136" ht="14.25" customHeight="1">
      <c r="A136" s="38">
        <v>0.4409722222222222</v>
      </c>
      <c r="B136" s="36">
        <v>127.0</v>
      </c>
      <c r="C136" s="36">
        <v>17.8</v>
      </c>
      <c r="D136" s="36">
        <v>1725.0</v>
      </c>
      <c r="E136" s="36">
        <v>1777.0</v>
      </c>
      <c r="F136" s="36">
        <v>1.03</v>
      </c>
      <c r="G136" s="36">
        <v>21.0</v>
      </c>
      <c r="H136" s="36">
        <v>2.29</v>
      </c>
      <c r="I136" s="36">
        <v>48.9</v>
      </c>
      <c r="J136" s="36">
        <v>72.5</v>
      </c>
      <c r="K136" s="36">
        <v>119.0</v>
      </c>
      <c r="L136" s="36">
        <v>30.0</v>
      </c>
      <c r="M136" s="36">
        <v>106.0</v>
      </c>
      <c r="N136" s="36">
        <v>45.0</v>
      </c>
      <c r="O136" s="36">
        <v>21.0</v>
      </c>
      <c r="P136" s="36">
        <v>60.0</v>
      </c>
      <c r="Q136" s="36">
        <v>0.43</v>
      </c>
      <c r="R136" s="36">
        <v>1.21</v>
      </c>
      <c r="S136" s="36">
        <v>1.6</v>
      </c>
      <c r="T136" s="36">
        <v>2.8</v>
      </c>
      <c r="U136" s="21">
        <f t="shared" si="3"/>
        <v>2800</v>
      </c>
      <c r="V136" s="21">
        <f t="shared" si="4"/>
        <v>136900</v>
      </c>
    </row>
    <row r="137" ht="14.25" customHeight="1">
      <c r="A137" s="38">
        <v>0.4423611111111111</v>
      </c>
      <c r="B137" s="36">
        <v>128.0</v>
      </c>
      <c r="C137" s="36">
        <v>18.3</v>
      </c>
      <c r="D137" s="36">
        <v>1774.0</v>
      </c>
      <c r="E137" s="36">
        <v>1791.0</v>
      </c>
      <c r="F137" s="36">
        <v>1.01</v>
      </c>
      <c r="G137" s="36">
        <v>25.0</v>
      </c>
      <c r="H137" s="36">
        <v>2.01</v>
      </c>
      <c r="I137" s="36">
        <v>49.5</v>
      </c>
      <c r="J137" s="36">
        <v>72.2</v>
      </c>
      <c r="K137" s="36">
        <v>121.0</v>
      </c>
      <c r="L137" s="36">
        <v>29.1</v>
      </c>
      <c r="M137" s="36">
        <v>106.0</v>
      </c>
      <c r="N137" s="36">
        <v>45.0</v>
      </c>
      <c r="O137" s="36">
        <v>25.0</v>
      </c>
      <c r="P137" s="36">
        <v>62.0</v>
      </c>
      <c r="Q137" s="36">
        <v>0.44</v>
      </c>
      <c r="R137" s="36">
        <v>1.07</v>
      </c>
      <c r="S137" s="36">
        <v>1.36</v>
      </c>
      <c r="T137" s="36">
        <v>2.43</v>
      </c>
      <c r="U137" s="21">
        <f t="shared" si="3"/>
        <v>2430</v>
      </c>
      <c r="V137" s="21">
        <f t="shared" si="4"/>
        <v>0</v>
      </c>
    </row>
    <row r="138" ht="14.25" customHeight="1">
      <c r="A138" s="38">
        <v>0.4444444444444444</v>
      </c>
      <c r="B138" s="36">
        <v>128.0</v>
      </c>
      <c r="C138" s="36">
        <v>18.3</v>
      </c>
      <c r="D138" s="36">
        <v>1773.0</v>
      </c>
      <c r="E138" s="36">
        <v>1829.0</v>
      </c>
      <c r="F138" s="36">
        <v>1.03</v>
      </c>
      <c r="G138" s="36">
        <v>25.0</v>
      </c>
      <c r="H138" s="36">
        <v>2.11</v>
      </c>
      <c r="I138" s="36">
        <v>51.9</v>
      </c>
      <c r="J138" s="36">
        <v>70.8</v>
      </c>
      <c r="K138" s="36">
        <v>123.0</v>
      </c>
      <c r="L138" s="36">
        <v>27.5</v>
      </c>
      <c r="M138" s="36">
        <v>107.0</v>
      </c>
      <c r="N138" s="36">
        <v>44.0</v>
      </c>
      <c r="O138" s="36">
        <v>25.0</v>
      </c>
      <c r="P138" s="36">
        <v>62.0</v>
      </c>
      <c r="Q138" s="36">
        <v>0.43</v>
      </c>
      <c r="R138" s="36">
        <v>1.06</v>
      </c>
      <c r="S138" s="36">
        <v>1.38</v>
      </c>
      <c r="T138" s="36">
        <v>2.43</v>
      </c>
      <c r="U138" s="21">
        <f t="shared" si="3"/>
        <v>2430</v>
      </c>
      <c r="V138" s="21">
        <f t="shared" si="4"/>
        <v>100</v>
      </c>
    </row>
    <row r="139" ht="14.25" customHeight="1">
      <c r="A139" s="38">
        <v>0.44583333333333336</v>
      </c>
      <c r="B139" s="36">
        <v>129.0</v>
      </c>
      <c r="C139" s="36">
        <v>17.9</v>
      </c>
      <c r="D139" s="36">
        <v>1739.0</v>
      </c>
      <c r="E139" s="36">
        <v>1839.0</v>
      </c>
      <c r="F139" s="36">
        <v>1.06</v>
      </c>
      <c r="G139" s="36">
        <v>25.0</v>
      </c>
      <c r="H139" s="36">
        <v>2.13</v>
      </c>
      <c r="I139" s="36">
        <v>52.5</v>
      </c>
      <c r="J139" s="36">
        <v>70.5</v>
      </c>
      <c r="K139" s="36">
        <v>123.0</v>
      </c>
      <c r="L139" s="36">
        <v>27.8</v>
      </c>
      <c r="M139" s="36">
        <v>108.0</v>
      </c>
      <c r="N139" s="36">
        <v>44.0</v>
      </c>
      <c r="O139" s="36">
        <v>25.0</v>
      </c>
      <c r="P139" s="36">
        <v>60.0</v>
      </c>
      <c r="Q139" s="36">
        <v>0.45</v>
      </c>
      <c r="R139" s="36">
        <v>1.09</v>
      </c>
      <c r="S139" s="36">
        <v>1.35</v>
      </c>
      <c r="T139" s="36">
        <v>2.44</v>
      </c>
      <c r="U139" s="21">
        <f t="shared" si="3"/>
        <v>2440</v>
      </c>
      <c r="V139" s="21">
        <f t="shared" si="4"/>
        <v>12100</v>
      </c>
    </row>
    <row r="140" ht="14.25" customHeight="1">
      <c r="A140" s="38">
        <v>0.44722222222222224</v>
      </c>
      <c r="B140" s="36">
        <v>130.0</v>
      </c>
      <c r="C140" s="36">
        <v>18.9</v>
      </c>
      <c r="D140" s="36">
        <v>1834.0</v>
      </c>
      <c r="E140" s="36">
        <v>1943.0</v>
      </c>
      <c r="F140" s="36">
        <v>1.06</v>
      </c>
      <c r="G140" s="36">
        <v>26.0</v>
      </c>
      <c r="H140" s="36">
        <v>2.18</v>
      </c>
      <c r="I140" s="36">
        <v>56.2</v>
      </c>
      <c r="J140" s="36">
        <v>68.4</v>
      </c>
      <c r="K140" s="36">
        <v>123.0</v>
      </c>
      <c r="L140" s="36">
        <v>27.5</v>
      </c>
      <c r="M140" s="36">
        <v>109.0</v>
      </c>
      <c r="N140" s="36">
        <v>43.0</v>
      </c>
      <c r="O140" s="36">
        <v>26.0</v>
      </c>
      <c r="P140" s="36">
        <v>64.0</v>
      </c>
      <c r="Q140" s="36">
        <v>0.46</v>
      </c>
      <c r="R140" s="36">
        <v>1.08</v>
      </c>
      <c r="S140" s="36">
        <v>1.25</v>
      </c>
      <c r="T140" s="36">
        <v>2.33</v>
      </c>
      <c r="U140" s="21">
        <f t="shared" si="3"/>
        <v>2330</v>
      </c>
      <c r="V140" s="21">
        <f t="shared" si="4"/>
        <v>100</v>
      </c>
    </row>
    <row r="141" ht="14.25" customHeight="1">
      <c r="A141" s="38">
        <v>0.44930555555555557</v>
      </c>
      <c r="B141" s="36">
        <v>131.0</v>
      </c>
      <c r="C141" s="36">
        <v>19.5</v>
      </c>
      <c r="D141" s="36">
        <v>1894.0</v>
      </c>
      <c r="E141" s="36">
        <v>2015.0</v>
      </c>
      <c r="F141" s="36">
        <v>1.06</v>
      </c>
      <c r="G141" s="36">
        <v>26.0</v>
      </c>
      <c r="H141" s="36">
        <v>2.28</v>
      </c>
      <c r="I141" s="36">
        <v>58.4</v>
      </c>
      <c r="J141" s="36">
        <v>67.2</v>
      </c>
      <c r="K141" s="36">
        <v>123.0</v>
      </c>
      <c r="L141" s="36">
        <v>27.5</v>
      </c>
      <c r="M141" s="36">
        <v>109.0</v>
      </c>
      <c r="N141" s="36">
        <v>43.0</v>
      </c>
      <c r="O141" s="36">
        <v>26.0</v>
      </c>
      <c r="P141" s="36">
        <v>66.0</v>
      </c>
      <c r="Q141" s="36">
        <v>0.46</v>
      </c>
      <c r="R141" s="36">
        <v>1.08</v>
      </c>
      <c r="S141" s="36">
        <v>1.26</v>
      </c>
      <c r="T141" s="36">
        <v>2.34</v>
      </c>
      <c r="U141" s="21">
        <f t="shared" si="3"/>
        <v>2340</v>
      </c>
      <c r="V141" s="21">
        <f t="shared" si="4"/>
        <v>900</v>
      </c>
    </row>
    <row r="142" ht="14.25" customHeight="1">
      <c r="A142" s="38">
        <v>0.45069444444444445</v>
      </c>
      <c r="B142" s="36">
        <v>131.0</v>
      </c>
      <c r="C142" s="36">
        <v>18.8</v>
      </c>
      <c r="D142" s="36">
        <v>1827.0</v>
      </c>
      <c r="E142" s="36">
        <v>2023.0</v>
      </c>
      <c r="F142" s="36">
        <v>1.11</v>
      </c>
      <c r="G142" s="36">
        <v>26.0</v>
      </c>
      <c r="H142" s="36">
        <v>2.32</v>
      </c>
      <c r="I142" s="36">
        <v>60.3</v>
      </c>
      <c r="J142" s="36">
        <v>66.1</v>
      </c>
      <c r="K142" s="36">
        <v>123.0</v>
      </c>
      <c r="L142" s="36">
        <v>27.7</v>
      </c>
      <c r="M142" s="36">
        <v>110.0</v>
      </c>
      <c r="N142" s="36">
        <v>43.0</v>
      </c>
      <c r="O142" s="36">
        <v>26.0</v>
      </c>
      <c r="P142" s="36">
        <v>64.0</v>
      </c>
      <c r="Q142" s="36">
        <v>0.46</v>
      </c>
      <c r="R142" s="36">
        <v>1.06</v>
      </c>
      <c r="S142" s="36">
        <v>1.25</v>
      </c>
      <c r="T142" s="36">
        <v>2.31</v>
      </c>
      <c r="U142" s="21">
        <f t="shared" si="3"/>
        <v>2310</v>
      </c>
      <c r="V142" s="21">
        <f t="shared" si="4"/>
        <v>400</v>
      </c>
    </row>
    <row r="143" ht="14.25" customHeight="1">
      <c r="A143" s="38">
        <v>0.45208333333333334</v>
      </c>
      <c r="B143" s="36">
        <v>132.0</v>
      </c>
      <c r="C143" s="36">
        <v>18.2</v>
      </c>
      <c r="D143" s="36">
        <v>1767.0</v>
      </c>
      <c r="E143" s="36">
        <v>2010.0</v>
      </c>
      <c r="F143" s="36">
        <v>1.14</v>
      </c>
      <c r="G143" s="36">
        <v>26.0</v>
      </c>
      <c r="H143" s="36">
        <v>2.35</v>
      </c>
      <c r="I143" s="36">
        <v>60.6</v>
      </c>
      <c r="J143" s="36">
        <v>65.9</v>
      </c>
      <c r="K143" s="36">
        <v>123.0</v>
      </c>
      <c r="L143" s="36">
        <v>27.5</v>
      </c>
      <c r="M143" s="36">
        <v>111.0</v>
      </c>
      <c r="N143" s="36">
        <v>43.0</v>
      </c>
      <c r="O143" s="36">
        <v>26.0</v>
      </c>
      <c r="P143" s="36">
        <v>61.0</v>
      </c>
      <c r="Q143" s="36">
        <v>0.44</v>
      </c>
      <c r="R143" s="36">
        <v>1.02</v>
      </c>
      <c r="S143" s="36">
        <v>1.31</v>
      </c>
      <c r="T143" s="36">
        <v>2.33</v>
      </c>
      <c r="U143" s="21">
        <f t="shared" si="3"/>
        <v>2330</v>
      </c>
      <c r="V143" s="21">
        <f t="shared" si="4"/>
        <v>400</v>
      </c>
    </row>
    <row r="144" ht="14.25" customHeight="1">
      <c r="A144" s="38">
        <v>0.45416666666666666</v>
      </c>
      <c r="B144" s="36">
        <v>133.0</v>
      </c>
      <c r="C144" s="36">
        <v>17.8</v>
      </c>
      <c r="D144" s="36">
        <v>1724.0</v>
      </c>
      <c r="E144" s="36">
        <v>1952.0</v>
      </c>
      <c r="F144" s="36">
        <v>1.13</v>
      </c>
      <c r="G144" s="36">
        <v>26.0</v>
      </c>
      <c r="H144" s="36">
        <v>2.27</v>
      </c>
      <c r="I144" s="36">
        <v>57.9</v>
      </c>
      <c r="J144" s="36">
        <v>67.5</v>
      </c>
      <c r="K144" s="36">
        <v>123.0</v>
      </c>
      <c r="L144" s="36">
        <v>27.5</v>
      </c>
      <c r="M144" s="36">
        <v>110.0</v>
      </c>
      <c r="N144" s="36">
        <v>43.0</v>
      </c>
      <c r="O144" s="36">
        <v>26.0</v>
      </c>
      <c r="P144" s="36">
        <v>60.0</v>
      </c>
      <c r="Q144" s="36">
        <v>0.45</v>
      </c>
      <c r="R144" s="36">
        <v>1.06</v>
      </c>
      <c r="S144" s="36">
        <v>1.29</v>
      </c>
      <c r="T144" s="36">
        <v>2.35</v>
      </c>
      <c r="U144" s="21">
        <f t="shared" si="3"/>
        <v>2350</v>
      </c>
      <c r="V144" s="21">
        <f t="shared" si="4"/>
        <v>100</v>
      </c>
    </row>
    <row r="145" ht="14.25" customHeight="1">
      <c r="A145" s="38">
        <v>0.45555555555555555</v>
      </c>
      <c r="B145" s="36">
        <v>134.0</v>
      </c>
      <c r="C145" s="36">
        <v>17.4</v>
      </c>
      <c r="D145" s="36">
        <v>1688.0</v>
      </c>
      <c r="E145" s="36">
        <v>1937.0</v>
      </c>
      <c r="F145" s="36">
        <v>1.15</v>
      </c>
      <c r="G145" s="36">
        <v>25.0</v>
      </c>
      <c r="H145" s="36">
        <v>2.24</v>
      </c>
      <c r="I145" s="36">
        <v>56.9</v>
      </c>
      <c r="J145" s="36">
        <v>68.0</v>
      </c>
      <c r="K145" s="36">
        <v>122.0</v>
      </c>
      <c r="L145" s="36">
        <v>28.4</v>
      </c>
      <c r="M145" s="36">
        <v>111.0</v>
      </c>
      <c r="N145" s="36">
        <v>43.0</v>
      </c>
      <c r="O145" s="36">
        <v>25.0</v>
      </c>
      <c r="P145" s="36">
        <v>59.0</v>
      </c>
      <c r="Q145" s="36">
        <v>0.46</v>
      </c>
      <c r="R145" s="36">
        <v>1.08</v>
      </c>
      <c r="S145" s="36">
        <v>1.29</v>
      </c>
      <c r="T145" s="36">
        <v>2.36</v>
      </c>
      <c r="U145" s="21">
        <f t="shared" si="3"/>
        <v>2360</v>
      </c>
      <c r="V145" s="21">
        <f t="shared" si="4"/>
        <v>1600</v>
      </c>
    </row>
    <row r="146" ht="14.25" customHeight="1">
      <c r="A146" s="38">
        <v>0.4576388888888889</v>
      </c>
      <c r="B146" s="36">
        <v>135.0</v>
      </c>
      <c r="C146" s="36">
        <v>16.9</v>
      </c>
      <c r="D146" s="36">
        <v>1642.0</v>
      </c>
      <c r="E146" s="36">
        <v>1875.0</v>
      </c>
      <c r="F146" s="36">
        <v>1.14</v>
      </c>
      <c r="G146" s="36">
        <v>25.0</v>
      </c>
      <c r="H146" s="36">
        <v>2.2</v>
      </c>
      <c r="I146" s="36">
        <v>55.1</v>
      </c>
      <c r="J146" s="36">
        <v>69.1</v>
      </c>
      <c r="K146" s="36">
        <v>122.0</v>
      </c>
      <c r="L146" s="36">
        <v>28.3</v>
      </c>
      <c r="M146" s="36">
        <v>111.0</v>
      </c>
      <c r="N146" s="36">
        <v>43.0</v>
      </c>
      <c r="O146" s="36">
        <v>25.0</v>
      </c>
      <c r="P146" s="36">
        <v>57.0</v>
      </c>
      <c r="Q146" s="36">
        <v>0.45</v>
      </c>
      <c r="R146" s="36">
        <v>1.07</v>
      </c>
      <c r="S146" s="36">
        <v>1.33</v>
      </c>
      <c r="T146" s="36">
        <v>2.4</v>
      </c>
      <c r="U146" s="21">
        <f t="shared" si="3"/>
        <v>2400</v>
      </c>
      <c r="V146" s="21">
        <f t="shared" si="4"/>
        <v>1600</v>
      </c>
    </row>
    <row r="147" ht="14.25" customHeight="1">
      <c r="A147" s="38">
        <v>0.45902777777777776</v>
      </c>
      <c r="B147" s="36">
        <v>136.0</v>
      </c>
      <c r="C147" s="36">
        <v>17.0</v>
      </c>
      <c r="D147" s="36">
        <v>1654.0</v>
      </c>
      <c r="E147" s="36">
        <v>1863.0</v>
      </c>
      <c r="F147" s="36">
        <v>1.13</v>
      </c>
      <c r="G147" s="36">
        <v>25.0</v>
      </c>
      <c r="H147" s="36">
        <v>2.18</v>
      </c>
      <c r="I147" s="36">
        <v>53.5</v>
      </c>
      <c r="J147" s="36">
        <v>69.9</v>
      </c>
      <c r="K147" s="36">
        <v>122.0</v>
      </c>
      <c r="L147" s="36">
        <v>28.3</v>
      </c>
      <c r="M147" s="36">
        <v>110.0</v>
      </c>
      <c r="N147" s="36">
        <v>44.0</v>
      </c>
      <c r="O147" s="36">
        <v>25.0</v>
      </c>
      <c r="P147" s="36">
        <v>58.0</v>
      </c>
      <c r="Q147" s="36">
        <v>0.45</v>
      </c>
      <c r="R147" s="36">
        <v>1.11</v>
      </c>
      <c r="S147" s="36">
        <v>1.34</v>
      </c>
      <c r="T147" s="36">
        <v>2.44</v>
      </c>
      <c r="U147" s="21">
        <f t="shared" si="3"/>
        <v>2440</v>
      </c>
      <c r="V147" s="21">
        <f t="shared" si="4"/>
        <v>400</v>
      </c>
    </row>
    <row r="148" ht="14.25" customHeight="1">
      <c r="A148" s="38">
        <v>0.46111111111111114</v>
      </c>
      <c r="B148" s="36">
        <v>136.0</v>
      </c>
      <c r="C148" s="36">
        <v>17.2</v>
      </c>
      <c r="D148" s="36">
        <v>1669.0</v>
      </c>
      <c r="E148" s="36">
        <v>1830.0</v>
      </c>
      <c r="F148" s="36">
        <v>1.1</v>
      </c>
      <c r="G148" s="36">
        <v>25.0</v>
      </c>
      <c r="H148" s="36">
        <v>2.08</v>
      </c>
      <c r="I148" s="36">
        <v>51.7</v>
      </c>
      <c r="J148" s="36">
        <v>71.0</v>
      </c>
      <c r="K148" s="36">
        <v>123.0</v>
      </c>
      <c r="L148" s="36">
        <v>27.7</v>
      </c>
      <c r="M148" s="36">
        <v>109.0</v>
      </c>
      <c r="N148" s="36">
        <v>44.0</v>
      </c>
      <c r="O148" s="36">
        <v>25.0</v>
      </c>
      <c r="P148" s="36">
        <v>58.0</v>
      </c>
      <c r="Q148" s="36">
        <v>0.45</v>
      </c>
      <c r="R148" s="36">
        <v>1.1</v>
      </c>
      <c r="S148" s="36">
        <v>1.32</v>
      </c>
      <c r="T148" s="36">
        <v>2.42</v>
      </c>
      <c r="U148" s="21">
        <f t="shared" si="3"/>
        <v>2420</v>
      </c>
      <c r="V148" s="21">
        <f t="shared" si="4"/>
        <v>0</v>
      </c>
    </row>
    <row r="149" ht="14.25" customHeight="1">
      <c r="A149" s="38">
        <v>0.4625</v>
      </c>
      <c r="B149" s="36">
        <v>137.0</v>
      </c>
      <c r="C149" s="36">
        <v>17.2</v>
      </c>
      <c r="D149" s="36">
        <v>1668.0</v>
      </c>
      <c r="E149" s="36">
        <v>1830.0</v>
      </c>
      <c r="F149" s="36">
        <v>1.1</v>
      </c>
      <c r="G149" s="36">
        <v>25.0</v>
      </c>
      <c r="H149" s="36">
        <v>2.08</v>
      </c>
      <c r="I149" s="36">
        <v>51.7</v>
      </c>
      <c r="J149" s="36">
        <v>71.0</v>
      </c>
      <c r="K149" s="36">
        <v>123.0</v>
      </c>
      <c r="L149" s="36">
        <v>27.4</v>
      </c>
      <c r="M149" s="36">
        <v>109.0</v>
      </c>
      <c r="N149" s="36">
        <v>44.0</v>
      </c>
      <c r="O149" s="36">
        <v>25.0</v>
      </c>
      <c r="P149" s="36">
        <v>58.0</v>
      </c>
      <c r="Q149" s="36">
        <v>0.45</v>
      </c>
      <c r="R149" s="36">
        <v>1.1</v>
      </c>
      <c r="S149" s="36">
        <v>1.32</v>
      </c>
      <c r="T149" s="36">
        <v>2.42</v>
      </c>
      <c r="U149" s="21">
        <f t="shared" si="3"/>
        <v>2420</v>
      </c>
      <c r="V149" s="21">
        <f t="shared" si="4"/>
        <v>900</v>
      </c>
    </row>
    <row r="150" ht="14.25" customHeight="1">
      <c r="A150" s="38">
        <v>0.4638888888888889</v>
      </c>
      <c r="B150" s="36">
        <v>138.0</v>
      </c>
      <c r="C150" s="36">
        <v>17.2</v>
      </c>
      <c r="D150" s="36">
        <v>1666.0</v>
      </c>
      <c r="E150" s="36">
        <v>1798.0</v>
      </c>
      <c r="F150" s="36">
        <v>1.08</v>
      </c>
      <c r="G150" s="36">
        <v>25.0</v>
      </c>
      <c r="H150" s="36">
        <v>1.99</v>
      </c>
      <c r="I150" s="36">
        <v>50.0</v>
      </c>
      <c r="J150" s="36">
        <v>71.9</v>
      </c>
      <c r="K150" s="36">
        <v>123.0</v>
      </c>
      <c r="L150" s="36">
        <v>27.7</v>
      </c>
      <c r="M150" s="36">
        <v>109.0</v>
      </c>
      <c r="N150" s="36">
        <v>44.0</v>
      </c>
      <c r="O150" s="36">
        <v>25.0</v>
      </c>
      <c r="P150" s="36">
        <v>58.0</v>
      </c>
      <c r="Q150" s="36">
        <v>0.48</v>
      </c>
      <c r="R150" s="36">
        <v>1.14</v>
      </c>
      <c r="S150" s="36">
        <v>1.25</v>
      </c>
      <c r="T150" s="36">
        <v>2.39</v>
      </c>
      <c r="U150" s="21">
        <f t="shared" si="3"/>
        <v>2390</v>
      </c>
      <c r="V150" s="21">
        <f t="shared" si="4"/>
        <v>100</v>
      </c>
    </row>
    <row r="151" ht="14.25" customHeight="1">
      <c r="A151" s="38">
        <v>0.46597222222222223</v>
      </c>
      <c r="B151" s="36">
        <v>139.0</v>
      </c>
      <c r="C151" s="36">
        <v>18.1</v>
      </c>
      <c r="D151" s="36">
        <v>1756.0</v>
      </c>
      <c r="E151" s="36">
        <v>1860.0</v>
      </c>
      <c r="F151" s="36">
        <v>1.06</v>
      </c>
      <c r="G151" s="36">
        <v>25.0</v>
      </c>
      <c r="H151" s="36">
        <v>2.03</v>
      </c>
      <c r="I151" s="36">
        <v>51.2</v>
      </c>
      <c r="J151" s="36">
        <v>71.3</v>
      </c>
      <c r="K151" s="36">
        <v>126.0</v>
      </c>
      <c r="L151" s="36">
        <v>26.2</v>
      </c>
      <c r="M151" s="36">
        <v>108.0</v>
      </c>
      <c r="N151" s="36">
        <v>45.0</v>
      </c>
      <c r="O151" s="36">
        <v>25.0</v>
      </c>
      <c r="P151" s="36">
        <v>61.0</v>
      </c>
      <c r="Q151" s="36">
        <v>0.48</v>
      </c>
      <c r="R151" s="36">
        <v>1.14</v>
      </c>
      <c r="S151" s="36">
        <v>1.24</v>
      </c>
      <c r="T151" s="36">
        <v>2.38</v>
      </c>
      <c r="U151" s="21">
        <f t="shared" si="3"/>
        <v>2380</v>
      </c>
    </row>
    <row r="152" ht="14.25" customHeight="1">
      <c r="A152" s="36" t="s">
        <v>81</v>
      </c>
      <c r="U152" s="21">
        <f t="shared" si="3"/>
        <v>0</v>
      </c>
    </row>
    <row r="153" ht="14.25" customHeight="1">
      <c r="A153" s="38">
        <v>0.4673611111111111</v>
      </c>
      <c r="B153" s="36">
        <v>139.0</v>
      </c>
      <c r="C153" s="36">
        <v>19.6</v>
      </c>
      <c r="D153" s="36">
        <v>1899.0</v>
      </c>
      <c r="E153" s="36">
        <v>1984.0</v>
      </c>
      <c r="F153" s="36">
        <v>1.04</v>
      </c>
      <c r="G153" s="36">
        <v>25.0</v>
      </c>
      <c r="H153" s="36">
        <v>2.13</v>
      </c>
      <c r="I153" s="36">
        <v>54.0</v>
      </c>
      <c r="J153" s="36">
        <v>69.6</v>
      </c>
      <c r="K153" s="36">
        <v>128.0</v>
      </c>
      <c r="L153" s="36">
        <v>24.9</v>
      </c>
      <c r="M153" s="36">
        <v>107.0</v>
      </c>
      <c r="N153" s="36">
        <v>45.0</v>
      </c>
      <c r="O153" s="36">
        <v>25.0</v>
      </c>
      <c r="P153" s="36">
        <v>66.0</v>
      </c>
      <c r="Q153" s="36">
        <v>0.49</v>
      </c>
      <c r="R153" s="36">
        <v>1.16</v>
      </c>
      <c r="S153" s="36">
        <v>1.2</v>
      </c>
      <c r="T153" s="36">
        <v>2.36</v>
      </c>
      <c r="U153" s="21">
        <f t="shared" si="3"/>
        <v>2360</v>
      </c>
      <c r="V153" s="21">
        <f t="shared" ref="V153:V197" si="5">(U153-U154)^2</f>
        <v>400</v>
      </c>
      <c r="W153" s="21">
        <f>SQRT(AVERAGE(V153:V202))</f>
        <v>29.46328404</v>
      </c>
      <c r="X153" s="21">
        <f>STDEV(T153:T202)/AVERAGE(T153:T202)</f>
        <v>0.05508888486</v>
      </c>
    </row>
    <row r="154" ht="14.25" customHeight="1">
      <c r="A154" s="38">
        <v>0.46875</v>
      </c>
      <c r="B154" s="36">
        <v>140.0</v>
      </c>
      <c r="C154" s="36">
        <v>19.7</v>
      </c>
      <c r="D154" s="36">
        <v>1912.0</v>
      </c>
      <c r="E154" s="36">
        <v>2007.0</v>
      </c>
      <c r="F154" s="36">
        <v>1.05</v>
      </c>
      <c r="G154" s="36">
        <v>26.0</v>
      </c>
      <c r="H154" s="36">
        <v>2.13</v>
      </c>
      <c r="I154" s="36">
        <v>54.6</v>
      </c>
      <c r="J154" s="36">
        <v>69.3</v>
      </c>
      <c r="K154" s="36">
        <v>128.0</v>
      </c>
      <c r="L154" s="36">
        <v>24.9</v>
      </c>
      <c r="M154" s="36">
        <v>107.0</v>
      </c>
      <c r="N154" s="36">
        <v>45.0</v>
      </c>
      <c r="O154" s="36">
        <v>26.0</v>
      </c>
      <c r="P154" s="36">
        <v>66.0</v>
      </c>
      <c r="Q154" s="36">
        <v>0.48</v>
      </c>
      <c r="R154" s="36">
        <v>1.13</v>
      </c>
      <c r="S154" s="36">
        <v>1.21</v>
      </c>
      <c r="T154" s="36">
        <v>2.34</v>
      </c>
      <c r="U154" s="21">
        <f t="shared" si="3"/>
        <v>2340</v>
      </c>
      <c r="V154" s="21">
        <f t="shared" si="5"/>
        <v>400</v>
      </c>
    </row>
    <row r="155" ht="14.25" customHeight="1">
      <c r="A155" s="38">
        <v>0.4708333333333333</v>
      </c>
      <c r="B155" s="36">
        <v>141.0</v>
      </c>
      <c r="C155" s="36">
        <v>19.9</v>
      </c>
      <c r="D155" s="36">
        <v>1934.0</v>
      </c>
      <c r="E155" s="36">
        <v>2076.0</v>
      </c>
      <c r="F155" s="36">
        <v>1.07</v>
      </c>
      <c r="G155" s="36">
        <v>25.0</v>
      </c>
      <c r="H155" s="36">
        <v>2.27</v>
      </c>
      <c r="I155" s="36">
        <v>57.8</v>
      </c>
      <c r="J155" s="36">
        <v>67.6</v>
      </c>
      <c r="K155" s="36">
        <v>129.0</v>
      </c>
      <c r="L155" s="36">
        <v>24.3</v>
      </c>
      <c r="M155" s="36">
        <v>108.0</v>
      </c>
      <c r="N155" s="36">
        <v>44.0</v>
      </c>
      <c r="O155" s="36">
        <v>25.0</v>
      </c>
      <c r="P155" s="36">
        <v>67.0</v>
      </c>
      <c r="Q155" s="36">
        <v>0.48</v>
      </c>
      <c r="R155" s="36">
        <v>1.12</v>
      </c>
      <c r="S155" s="36">
        <v>1.23</v>
      </c>
      <c r="T155" s="36">
        <v>2.36</v>
      </c>
      <c r="U155" s="21">
        <f t="shared" si="3"/>
        <v>2360</v>
      </c>
      <c r="V155" s="21">
        <f t="shared" si="5"/>
        <v>400</v>
      </c>
    </row>
    <row r="156" ht="14.25" customHeight="1">
      <c r="A156" s="38">
        <v>0.4722222222222222</v>
      </c>
      <c r="B156" s="36">
        <v>142.0</v>
      </c>
      <c r="C156" s="36">
        <v>19.4</v>
      </c>
      <c r="D156" s="36">
        <v>1881.0</v>
      </c>
      <c r="E156" s="36">
        <v>2060.0</v>
      </c>
      <c r="F156" s="36">
        <v>1.1</v>
      </c>
      <c r="G156" s="36">
        <v>25.0</v>
      </c>
      <c r="H156" s="36">
        <v>2.31</v>
      </c>
      <c r="I156" s="36">
        <v>58.3</v>
      </c>
      <c r="J156" s="36">
        <v>67.3</v>
      </c>
      <c r="K156" s="36">
        <v>129.0</v>
      </c>
      <c r="L156" s="36">
        <v>24.3</v>
      </c>
      <c r="M156" s="36">
        <v>109.0</v>
      </c>
      <c r="N156" s="36">
        <v>44.0</v>
      </c>
      <c r="O156" s="36">
        <v>25.0</v>
      </c>
      <c r="P156" s="36">
        <v>65.0</v>
      </c>
      <c r="Q156" s="36">
        <v>0.47</v>
      </c>
      <c r="R156" s="36">
        <v>1.12</v>
      </c>
      <c r="S156" s="36">
        <v>1.26</v>
      </c>
      <c r="T156" s="36">
        <v>2.38</v>
      </c>
      <c r="U156" s="21">
        <f t="shared" si="3"/>
        <v>2380</v>
      </c>
      <c r="V156" s="21">
        <f t="shared" si="5"/>
        <v>900</v>
      </c>
    </row>
    <row r="157" ht="14.25" customHeight="1">
      <c r="A157" s="38">
        <v>0.47430555555555554</v>
      </c>
      <c r="B157" s="36">
        <v>143.0</v>
      </c>
      <c r="C157" s="36">
        <v>19.3</v>
      </c>
      <c r="D157" s="36">
        <v>1877.0</v>
      </c>
      <c r="E157" s="36">
        <v>2072.0</v>
      </c>
      <c r="F157" s="36">
        <v>1.1</v>
      </c>
      <c r="G157" s="36">
        <v>26.0</v>
      </c>
      <c r="H157" s="36">
        <v>2.31</v>
      </c>
      <c r="I157" s="36">
        <v>58.9</v>
      </c>
      <c r="J157" s="36">
        <v>66.9</v>
      </c>
      <c r="K157" s="36">
        <v>130.0</v>
      </c>
      <c r="L157" s="36">
        <v>23.3</v>
      </c>
      <c r="M157" s="36">
        <v>110.0</v>
      </c>
      <c r="N157" s="36">
        <v>44.0</v>
      </c>
      <c r="O157" s="36">
        <v>26.0</v>
      </c>
      <c r="P157" s="36">
        <v>65.0</v>
      </c>
      <c r="Q157" s="36">
        <v>0.47</v>
      </c>
      <c r="R157" s="36">
        <v>1.1</v>
      </c>
      <c r="S157" s="36">
        <v>1.26</v>
      </c>
      <c r="T157" s="36">
        <v>2.35</v>
      </c>
      <c r="U157" s="21">
        <f t="shared" si="3"/>
        <v>2350</v>
      </c>
      <c r="V157" s="21">
        <f t="shared" si="5"/>
        <v>900</v>
      </c>
    </row>
    <row r="158" ht="14.25" customHeight="1">
      <c r="A158" s="38">
        <v>0.4756944444444444</v>
      </c>
      <c r="B158" s="36">
        <v>143.0</v>
      </c>
      <c r="C158" s="36">
        <v>19.9</v>
      </c>
      <c r="D158" s="36">
        <v>1926.0</v>
      </c>
      <c r="E158" s="36">
        <v>2148.0</v>
      </c>
      <c r="F158" s="36">
        <v>1.12</v>
      </c>
      <c r="G158" s="36">
        <v>25.0</v>
      </c>
      <c r="H158" s="36">
        <v>2.41</v>
      </c>
      <c r="I158" s="36">
        <v>60.8</v>
      </c>
      <c r="J158" s="36">
        <v>65.9</v>
      </c>
      <c r="K158" s="36">
        <v>131.0</v>
      </c>
      <c r="L158" s="36">
        <v>23.0</v>
      </c>
      <c r="M158" s="36">
        <v>110.0</v>
      </c>
      <c r="N158" s="36">
        <v>44.0</v>
      </c>
      <c r="O158" s="36">
        <v>25.0</v>
      </c>
      <c r="P158" s="36">
        <v>67.0</v>
      </c>
      <c r="Q158" s="36">
        <v>0.46</v>
      </c>
      <c r="R158" s="36">
        <v>1.1</v>
      </c>
      <c r="S158" s="36">
        <v>1.28</v>
      </c>
      <c r="T158" s="36">
        <v>2.38</v>
      </c>
      <c r="U158" s="21">
        <f t="shared" si="3"/>
        <v>2380</v>
      </c>
      <c r="V158" s="21">
        <f t="shared" si="5"/>
        <v>0</v>
      </c>
    </row>
    <row r="159" ht="14.25" customHeight="1">
      <c r="A159" s="38">
        <v>0.47708333333333336</v>
      </c>
      <c r="B159" s="36">
        <v>144.0</v>
      </c>
      <c r="C159" s="36">
        <v>20.0</v>
      </c>
      <c r="D159" s="36">
        <v>1939.0</v>
      </c>
      <c r="E159" s="36">
        <v>2191.0</v>
      </c>
      <c r="F159" s="36">
        <v>1.13</v>
      </c>
      <c r="G159" s="36">
        <v>25.0</v>
      </c>
      <c r="H159" s="36">
        <v>2.47</v>
      </c>
      <c r="I159" s="36">
        <v>62.3</v>
      </c>
      <c r="J159" s="36">
        <v>65.0</v>
      </c>
      <c r="K159" s="36">
        <v>132.0</v>
      </c>
      <c r="L159" s="36">
        <v>22.5</v>
      </c>
      <c r="M159" s="36">
        <v>110.0</v>
      </c>
      <c r="N159" s="36">
        <v>44.0</v>
      </c>
      <c r="O159" s="36">
        <v>25.0</v>
      </c>
      <c r="P159" s="36">
        <v>67.0</v>
      </c>
      <c r="Q159" s="36">
        <v>0.45</v>
      </c>
      <c r="R159" s="36">
        <v>1.08</v>
      </c>
      <c r="S159" s="36">
        <v>1.3</v>
      </c>
      <c r="T159" s="36">
        <v>2.38</v>
      </c>
      <c r="U159" s="21">
        <f t="shared" si="3"/>
        <v>2380</v>
      </c>
      <c r="V159" s="21">
        <f t="shared" si="5"/>
        <v>0</v>
      </c>
    </row>
    <row r="160" ht="14.25" customHeight="1">
      <c r="A160" s="38">
        <v>0.4791666666666667</v>
      </c>
      <c r="B160" s="36">
        <v>145.0</v>
      </c>
      <c r="C160" s="36">
        <v>19.4</v>
      </c>
      <c r="D160" s="36">
        <v>1884.0</v>
      </c>
      <c r="E160" s="36">
        <v>2140.0</v>
      </c>
      <c r="F160" s="36">
        <v>1.14</v>
      </c>
      <c r="G160" s="36">
        <v>25.0</v>
      </c>
      <c r="H160" s="36">
        <v>2.41</v>
      </c>
      <c r="I160" s="36">
        <v>60.9</v>
      </c>
      <c r="J160" s="36">
        <v>65.8</v>
      </c>
      <c r="K160" s="36">
        <v>132.0</v>
      </c>
      <c r="L160" s="36">
        <v>22.1</v>
      </c>
      <c r="M160" s="36">
        <v>110.0</v>
      </c>
      <c r="N160" s="36">
        <v>44.0</v>
      </c>
      <c r="O160" s="36">
        <v>25.0</v>
      </c>
      <c r="P160" s="36">
        <v>65.0</v>
      </c>
      <c r="Q160" s="36">
        <v>0.45</v>
      </c>
      <c r="R160" s="36">
        <v>1.06</v>
      </c>
      <c r="S160" s="36">
        <v>1.31</v>
      </c>
      <c r="T160" s="36">
        <v>2.38</v>
      </c>
      <c r="U160" s="21">
        <f t="shared" si="3"/>
        <v>2380</v>
      </c>
      <c r="V160" s="21">
        <f t="shared" si="5"/>
        <v>0</v>
      </c>
    </row>
    <row r="161" ht="14.25" customHeight="1">
      <c r="A161" s="38">
        <v>0.48055555555555557</v>
      </c>
      <c r="B161" s="36">
        <v>146.0</v>
      </c>
      <c r="C161" s="36">
        <v>19.6</v>
      </c>
      <c r="D161" s="36">
        <v>1901.0</v>
      </c>
      <c r="E161" s="36">
        <v>2171.0</v>
      </c>
      <c r="F161" s="36">
        <v>1.14</v>
      </c>
      <c r="G161" s="36">
        <v>25.0</v>
      </c>
      <c r="H161" s="36">
        <v>2.46</v>
      </c>
      <c r="I161" s="36">
        <v>62.0</v>
      </c>
      <c r="J161" s="36">
        <v>65.1</v>
      </c>
      <c r="K161" s="36">
        <v>133.0</v>
      </c>
      <c r="L161" s="36">
        <v>21.9</v>
      </c>
      <c r="M161" s="36">
        <v>110.0</v>
      </c>
      <c r="N161" s="36">
        <v>44.0</v>
      </c>
      <c r="O161" s="36">
        <v>25.0</v>
      </c>
      <c r="P161" s="36">
        <v>66.0</v>
      </c>
      <c r="Q161" s="36">
        <v>0.45</v>
      </c>
      <c r="R161" s="36">
        <v>1.07</v>
      </c>
      <c r="S161" s="36">
        <v>1.31</v>
      </c>
      <c r="T161" s="36">
        <v>2.38</v>
      </c>
      <c r="U161" s="21">
        <f t="shared" si="3"/>
        <v>2380</v>
      </c>
      <c r="V161" s="21">
        <f t="shared" si="5"/>
        <v>1600</v>
      </c>
    </row>
    <row r="162" ht="14.25" customHeight="1">
      <c r="A162" s="38">
        <v>0.48194444444444445</v>
      </c>
      <c r="B162" s="36">
        <v>146.0</v>
      </c>
      <c r="C162" s="36">
        <v>20.1</v>
      </c>
      <c r="D162" s="36">
        <v>1948.0</v>
      </c>
      <c r="E162" s="36">
        <v>2221.0</v>
      </c>
      <c r="F162" s="36">
        <v>1.14</v>
      </c>
      <c r="G162" s="36">
        <v>26.0</v>
      </c>
      <c r="H162" s="36">
        <v>2.45</v>
      </c>
      <c r="I162" s="36">
        <v>62.8</v>
      </c>
      <c r="J162" s="36">
        <v>64.7</v>
      </c>
      <c r="K162" s="36">
        <v>133.0</v>
      </c>
      <c r="L162" s="36">
        <v>21.8</v>
      </c>
      <c r="M162" s="36">
        <v>110.0</v>
      </c>
      <c r="N162" s="36">
        <v>44.0</v>
      </c>
      <c r="O162" s="36">
        <v>26.0</v>
      </c>
      <c r="P162" s="36">
        <v>68.0</v>
      </c>
      <c r="Q162" s="36">
        <v>0.45</v>
      </c>
      <c r="R162" s="36">
        <v>1.05</v>
      </c>
      <c r="S162" s="36">
        <v>1.29</v>
      </c>
      <c r="T162" s="36">
        <v>2.34</v>
      </c>
      <c r="U162" s="21">
        <f t="shared" si="3"/>
        <v>2340</v>
      </c>
      <c r="V162" s="21">
        <f t="shared" si="5"/>
        <v>900</v>
      </c>
    </row>
    <row r="163" ht="14.25" customHeight="1">
      <c r="A163" s="38">
        <v>0.48333333333333334</v>
      </c>
      <c r="B163" s="36">
        <v>148.0</v>
      </c>
      <c r="C163" s="36">
        <v>20.6</v>
      </c>
      <c r="D163" s="36">
        <v>1996.0</v>
      </c>
      <c r="E163" s="36">
        <v>2277.0</v>
      </c>
      <c r="F163" s="36">
        <v>1.14</v>
      </c>
      <c r="G163" s="36">
        <v>26.0</v>
      </c>
      <c r="H163" s="36">
        <v>2.47</v>
      </c>
      <c r="I163" s="36">
        <v>64.2</v>
      </c>
      <c r="J163" s="36">
        <v>63.9</v>
      </c>
      <c r="K163" s="36">
        <v>133.0</v>
      </c>
      <c r="L163" s="36">
        <v>21.6</v>
      </c>
      <c r="M163" s="36">
        <v>110.0</v>
      </c>
      <c r="N163" s="36">
        <v>44.0</v>
      </c>
      <c r="O163" s="36">
        <v>26.0</v>
      </c>
      <c r="P163" s="36">
        <v>69.0</v>
      </c>
      <c r="Q163" s="36">
        <v>0.45</v>
      </c>
      <c r="R163" s="36">
        <v>1.04</v>
      </c>
      <c r="S163" s="36">
        <v>1.27</v>
      </c>
      <c r="T163" s="36">
        <v>2.31</v>
      </c>
      <c r="U163" s="21">
        <f t="shared" si="3"/>
        <v>2310</v>
      </c>
      <c r="V163" s="21">
        <f t="shared" si="5"/>
        <v>3600</v>
      </c>
    </row>
    <row r="164" ht="14.25" customHeight="1">
      <c r="A164" s="38">
        <v>0.48541666666666666</v>
      </c>
      <c r="B164" s="36">
        <v>148.0</v>
      </c>
      <c r="C164" s="36">
        <v>20.3</v>
      </c>
      <c r="D164" s="36">
        <v>1969.0</v>
      </c>
      <c r="E164" s="36">
        <v>2259.0</v>
      </c>
      <c r="F164" s="36">
        <v>1.15</v>
      </c>
      <c r="G164" s="36">
        <v>27.0</v>
      </c>
      <c r="H164" s="36">
        <v>2.41</v>
      </c>
      <c r="I164" s="36">
        <v>64.3</v>
      </c>
      <c r="J164" s="36">
        <v>63.9</v>
      </c>
      <c r="K164" s="36">
        <v>133.0</v>
      </c>
      <c r="L164" s="36">
        <v>21.6</v>
      </c>
      <c r="M164" s="36">
        <v>111.0</v>
      </c>
      <c r="N164" s="36">
        <v>44.0</v>
      </c>
      <c r="O164" s="36">
        <v>27.0</v>
      </c>
      <c r="P164" s="36">
        <v>68.0</v>
      </c>
      <c r="Q164" s="36">
        <v>0.46</v>
      </c>
      <c r="R164" s="36">
        <v>1.04</v>
      </c>
      <c r="S164" s="36">
        <v>1.22</v>
      </c>
      <c r="T164" s="36">
        <v>2.25</v>
      </c>
      <c r="U164" s="21">
        <f t="shared" si="3"/>
        <v>2250</v>
      </c>
      <c r="V164" s="21">
        <f t="shared" si="5"/>
        <v>400</v>
      </c>
    </row>
    <row r="165" ht="14.25" customHeight="1">
      <c r="A165" s="38">
        <v>0.48680555555555555</v>
      </c>
      <c r="B165" s="36">
        <v>149.0</v>
      </c>
      <c r="C165" s="36">
        <v>20.2</v>
      </c>
      <c r="D165" s="36">
        <v>1956.0</v>
      </c>
      <c r="E165" s="36">
        <v>2247.0</v>
      </c>
      <c r="F165" s="36">
        <v>1.15</v>
      </c>
      <c r="G165" s="36">
        <v>27.0</v>
      </c>
      <c r="H165" s="36">
        <v>2.4</v>
      </c>
      <c r="I165" s="36">
        <v>64.4</v>
      </c>
      <c r="J165" s="36">
        <v>63.8</v>
      </c>
      <c r="K165" s="36">
        <v>133.0</v>
      </c>
      <c r="L165" s="36">
        <v>21.6</v>
      </c>
      <c r="M165" s="36">
        <v>111.0</v>
      </c>
      <c r="N165" s="36">
        <v>44.0</v>
      </c>
      <c r="O165" s="36">
        <v>27.0</v>
      </c>
      <c r="P165" s="36">
        <v>68.0</v>
      </c>
      <c r="Q165" s="36">
        <v>0.47</v>
      </c>
      <c r="R165" s="36">
        <v>1.04</v>
      </c>
      <c r="S165" s="36">
        <v>1.19</v>
      </c>
      <c r="T165" s="36">
        <v>2.23</v>
      </c>
      <c r="U165" s="21">
        <f t="shared" si="3"/>
        <v>2230</v>
      </c>
      <c r="V165" s="21">
        <f t="shared" si="5"/>
        <v>100</v>
      </c>
    </row>
    <row r="166" ht="14.25" customHeight="1">
      <c r="A166" s="38">
        <v>0.48819444444444443</v>
      </c>
      <c r="B166" s="36">
        <v>150.0</v>
      </c>
      <c r="C166" s="36">
        <v>20.6</v>
      </c>
      <c r="D166" s="36">
        <v>2000.0</v>
      </c>
      <c r="E166" s="36">
        <v>2293.0</v>
      </c>
      <c r="F166" s="36">
        <v>1.15</v>
      </c>
      <c r="G166" s="36">
        <v>27.0</v>
      </c>
      <c r="H166" s="36">
        <v>2.42</v>
      </c>
      <c r="I166" s="36">
        <v>65.4</v>
      </c>
      <c r="J166" s="36">
        <v>63.3</v>
      </c>
      <c r="K166" s="36">
        <v>133.0</v>
      </c>
      <c r="L166" s="36">
        <v>21.8</v>
      </c>
      <c r="M166" s="36">
        <v>111.0</v>
      </c>
      <c r="N166" s="36">
        <v>44.0</v>
      </c>
      <c r="O166" s="36">
        <v>27.0</v>
      </c>
      <c r="P166" s="36">
        <v>70.0</v>
      </c>
      <c r="Q166" s="36">
        <v>0.47</v>
      </c>
      <c r="R166" s="36">
        <v>1.04</v>
      </c>
      <c r="S166" s="36">
        <v>1.19</v>
      </c>
      <c r="T166" s="36">
        <v>2.22</v>
      </c>
      <c r="U166" s="21">
        <f t="shared" si="3"/>
        <v>2220</v>
      </c>
      <c r="V166" s="21">
        <f t="shared" si="5"/>
        <v>400</v>
      </c>
    </row>
    <row r="167" ht="14.25" customHeight="1">
      <c r="A167" s="38">
        <v>0.4895833333333333</v>
      </c>
      <c r="B167" s="36">
        <v>150.0</v>
      </c>
      <c r="C167" s="36">
        <v>21.1</v>
      </c>
      <c r="D167" s="36">
        <v>2052.0</v>
      </c>
      <c r="E167" s="36">
        <v>2364.0</v>
      </c>
      <c r="F167" s="36">
        <v>1.15</v>
      </c>
      <c r="G167" s="36">
        <v>27.0</v>
      </c>
      <c r="H167" s="36">
        <v>2.49</v>
      </c>
      <c r="I167" s="36">
        <v>67.7</v>
      </c>
      <c r="J167" s="36">
        <v>61.9</v>
      </c>
      <c r="K167" s="36">
        <v>133.0</v>
      </c>
      <c r="L167" s="36">
        <v>21.8</v>
      </c>
      <c r="M167" s="36">
        <v>111.0</v>
      </c>
      <c r="N167" s="36">
        <v>44.0</v>
      </c>
      <c r="O167" s="36">
        <v>27.0</v>
      </c>
      <c r="P167" s="36">
        <v>71.0</v>
      </c>
      <c r="Q167" s="36">
        <v>0.47</v>
      </c>
      <c r="R167" s="36">
        <v>1.03</v>
      </c>
      <c r="S167" s="36">
        <v>1.17</v>
      </c>
      <c r="T167" s="36">
        <v>2.2</v>
      </c>
      <c r="U167" s="21">
        <f t="shared" si="3"/>
        <v>2200</v>
      </c>
      <c r="V167" s="21">
        <f t="shared" si="5"/>
        <v>0</v>
      </c>
    </row>
    <row r="168" ht="14.25" customHeight="1">
      <c r="A168" s="38">
        <v>0.4909722222222222</v>
      </c>
      <c r="B168" s="36">
        <v>151.0</v>
      </c>
      <c r="C168" s="36">
        <v>21.4</v>
      </c>
      <c r="D168" s="36">
        <v>2080.0</v>
      </c>
      <c r="E168" s="36">
        <v>2426.0</v>
      </c>
      <c r="F168" s="36">
        <v>1.17</v>
      </c>
      <c r="G168" s="36">
        <v>27.0</v>
      </c>
      <c r="H168" s="36">
        <v>2.6</v>
      </c>
      <c r="I168" s="36">
        <v>70.7</v>
      </c>
      <c r="J168" s="36">
        <v>60.3</v>
      </c>
      <c r="K168" s="36">
        <v>133.0</v>
      </c>
      <c r="L168" s="36">
        <v>21.6</v>
      </c>
      <c r="M168" s="36">
        <v>112.0</v>
      </c>
      <c r="N168" s="36">
        <v>43.0</v>
      </c>
      <c r="O168" s="36">
        <v>27.0</v>
      </c>
      <c r="P168" s="36">
        <v>72.0</v>
      </c>
      <c r="Q168" s="36">
        <v>0.46</v>
      </c>
      <c r="R168" s="36">
        <v>1.01</v>
      </c>
      <c r="S168" s="36">
        <v>1.19</v>
      </c>
      <c r="T168" s="36">
        <v>2.2</v>
      </c>
      <c r="U168" s="21">
        <f t="shared" si="3"/>
        <v>2200</v>
      </c>
      <c r="V168" s="21">
        <f t="shared" si="5"/>
        <v>900</v>
      </c>
    </row>
    <row r="169" ht="14.25" customHeight="1">
      <c r="A169" s="38">
        <v>0.49236111111111114</v>
      </c>
      <c r="B169" s="36">
        <v>152.0</v>
      </c>
      <c r="C169" s="36">
        <v>20.9</v>
      </c>
      <c r="D169" s="36">
        <v>2026.0</v>
      </c>
      <c r="E169" s="36">
        <v>2408.0</v>
      </c>
      <c r="F169" s="36">
        <v>1.19</v>
      </c>
      <c r="G169" s="36">
        <v>28.0</v>
      </c>
      <c r="H169" s="36">
        <v>2.59</v>
      </c>
      <c r="I169" s="36">
        <v>71.7</v>
      </c>
      <c r="J169" s="36">
        <v>59.7</v>
      </c>
      <c r="K169" s="36">
        <v>133.0</v>
      </c>
      <c r="L169" s="36">
        <v>21.8</v>
      </c>
      <c r="M169" s="36">
        <v>113.0</v>
      </c>
      <c r="N169" s="36">
        <v>42.0</v>
      </c>
      <c r="O169" s="36">
        <v>28.0</v>
      </c>
      <c r="P169" s="36">
        <v>70.0</v>
      </c>
      <c r="Q169" s="36">
        <v>0.46</v>
      </c>
      <c r="R169" s="36">
        <v>0.99</v>
      </c>
      <c r="S169" s="36">
        <v>1.18</v>
      </c>
      <c r="T169" s="36">
        <v>2.17</v>
      </c>
      <c r="U169" s="21">
        <f t="shared" si="3"/>
        <v>2170</v>
      </c>
      <c r="V169" s="21">
        <f t="shared" si="5"/>
        <v>400</v>
      </c>
    </row>
    <row r="170" ht="14.25" customHeight="1">
      <c r="A170" s="38">
        <v>0.49444444444444446</v>
      </c>
      <c r="B170" s="36">
        <v>153.0</v>
      </c>
      <c r="C170" s="36">
        <v>20.7</v>
      </c>
      <c r="D170" s="36">
        <v>2006.0</v>
      </c>
      <c r="E170" s="36">
        <v>2410.0</v>
      </c>
      <c r="F170" s="36">
        <v>1.2</v>
      </c>
      <c r="G170" s="36">
        <v>28.0</v>
      </c>
      <c r="H170" s="36">
        <v>2.58</v>
      </c>
      <c r="I170" s="36">
        <v>71.8</v>
      </c>
      <c r="J170" s="36">
        <v>59.7</v>
      </c>
      <c r="K170" s="36">
        <v>133.0</v>
      </c>
      <c r="L170" s="36">
        <v>21.6</v>
      </c>
      <c r="M170" s="36">
        <v>113.0</v>
      </c>
      <c r="N170" s="36">
        <v>42.0</v>
      </c>
      <c r="O170" s="36">
        <v>28.0</v>
      </c>
      <c r="P170" s="36">
        <v>70.0</v>
      </c>
      <c r="Q170" s="36">
        <v>0.46</v>
      </c>
      <c r="R170" s="36">
        <v>0.99</v>
      </c>
      <c r="S170" s="36">
        <v>1.16</v>
      </c>
      <c r="T170" s="36">
        <v>2.15</v>
      </c>
      <c r="U170" s="21">
        <f t="shared" si="3"/>
        <v>2150</v>
      </c>
      <c r="V170" s="21">
        <f t="shared" si="5"/>
        <v>1600</v>
      </c>
    </row>
    <row r="171" ht="14.25" customHeight="1">
      <c r="A171" s="38">
        <v>0.49583333333333335</v>
      </c>
      <c r="B171" s="36">
        <v>153.0</v>
      </c>
      <c r="C171" s="36">
        <v>21.3</v>
      </c>
      <c r="D171" s="36">
        <v>2064.0</v>
      </c>
      <c r="E171" s="36">
        <v>2490.0</v>
      </c>
      <c r="F171" s="36">
        <v>1.21</v>
      </c>
      <c r="G171" s="36">
        <v>27.0</v>
      </c>
      <c r="H171" s="36">
        <v>2.69</v>
      </c>
      <c r="I171" s="36">
        <v>73.8</v>
      </c>
      <c r="J171" s="36">
        <v>58.5</v>
      </c>
      <c r="K171" s="36">
        <v>134.0</v>
      </c>
      <c r="L171" s="36">
        <v>21.1</v>
      </c>
      <c r="M171" s="36">
        <v>113.0</v>
      </c>
      <c r="N171" s="36">
        <v>43.0</v>
      </c>
      <c r="O171" s="36">
        <v>27.0</v>
      </c>
      <c r="P171" s="36">
        <v>72.0</v>
      </c>
      <c r="Q171" s="36">
        <v>0.45</v>
      </c>
      <c r="R171" s="36">
        <v>0.99</v>
      </c>
      <c r="S171" s="36">
        <v>1.2</v>
      </c>
      <c r="T171" s="36">
        <v>2.19</v>
      </c>
      <c r="U171" s="21">
        <f t="shared" si="3"/>
        <v>2190</v>
      </c>
      <c r="V171" s="21">
        <f t="shared" si="5"/>
        <v>100</v>
      </c>
    </row>
    <row r="172" ht="14.25" customHeight="1">
      <c r="A172" s="38">
        <v>0.49722222222222223</v>
      </c>
      <c r="B172" s="36">
        <v>154.0</v>
      </c>
      <c r="C172" s="36">
        <v>21.1</v>
      </c>
      <c r="D172" s="36">
        <v>2048.0</v>
      </c>
      <c r="E172" s="36">
        <v>2494.0</v>
      </c>
      <c r="F172" s="36">
        <v>1.22</v>
      </c>
      <c r="G172" s="36">
        <v>27.0</v>
      </c>
      <c r="H172" s="36">
        <v>2.7</v>
      </c>
      <c r="I172" s="36">
        <v>73.6</v>
      </c>
      <c r="J172" s="36">
        <v>58.6</v>
      </c>
      <c r="K172" s="36">
        <v>135.0</v>
      </c>
      <c r="L172" s="36">
        <v>20.5</v>
      </c>
      <c r="M172" s="36">
        <v>114.0</v>
      </c>
      <c r="N172" s="36">
        <v>42.0</v>
      </c>
      <c r="O172" s="36">
        <v>27.0</v>
      </c>
      <c r="P172" s="36">
        <v>71.0</v>
      </c>
      <c r="Q172" s="36">
        <v>0.45</v>
      </c>
      <c r="R172" s="36">
        <v>0.99</v>
      </c>
      <c r="S172" s="36">
        <v>1.21</v>
      </c>
      <c r="T172" s="36">
        <v>2.2</v>
      </c>
      <c r="U172" s="21">
        <f t="shared" si="3"/>
        <v>2200</v>
      </c>
      <c r="V172" s="21">
        <f t="shared" si="5"/>
        <v>0</v>
      </c>
    </row>
    <row r="173" ht="14.25" customHeight="1">
      <c r="A173" s="38">
        <v>0.4986111111111111</v>
      </c>
      <c r="B173" s="36">
        <v>155.0</v>
      </c>
      <c r="C173" s="36">
        <v>20.4</v>
      </c>
      <c r="D173" s="36">
        <v>1978.0</v>
      </c>
      <c r="E173" s="36">
        <v>2442.0</v>
      </c>
      <c r="F173" s="36">
        <v>1.23</v>
      </c>
      <c r="G173" s="36">
        <v>27.0</v>
      </c>
      <c r="H173" s="36">
        <v>2.66</v>
      </c>
      <c r="I173" s="36">
        <v>72.5</v>
      </c>
      <c r="J173" s="36">
        <v>59.3</v>
      </c>
      <c r="K173" s="36">
        <v>136.0</v>
      </c>
      <c r="L173" s="36">
        <v>20.0</v>
      </c>
      <c r="M173" s="36">
        <v>114.0</v>
      </c>
      <c r="N173" s="36">
        <v>42.0</v>
      </c>
      <c r="O173" s="36">
        <v>27.0</v>
      </c>
      <c r="P173" s="36">
        <v>69.0</v>
      </c>
      <c r="Q173" s="36">
        <v>0.45</v>
      </c>
      <c r="R173" s="36">
        <v>0.98</v>
      </c>
      <c r="S173" s="36">
        <v>1.22</v>
      </c>
      <c r="T173" s="36">
        <v>2.2</v>
      </c>
      <c r="U173" s="21">
        <f t="shared" si="3"/>
        <v>2200</v>
      </c>
      <c r="V173" s="21">
        <f t="shared" si="5"/>
        <v>100</v>
      </c>
    </row>
    <row r="174" ht="14.25" customHeight="1">
      <c r="A174" s="38">
        <v>0.5006944444444444</v>
      </c>
      <c r="B174" s="36">
        <v>156.0</v>
      </c>
      <c r="C174" s="36">
        <v>19.7</v>
      </c>
      <c r="D174" s="36">
        <v>1907.0</v>
      </c>
      <c r="E174" s="36">
        <v>2335.0</v>
      </c>
      <c r="F174" s="36">
        <v>1.22</v>
      </c>
      <c r="G174" s="36">
        <v>27.0</v>
      </c>
      <c r="H174" s="36">
        <v>2.55</v>
      </c>
      <c r="I174" s="36">
        <v>69.7</v>
      </c>
      <c r="J174" s="36">
        <v>60.9</v>
      </c>
      <c r="K174" s="36">
        <v>137.0</v>
      </c>
      <c r="L174" s="36">
        <v>19.2</v>
      </c>
      <c r="M174" s="36">
        <v>114.0</v>
      </c>
      <c r="N174" s="36">
        <v>42.0</v>
      </c>
      <c r="O174" s="36">
        <v>27.0</v>
      </c>
      <c r="P174" s="36">
        <v>66.0</v>
      </c>
      <c r="Q174" s="36">
        <v>0.45</v>
      </c>
      <c r="R174" s="36">
        <v>0.98</v>
      </c>
      <c r="S174" s="36">
        <v>1.21</v>
      </c>
      <c r="T174" s="36">
        <v>2.19</v>
      </c>
      <c r="U174" s="21">
        <f t="shared" si="3"/>
        <v>2190</v>
      </c>
      <c r="V174" s="21">
        <f t="shared" si="5"/>
        <v>6400</v>
      </c>
    </row>
    <row r="175" ht="14.25" customHeight="1">
      <c r="A175" s="38">
        <v>0.5020833333333333</v>
      </c>
      <c r="B175" s="36">
        <v>156.0</v>
      </c>
      <c r="C175" s="36">
        <v>19.4</v>
      </c>
      <c r="D175" s="36">
        <v>1880.0</v>
      </c>
      <c r="E175" s="36">
        <v>2247.0</v>
      </c>
      <c r="F175" s="36">
        <v>1.19</v>
      </c>
      <c r="G175" s="36">
        <v>26.0</v>
      </c>
      <c r="H175" s="36">
        <v>2.45</v>
      </c>
      <c r="I175" s="36">
        <v>65.0</v>
      </c>
      <c r="J175" s="36">
        <v>63.5</v>
      </c>
      <c r="K175" s="36">
        <v>139.0</v>
      </c>
      <c r="L175" s="36">
        <v>18.3</v>
      </c>
      <c r="M175" s="36">
        <v>113.0</v>
      </c>
      <c r="N175" s="36">
        <v>43.0</v>
      </c>
      <c r="O175" s="36">
        <v>26.0</v>
      </c>
      <c r="P175" s="36">
        <v>65.0</v>
      </c>
      <c r="Q175" s="36">
        <v>0.47</v>
      </c>
      <c r="R175" s="36">
        <v>1.05</v>
      </c>
      <c r="S175" s="36">
        <v>1.21</v>
      </c>
      <c r="T175" s="36">
        <v>2.27</v>
      </c>
      <c r="U175" s="21">
        <f t="shared" si="3"/>
        <v>2270</v>
      </c>
      <c r="V175" s="21">
        <f t="shared" si="5"/>
        <v>900</v>
      </c>
    </row>
    <row r="176" ht="14.25" customHeight="1">
      <c r="A176" s="38">
        <v>0.5034722222222222</v>
      </c>
      <c r="B176" s="36">
        <v>157.0</v>
      </c>
      <c r="C176" s="36">
        <v>19.9</v>
      </c>
      <c r="D176" s="36">
        <v>1926.0</v>
      </c>
      <c r="E176" s="36">
        <v>2295.0</v>
      </c>
      <c r="F176" s="36">
        <v>1.19</v>
      </c>
      <c r="G176" s="36">
        <v>26.0</v>
      </c>
      <c r="H176" s="36">
        <v>2.5</v>
      </c>
      <c r="I176" s="36">
        <v>65.2</v>
      </c>
      <c r="J176" s="36">
        <v>63.3</v>
      </c>
      <c r="K176" s="36">
        <v>139.0</v>
      </c>
      <c r="L176" s="36">
        <v>18.3</v>
      </c>
      <c r="M176" s="36">
        <v>112.0</v>
      </c>
      <c r="N176" s="36">
        <v>43.0</v>
      </c>
      <c r="O176" s="36">
        <v>26.0</v>
      </c>
      <c r="P176" s="36">
        <v>67.0</v>
      </c>
      <c r="Q176" s="36">
        <v>0.47</v>
      </c>
      <c r="R176" s="36">
        <v>1.07</v>
      </c>
      <c r="S176" s="36">
        <v>1.23</v>
      </c>
      <c r="T176" s="36">
        <v>2.3</v>
      </c>
      <c r="U176" s="21">
        <f t="shared" si="3"/>
        <v>2300</v>
      </c>
      <c r="V176" s="21">
        <f t="shared" si="5"/>
        <v>400</v>
      </c>
    </row>
    <row r="177" ht="14.25" customHeight="1">
      <c r="A177" s="38">
        <v>0.5055555555555555</v>
      </c>
      <c r="B177" s="36">
        <v>158.0</v>
      </c>
      <c r="C177" s="36">
        <v>21.0</v>
      </c>
      <c r="D177" s="36">
        <v>2035.0</v>
      </c>
      <c r="E177" s="36">
        <v>2377.0</v>
      </c>
      <c r="F177" s="36">
        <v>1.17</v>
      </c>
      <c r="G177" s="36">
        <v>26.0</v>
      </c>
      <c r="H177" s="36">
        <v>2.56</v>
      </c>
      <c r="I177" s="36">
        <v>66.3</v>
      </c>
      <c r="J177" s="36">
        <v>62.8</v>
      </c>
      <c r="K177" s="36">
        <v>140.0</v>
      </c>
      <c r="L177" s="36">
        <v>17.9</v>
      </c>
      <c r="M177" s="36">
        <v>111.0</v>
      </c>
      <c r="N177" s="36">
        <v>44.0</v>
      </c>
      <c r="O177" s="36">
        <v>26.0</v>
      </c>
      <c r="P177" s="36">
        <v>71.0</v>
      </c>
      <c r="Q177" s="36">
        <v>0.47</v>
      </c>
      <c r="R177" s="36">
        <v>1.08</v>
      </c>
      <c r="S177" s="36">
        <v>1.24</v>
      </c>
      <c r="T177" s="36">
        <v>2.32</v>
      </c>
      <c r="U177" s="21">
        <f t="shared" si="3"/>
        <v>2320</v>
      </c>
      <c r="V177" s="21">
        <f t="shared" si="5"/>
        <v>900</v>
      </c>
    </row>
    <row r="178" ht="14.25" customHeight="1">
      <c r="A178" s="38">
        <v>0.5069444444444444</v>
      </c>
      <c r="B178" s="36">
        <v>159.0</v>
      </c>
      <c r="C178" s="36">
        <v>20.5</v>
      </c>
      <c r="D178" s="36">
        <v>1991.0</v>
      </c>
      <c r="E178" s="36">
        <v>2299.0</v>
      </c>
      <c r="F178" s="36">
        <v>1.15</v>
      </c>
      <c r="G178" s="36">
        <v>26.0</v>
      </c>
      <c r="H178" s="36">
        <v>2.46</v>
      </c>
      <c r="I178" s="36">
        <v>64.4</v>
      </c>
      <c r="J178" s="36">
        <v>63.8</v>
      </c>
      <c r="K178" s="36">
        <v>140.0</v>
      </c>
      <c r="L178" s="36">
        <v>17.9</v>
      </c>
      <c r="M178" s="36">
        <v>111.0</v>
      </c>
      <c r="N178" s="36">
        <v>44.0</v>
      </c>
      <c r="O178" s="36">
        <v>26.0</v>
      </c>
      <c r="P178" s="36">
        <v>69.0</v>
      </c>
      <c r="Q178" s="36">
        <v>0.48</v>
      </c>
      <c r="R178" s="36">
        <v>1.1</v>
      </c>
      <c r="S178" s="36">
        <v>1.2</v>
      </c>
      <c r="T178" s="36">
        <v>2.29</v>
      </c>
      <c r="U178" s="21">
        <f t="shared" si="3"/>
        <v>2290</v>
      </c>
      <c r="V178" s="21">
        <f t="shared" si="5"/>
        <v>2500</v>
      </c>
    </row>
    <row r="179" ht="14.25" customHeight="1">
      <c r="A179" s="38">
        <v>0.5083333333333333</v>
      </c>
      <c r="B179" s="36">
        <v>159.0</v>
      </c>
      <c r="C179" s="36">
        <v>20.6</v>
      </c>
      <c r="D179" s="36">
        <v>2001.0</v>
      </c>
      <c r="E179" s="36">
        <v>2318.0</v>
      </c>
      <c r="F179" s="36">
        <v>1.16</v>
      </c>
      <c r="G179" s="36">
        <v>27.0</v>
      </c>
      <c r="H179" s="36">
        <v>2.46</v>
      </c>
      <c r="I179" s="36">
        <v>65.7</v>
      </c>
      <c r="J179" s="36">
        <v>63.1</v>
      </c>
      <c r="K179" s="36">
        <v>140.0</v>
      </c>
      <c r="L179" s="36">
        <v>17.9</v>
      </c>
      <c r="M179" s="36">
        <v>111.0</v>
      </c>
      <c r="N179" s="36">
        <v>44.0</v>
      </c>
      <c r="O179" s="36">
        <v>27.0</v>
      </c>
      <c r="P179" s="36">
        <v>70.0</v>
      </c>
      <c r="Q179" s="36">
        <v>0.47</v>
      </c>
      <c r="R179" s="36">
        <v>1.06</v>
      </c>
      <c r="S179" s="36">
        <v>1.19</v>
      </c>
      <c r="T179" s="36">
        <v>2.24</v>
      </c>
      <c r="U179" s="21">
        <f t="shared" si="3"/>
        <v>2240</v>
      </c>
      <c r="V179" s="21">
        <f t="shared" si="5"/>
        <v>6400</v>
      </c>
    </row>
    <row r="180" ht="14.25" customHeight="1">
      <c r="A180" s="38">
        <v>0.5097222222222222</v>
      </c>
      <c r="B180" s="36">
        <v>160.0</v>
      </c>
      <c r="C180" s="36">
        <v>20.6</v>
      </c>
      <c r="D180" s="36">
        <v>2001.0</v>
      </c>
      <c r="E180" s="36">
        <v>2340.0</v>
      </c>
      <c r="F180" s="36">
        <v>1.17</v>
      </c>
      <c r="G180" s="36">
        <v>28.0</v>
      </c>
      <c r="H180" s="36">
        <v>2.43</v>
      </c>
      <c r="I180" s="36">
        <v>67.6</v>
      </c>
      <c r="J180" s="36">
        <v>62.0</v>
      </c>
      <c r="K180" s="36">
        <v>140.0</v>
      </c>
      <c r="L180" s="36">
        <v>17.9</v>
      </c>
      <c r="M180" s="36">
        <v>112.0</v>
      </c>
      <c r="N180" s="36">
        <v>43.0</v>
      </c>
      <c r="O180" s="36">
        <v>28.0</v>
      </c>
      <c r="P180" s="36">
        <v>70.0</v>
      </c>
      <c r="Q180" s="36">
        <v>0.45</v>
      </c>
      <c r="R180" s="36">
        <v>0.98</v>
      </c>
      <c r="S180" s="36">
        <v>1.18</v>
      </c>
      <c r="T180" s="36">
        <v>2.16</v>
      </c>
      <c r="U180" s="21">
        <f t="shared" si="3"/>
        <v>2160</v>
      </c>
      <c r="V180" s="21">
        <f t="shared" si="5"/>
        <v>1600</v>
      </c>
    </row>
    <row r="181" ht="14.25" customHeight="1">
      <c r="A181" s="38">
        <v>0.5111111111111111</v>
      </c>
      <c r="B181" s="36">
        <v>161.0</v>
      </c>
      <c r="C181" s="36">
        <v>21.1</v>
      </c>
      <c r="D181" s="36">
        <v>2046.0</v>
      </c>
      <c r="E181" s="36">
        <v>2388.0</v>
      </c>
      <c r="F181" s="36">
        <v>1.17</v>
      </c>
      <c r="G181" s="36">
        <v>28.0</v>
      </c>
      <c r="H181" s="36">
        <v>2.44</v>
      </c>
      <c r="I181" s="36">
        <v>69.0</v>
      </c>
      <c r="J181" s="36">
        <v>61.2</v>
      </c>
      <c r="K181" s="36">
        <v>140.0</v>
      </c>
      <c r="L181" s="36">
        <v>17.9</v>
      </c>
      <c r="M181" s="36">
        <v>112.0</v>
      </c>
      <c r="N181" s="36">
        <v>44.0</v>
      </c>
      <c r="O181" s="36">
        <v>28.0</v>
      </c>
      <c r="P181" s="36">
        <v>71.0</v>
      </c>
      <c r="Q181" s="36">
        <v>0.46</v>
      </c>
      <c r="R181" s="36">
        <v>0.97</v>
      </c>
      <c r="S181" s="36">
        <v>1.15</v>
      </c>
      <c r="T181" s="36">
        <v>2.12</v>
      </c>
      <c r="U181" s="21">
        <f t="shared" si="3"/>
        <v>2120</v>
      </c>
      <c r="V181" s="21">
        <f t="shared" si="5"/>
        <v>900</v>
      </c>
    </row>
    <row r="182" ht="14.25" customHeight="1">
      <c r="A182" s="38">
        <v>0.5125</v>
      </c>
      <c r="B182" s="36">
        <v>161.0</v>
      </c>
      <c r="C182" s="36">
        <v>21.6</v>
      </c>
      <c r="D182" s="36">
        <v>2099.0</v>
      </c>
      <c r="E182" s="36">
        <v>2464.0</v>
      </c>
      <c r="F182" s="36">
        <v>1.17</v>
      </c>
      <c r="G182" s="36">
        <v>28.0</v>
      </c>
      <c r="H182" s="36">
        <v>2.53</v>
      </c>
      <c r="I182" s="36">
        <v>70.7</v>
      </c>
      <c r="J182" s="36">
        <v>60.3</v>
      </c>
      <c r="K182" s="36">
        <v>139.0</v>
      </c>
      <c r="L182" s="36">
        <v>18.3</v>
      </c>
      <c r="M182" s="36">
        <v>111.0</v>
      </c>
      <c r="N182" s="36">
        <v>44.0</v>
      </c>
      <c r="O182" s="36">
        <v>28.0</v>
      </c>
      <c r="P182" s="36">
        <v>73.0</v>
      </c>
      <c r="Q182" s="36">
        <v>0.46</v>
      </c>
      <c r="R182" s="36">
        <v>0.98</v>
      </c>
      <c r="S182" s="36">
        <v>1.17</v>
      </c>
      <c r="T182" s="36">
        <v>2.15</v>
      </c>
      <c r="U182" s="21">
        <f t="shared" si="3"/>
        <v>2150</v>
      </c>
      <c r="V182" s="21">
        <f t="shared" si="5"/>
        <v>900</v>
      </c>
    </row>
    <row r="183" ht="14.25" customHeight="1">
      <c r="A183" s="38">
        <v>0.5138888888888888</v>
      </c>
      <c r="B183" s="36">
        <v>162.0</v>
      </c>
      <c r="C183" s="36">
        <v>21.4</v>
      </c>
      <c r="D183" s="36">
        <v>2079.0</v>
      </c>
      <c r="E183" s="36">
        <v>2457.0</v>
      </c>
      <c r="F183" s="36">
        <v>1.18</v>
      </c>
      <c r="G183" s="36">
        <v>28.0</v>
      </c>
      <c r="H183" s="36">
        <v>2.52</v>
      </c>
      <c r="I183" s="36">
        <v>71.2</v>
      </c>
      <c r="J183" s="36">
        <v>60.0</v>
      </c>
      <c r="K183" s="36">
        <v>137.0</v>
      </c>
      <c r="L183" s="36">
        <v>19.4</v>
      </c>
      <c r="M183" s="36">
        <v>111.0</v>
      </c>
      <c r="N183" s="36">
        <v>44.0</v>
      </c>
      <c r="O183" s="36">
        <v>28.0</v>
      </c>
      <c r="P183" s="36">
        <v>72.0</v>
      </c>
      <c r="Q183" s="36">
        <v>0.45</v>
      </c>
      <c r="R183" s="36">
        <v>0.96</v>
      </c>
      <c r="S183" s="36">
        <v>1.16</v>
      </c>
      <c r="T183" s="36">
        <v>2.12</v>
      </c>
      <c r="U183" s="21">
        <f t="shared" si="3"/>
        <v>2120</v>
      </c>
      <c r="V183" s="21">
        <f t="shared" si="5"/>
        <v>0</v>
      </c>
    </row>
    <row r="184" ht="14.25" customHeight="1">
      <c r="A184" s="38">
        <v>0.5152777777777777</v>
      </c>
      <c r="B184" s="36">
        <v>163.0</v>
      </c>
      <c r="C184" s="36">
        <v>20.9</v>
      </c>
      <c r="D184" s="36">
        <v>2027.0</v>
      </c>
      <c r="E184" s="36">
        <v>2398.0</v>
      </c>
      <c r="F184" s="36">
        <v>1.18</v>
      </c>
      <c r="G184" s="36">
        <v>28.0</v>
      </c>
      <c r="H184" s="36">
        <v>2.46</v>
      </c>
      <c r="I184" s="36">
        <v>69.8</v>
      </c>
      <c r="J184" s="36">
        <v>60.8</v>
      </c>
      <c r="K184" s="36">
        <v>136.0</v>
      </c>
      <c r="L184" s="36">
        <v>19.8</v>
      </c>
      <c r="M184" s="36">
        <v>112.0</v>
      </c>
      <c r="N184" s="36">
        <v>44.0</v>
      </c>
      <c r="O184" s="36">
        <v>28.0</v>
      </c>
      <c r="P184" s="36">
        <v>70.0</v>
      </c>
      <c r="Q184" s="36">
        <v>0.46</v>
      </c>
      <c r="R184" s="36">
        <v>0.98</v>
      </c>
      <c r="S184" s="36">
        <v>1.14</v>
      </c>
      <c r="T184" s="36">
        <v>2.12</v>
      </c>
      <c r="U184" s="21">
        <f t="shared" si="3"/>
        <v>2120</v>
      </c>
      <c r="V184" s="21">
        <f t="shared" si="5"/>
        <v>400</v>
      </c>
    </row>
    <row r="185" ht="14.25" customHeight="1">
      <c r="A185" s="38">
        <v>0.5166666666666667</v>
      </c>
      <c r="B185" s="36">
        <v>164.0</v>
      </c>
      <c r="C185" s="36">
        <v>21.4</v>
      </c>
      <c r="D185" s="36">
        <v>2075.0</v>
      </c>
      <c r="E185" s="36">
        <v>2449.0</v>
      </c>
      <c r="F185" s="36">
        <v>1.18</v>
      </c>
      <c r="G185" s="36">
        <v>29.0</v>
      </c>
      <c r="H185" s="36">
        <v>2.49</v>
      </c>
      <c r="I185" s="36">
        <v>71.1</v>
      </c>
      <c r="J185" s="36">
        <v>60.0</v>
      </c>
      <c r="K185" s="36">
        <v>136.0</v>
      </c>
      <c r="L185" s="36">
        <v>19.8</v>
      </c>
      <c r="M185" s="36">
        <v>112.0</v>
      </c>
      <c r="N185" s="36">
        <v>44.0</v>
      </c>
      <c r="O185" s="36">
        <v>29.0</v>
      </c>
      <c r="P185" s="36">
        <v>72.0</v>
      </c>
      <c r="Q185" s="36">
        <v>0.47</v>
      </c>
      <c r="R185" s="36">
        <v>0.98</v>
      </c>
      <c r="S185" s="36">
        <v>1.12</v>
      </c>
      <c r="T185" s="36">
        <v>2.1</v>
      </c>
      <c r="U185" s="21">
        <f t="shared" si="3"/>
        <v>2100</v>
      </c>
      <c r="V185" s="21">
        <f t="shared" si="5"/>
        <v>400</v>
      </c>
    </row>
    <row r="186" ht="14.25" customHeight="1">
      <c r="A186" s="38">
        <v>0.51875</v>
      </c>
      <c r="B186" s="36">
        <v>164.0</v>
      </c>
      <c r="C186" s="36">
        <v>21.7</v>
      </c>
      <c r="D186" s="36">
        <v>2100.0</v>
      </c>
      <c r="E186" s="36">
        <v>2453.0</v>
      </c>
      <c r="F186" s="36">
        <v>1.17</v>
      </c>
      <c r="G186" s="36">
        <v>28.0</v>
      </c>
      <c r="H186" s="36">
        <v>2.5</v>
      </c>
      <c r="I186" s="36">
        <v>70.6</v>
      </c>
      <c r="J186" s="36">
        <v>60.3</v>
      </c>
      <c r="K186" s="36">
        <v>136.0</v>
      </c>
      <c r="L186" s="36">
        <v>19.8</v>
      </c>
      <c r="M186" s="36">
        <v>111.0</v>
      </c>
      <c r="N186" s="36">
        <v>44.0</v>
      </c>
      <c r="O186" s="36">
        <v>28.0</v>
      </c>
      <c r="P186" s="36">
        <v>73.0</v>
      </c>
      <c r="Q186" s="36">
        <v>0.47</v>
      </c>
      <c r="R186" s="36">
        <v>1.0</v>
      </c>
      <c r="S186" s="36">
        <v>1.13</v>
      </c>
      <c r="T186" s="36">
        <v>2.12</v>
      </c>
      <c r="U186" s="21">
        <f t="shared" si="3"/>
        <v>2120</v>
      </c>
      <c r="V186" s="21">
        <f t="shared" si="5"/>
        <v>100</v>
      </c>
    </row>
    <row r="187" ht="14.25" customHeight="1">
      <c r="A187" s="38">
        <v>0.5201388888888889</v>
      </c>
      <c r="B187" s="36">
        <v>165.0</v>
      </c>
      <c r="C187" s="36">
        <v>22.6</v>
      </c>
      <c r="D187" s="36">
        <v>2188.0</v>
      </c>
      <c r="E187" s="36">
        <v>2576.0</v>
      </c>
      <c r="F187" s="36">
        <v>1.18</v>
      </c>
      <c r="G187" s="36">
        <v>28.0</v>
      </c>
      <c r="H187" s="36">
        <v>2.64</v>
      </c>
      <c r="I187" s="36">
        <v>74.4</v>
      </c>
      <c r="J187" s="36">
        <v>58.2</v>
      </c>
      <c r="K187" s="36">
        <v>137.0</v>
      </c>
      <c r="L187" s="36">
        <v>19.6</v>
      </c>
      <c r="M187" s="36">
        <v>111.0</v>
      </c>
      <c r="N187" s="36">
        <v>44.0</v>
      </c>
      <c r="O187" s="36">
        <v>28.0</v>
      </c>
      <c r="P187" s="36">
        <v>76.0</v>
      </c>
      <c r="Q187" s="36">
        <v>0.46</v>
      </c>
      <c r="R187" s="36">
        <v>0.98</v>
      </c>
      <c r="S187" s="36">
        <v>1.14</v>
      </c>
      <c r="T187" s="36">
        <v>2.13</v>
      </c>
      <c r="U187" s="21">
        <f t="shared" si="3"/>
        <v>2130</v>
      </c>
      <c r="V187" s="21">
        <f t="shared" si="5"/>
        <v>100</v>
      </c>
    </row>
    <row r="188" ht="14.25" customHeight="1">
      <c r="A188" s="38">
        <v>0.5215277777777778</v>
      </c>
      <c r="B188" s="36">
        <v>166.0</v>
      </c>
      <c r="C188" s="36">
        <v>22.5</v>
      </c>
      <c r="D188" s="36">
        <v>2178.0</v>
      </c>
      <c r="E188" s="36">
        <v>2567.0</v>
      </c>
      <c r="F188" s="36">
        <v>1.18</v>
      </c>
      <c r="G188" s="36">
        <v>28.0</v>
      </c>
      <c r="H188" s="36">
        <v>2.65</v>
      </c>
      <c r="I188" s="36">
        <v>74.4</v>
      </c>
      <c r="J188" s="36">
        <v>58.2</v>
      </c>
      <c r="K188" s="36">
        <v>137.0</v>
      </c>
      <c r="L188" s="36">
        <v>19.4</v>
      </c>
      <c r="M188" s="36">
        <v>112.0</v>
      </c>
      <c r="N188" s="36">
        <v>44.0</v>
      </c>
      <c r="O188" s="36">
        <v>28.0</v>
      </c>
      <c r="P188" s="36">
        <v>76.0</v>
      </c>
      <c r="Q188" s="36">
        <v>0.47</v>
      </c>
      <c r="R188" s="36">
        <v>1.0</v>
      </c>
      <c r="S188" s="36">
        <v>1.14</v>
      </c>
      <c r="T188" s="36">
        <v>2.14</v>
      </c>
      <c r="U188" s="21">
        <f t="shared" si="3"/>
        <v>2140</v>
      </c>
      <c r="V188" s="21">
        <f t="shared" si="5"/>
        <v>400</v>
      </c>
    </row>
    <row r="189" ht="14.25" customHeight="1">
      <c r="A189" s="38">
        <v>0.5229166666666667</v>
      </c>
      <c r="B189" s="36">
        <v>166.0</v>
      </c>
      <c r="C189" s="36">
        <v>22.6</v>
      </c>
      <c r="D189" s="36">
        <v>2192.0</v>
      </c>
      <c r="E189" s="36">
        <v>2573.0</v>
      </c>
      <c r="F189" s="36">
        <v>1.17</v>
      </c>
      <c r="G189" s="36">
        <v>28.0</v>
      </c>
      <c r="H189" s="36">
        <v>2.65</v>
      </c>
      <c r="I189" s="36">
        <v>75.1</v>
      </c>
      <c r="J189" s="36">
        <v>57.8</v>
      </c>
      <c r="K189" s="36">
        <v>137.0</v>
      </c>
      <c r="L189" s="36">
        <v>19.4</v>
      </c>
      <c r="M189" s="36">
        <v>112.0</v>
      </c>
      <c r="N189" s="36">
        <v>43.0</v>
      </c>
      <c r="O189" s="36">
        <v>28.0</v>
      </c>
      <c r="P189" s="36">
        <v>76.0</v>
      </c>
      <c r="Q189" s="36">
        <v>0.48</v>
      </c>
      <c r="R189" s="36">
        <v>1.03</v>
      </c>
      <c r="S189" s="36">
        <v>1.09</v>
      </c>
      <c r="T189" s="36">
        <v>2.12</v>
      </c>
      <c r="U189" s="21">
        <f t="shared" si="3"/>
        <v>2120</v>
      </c>
      <c r="V189" s="21">
        <f t="shared" si="5"/>
        <v>400</v>
      </c>
    </row>
    <row r="190" ht="14.25" customHeight="1">
      <c r="A190" s="38">
        <v>0.5243055555555556</v>
      </c>
      <c r="B190" s="36">
        <v>167.0</v>
      </c>
      <c r="C190" s="36">
        <v>22.7</v>
      </c>
      <c r="D190" s="36">
        <v>2204.0</v>
      </c>
      <c r="E190" s="36">
        <v>2614.0</v>
      </c>
      <c r="F190" s="36">
        <v>1.19</v>
      </c>
      <c r="G190" s="36">
        <v>29.0</v>
      </c>
      <c r="H190" s="36">
        <v>2.7</v>
      </c>
      <c r="I190" s="36">
        <v>77.0</v>
      </c>
      <c r="J190" s="36">
        <v>56.7</v>
      </c>
      <c r="K190" s="36">
        <v>139.0</v>
      </c>
      <c r="L190" s="36">
        <v>18.3</v>
      </c>
      <c r="M190" s="36">
        <v>113.0</v>
      </c>
      <c r="N190" s="36">
        <v>43.0</v>
      </c>
      <c r="O190" s="36">
        <v>29.0</v>
      </c>
      <c r="P190" s="36">
        <v>77.0</v>
      </c>
      <c r="Q190" s="36">
        <v>0.49</v>
      </c>
      <c r="R190" s="36">
        <v>1.02</v>
      </c>
      <c r="S190" s="36">
        <v>1.08</v>
      </c>
      <c r="T190" s="36">
        <v>2.1</v>
      </c>
      <c r="U190" s="21">
        <f t="shared" si="3"/>
        <v>2100</v>
      </c>
      <c r="V190" s="21">
        <f t="shared" si="5"/>
        <v>400</v>
      </c>
    </row>
    <row r="191" ht="14.25" customHeight="1">
      <c r="A191" s="38">
        <v>0.5256944444444445</v>
      </c>
      <c r="B191" s="36">
        <v>168.0</v>
      </c>
      <c r="C191" s="36">
        <v>23.1</v>
      </c>
      <c r="D191" s="36">
        <v>2239.0</v>
      </c>
      <c r="E191" s="36">
        <v>2687.0</v>
      </c>
      <c r="F191" s="36">
        <v>1.2</v>
      </c>
      <c r="G191" s="36">
        <v>29.0</v>
      </c>
      <c r="H191" s="36">
        <v>2.77</v>
      </c>
      <c r="I191" s="36">
        <v>79.9</v>
      </c>
      <c r="J191" s="36">
        <v>55.1</v>
      </c>
      <c r="K191" s="36">
        <v>140.0</v>
      </c>
      <c r="L191" s="36">
        <v>17.8</v>
      </c>
      <c r="M191" s="36">
        <v>113.0</v>
      </c>
      <c r="N191" s="36">
        <v>43.0</v>
      </c>
      <c r="O191" s="36">
        <v>29.0</v>
      </c>
      <c r="P191" s="36">
        <v>78.0</v>
      </c>
      <c r="Q191" s="36">
        <v>0.48</v>
      </c>
      <c r="R191" s="36">
        <v>1.01</v>
      </c>
      <c r="S191" s="36">
        <v>1.08</v>
      </c>
      <c r="T191" s="36">
        <v>2.08</v>
      </c>
      <c r="U191" s="21">
        <f t="shared" si="3"/>
        <v>2080</v>
      </c>
      <c r="V191" s="21">
        <f t="shared" si="5"/>
        <v>400</v>
      </c>
    </row>
    <row r="192" ht="14.25" customHeight="1">
      <c r="A192" s="38">
        <v>0.5270833333333333</v>
      </c>
      <c r="B192" s="36">
        <v>168.0</v>
      </c>
      <c r="C192" s="36">
        <v>23.0</v>
      </c>
      <c r="D192" s="36">
        <v>2231.0</v>
      </c>
      <c r="E192" s="36">
        <v>2722.0</v>
      </c>
      <c r="F192" s="36">
        <v>1.22</v>
      </c>
      <c r="G192" s="36">
        <v>29.0</v>
      </c>
      <c r="H192" s="36">
        <v>2.8</v>
      </c>
      <c r="I192" s="36">
        <v>81.4</v>
      </c>
      <c r="J192" s="36">
        <v>54.2</v>
      </c>
      <c r="K192" s="36">
        <v>140.0</v>
      </c>
      <c r="L192" s="36">
        <v>17.9</v>
      </c>
      <c r="M192" s="36">
        <v>114.0</v>
      </c>
      <c r="N192" s="36">
        <v>42.0</v>
      </c>
      <c r="O192" s="36">
        <v>29.0</v>
      </c>
      <c r="P192" s="36">
        <v>78.0</v>
      </c>
      <c r="Q192" s="36">
        <v>0.47</v>
      </c>
      <c r="R192" s="36">
        <v>0.96</v>
      </c>
      <c r="S192" s="36">
        <v>1.1</v>
      </c>
      <c r="T192" s="36">
        <v>2.06</v>
      </c>
      <c r="U192" s="21">
        <f t="shared" si="3"/>
        <v>2060</v>
      </c>
      <c r="V192" s="21">
        <f t="shared" si="5"/>
        <v>0</v>
      </c>
    </row>
    <row r="193" ht="14.25" customHeight="1">
      <c r="A193" s="38">
        <v>0.5284722222222222</v>
      </c>
      <c r="B193" s="36">
        <v>169.0</v>
      </c>
      <c r="C193" s="36">
        <v>23.0</v>
      </c>
      <c r="D193" s="36">
        <v>2231.0</v>
      </c>
      <c r="E193" s="36">
        <v>2723.0</v>
      </c>
      <c r="F193" s="36">
        <v>1.22</v>
      </c>
      <c r="G193" s="36">
        <v>29.0</v>
      </c>
      <c r="H193" s="36">
        <v>2.8</v>
      </c>
      <c r="I193" s="36">
        <v>81.4</v>
      </c>
      <c r="J193" s="36">
        <v>54.2</v>
      </c>
      <c r="K193" s="36">
        <v>141.0</v>
      </c>
      <c r="L193" s="36">
        <v>17.2</v>
      </c>
      <c r="M193" s="36">
        <v>114.0</v>
      </c>
      <c r="N193" s="36">
        <v>42.0</v>
      </c>
      <c r="O193" s="36">
        <v>29.0</v>
      </c>
      <c r="P193" s="36">
        <v>78.0</v>
      </c>
      <c r="Q193" s="36">
        <v>0.47</v>
      </c>
      <c r="R193" s="36">
        <v>0.96</v>
      </c>
      <c r="S193" s="36">
        <v>1.1</v>
      </c>
      <c r="T193" s="36">
        <v>2.06</v>
      </c>
      <c r="U193" s="21">
        <f t="shared" si="3"/>
        <v>2060</v>
      </c>
      <c r="V193" s="21">
        <f t="shared" si="5"/>
        <v>400</v>
      </c>
    </row>
    <row r="194" ht="14.25" customHeight="1">
      <c r="A194" s="38">
        <v>0.5298611111111111</v>
      </c>
      <c r="B194" s="36">
        <v>170.0</v>
      </c>
      <c r="C194" s="36">
        <v>22.5</v>
      </c>
      <c r="D194" s="36">
        <v>2179.0</v>
      </c>
      <c r="E194" s="36">
        <v>2690.0</v>
      </c>
      <c r="F194" s="36">
        <v>1.23</v>
      </c>
      <c r="G194" s="36">
        <v>29.0</v>
      </c>
      <c r="H194" s="36">
        <v>2.76</v>
      </c>
      <c r="I194" s="36">
        <v>81.3</v>
      </c>
      <c r="J194" s="36">
        <v>54.3</v>
      </c>
      <c r="K194" s="36">
        <v>141.0</v>
      </c>
      <c r="L194" s="36">
        <v>17.2</v>
      </c>
      <c r="M194" s="36">
        <v>115.0</v>
      </c>
      <c r="N194" s="36">
        <v>42.0</v>
      </c>
      <c r="O194" s="36">
        <v>29.0</v>
      </c>
      <c r="P194" s="36">
        <v>76.0</v>
      </c>
      <c r="Q194" s="36">
        <v>0.47</v>
      </c>
      <c r="R194" s="36">
        <v>0.96</v>
      </c>
      <c r="S194" s="36">
        <v>1.08</v>
      </c>
      <c r="T194" s="36">
        <v>2.04</v>
      </c>
      <c r="U194" s="21">
        <f t="shared" si="3"/>
        <v>2040</v>
      </c>
      <c r="V194" s="21">
        <f t="shared" si="5"/>
        <v>0</v>
      </c>
    </row>
    <row r="195" ht="14.25" customHeight="1">
      <c r="A195" s="38">
        <v>0.53125</v>
      </c>
      <c r="B195" s="36">
        <v>170.0</v>
      </c>
      <c r="C195" s="36">
        <v>22.5</v>
      </c>
      <c r="D195" s="36">
        <v>2180.0</v>
      </c>
      <c r="E195" s="36">
        <v>2690.0</v>
      </c>
      <c r="F195" s="36">
        <v>1.23</v>
      </c>
      <c r="G195" s="36">
        <v>29.0</v>
      </c>
      <c r="H195" s="36">
        <v>2.76</v>
      </c>
      <c r="I195" s="36">
        <v>81.3</v>
      </c>
      <c r="J195" s="36">
        <v>54.3</v>
      </c>
      <c r="K195" s="36">
        <v>141.0</v>
      </c>
      <c r="L195" s="36">
        <v>16.8</v>
      </c>
      <c r="M195" s="36">
        <v>115.0</v>
      </c>
      <c r="N195" s="36">
        <v>42.0</v>
      </c>
      <c r="O195" s="36">
        <v>29.0</v>
      </c>
      <c r="P195" s="36">
        <v>76.0</v>
      </c>
      <c r="Q195" s="36">
        <v>0.47</v>
      </c>
      <c r="R195" s="36">
        <v>0.96</v>
      </c>
      <c r="S195" s="36">
        <v>1.08</v>
      </c>
      <c r="T195" s="36">
        <v>2.04</v>
      </c>
      <c r="U195" s="21">
        <f t="shared" si="3"/>
        <v>2040</v>
      </c>
      <c r="V195" s="21">
        <f t="shared" si="5"/>
        <v>100</v>
      </c>
    </row>
    <row r="196" ht="14.25" customHeight="1">
      <c r="A196" s="38">
        <v>0.5326388888888889</v>
      </c>
      <c r="B196" s="36">
        <v>171.0</v>
      </c>
      <c r="C196" s="36">
        <v>23.0</v>
      </c>
      <c r="D196" s="36">
        <v>2234.0</v>
      </c>
      <c r="E196" s="36">
        <v>2772.0</v>
      </c>
      <c r="F196" s="36">
        <v>1.24</v>
      </c>
      <c r="G196" s="36">
        <v>30.0</v>
      </c>
      <c r="H196" s="36">
        <v>2.82</v>
      </c>
      <c r="I196" s="36">
        <v>83.4</v>
      </c>
      <c r="J196" s="36">
        <v>53.1</v>
      </c>
      <c r="K196" s="36">
        <v>142.0</v>
      </c>
      <c r="L196" s="36">
        <v>16.4</v>
      </c>
      <c r="M196" s="36">
        <v>115.0</v>
      </c>
      <c r="N196" s="36">
        <v>42.0</v>
      </c>
      <c r="O196" s="36">
        <v>30.0</v>
      </c>
      <c r="P196" s="36">
        <v>78.0</v>
      </c>
      <c r="Q196" s="36">
        <v>0.46</v>
      </c>
      <c r="R196" s="36">
        <v>0.93</v>
      </c>
      <c r="S196" s="36">
        <v>1.1</v>
      </c>
      <c r="T196" s="36">
        <v>2.03</v>
      </c>
      <c r="U196" s="21">
        <f t="shared" si="3"/>
        <v>2030</v>
      </c>
      <c r="V196" s="21">
        <f t="shared" si="5"/>
        <v>400</v>
      </c>
    </row>
    <row r="197" ht="14.25" customHeight="1">
      <c r="A197" s="38">
        <v>0.5340277777777778</v>
      </c>
      <c r="B197" s="36">
        <v>172.0</v>
      </c>
      <c r="C197" s="36">
        <v>23.3</v>
      </c>
      <c r="D197" s="36">
        <v>2259.0</v>
      </c>
      <c r="E197" s="36">
        <v>2805.0</v>
      </c>
      <c r="F197" s="36">
        <v>1.24</v>
      </c>
      <c r="G197" s="36">
        <v>30.0</v>
      </c>
      <c r="H197" s="36">
        <v>2.81</v>
      </c>
      <c r="I197" s="36">
        <v>84.1</v>
      </c>
      <c r="J197" s="36">
        <v>52.8</v>
      </c>
      <c r="K197" s="36">
        <v>142.0</v>
      </c>
      <c r="L197" s="36">
        <v>16.2</v>
      </c>
      <c r="M197" s="36">
        <v>115.0</v>
      </c>
      <c r="N197" s="36">
        <v>42.0</v>
      </c>
      <c r="O197" s="36">
        <v>30.0</v>
      </c>
      <c r="P197" s="36">
        <v>79.0</v>
      </c>
      <c r="Q197" s="36">
        <v>0.46</v>
      </c>
      <c r="R197" s="36">
        <v>0.92</v>
      </c>
      <c r="S197" s="36">
        <v>1.09</v>
      </c>
      <c r="T197" s="36">
        <v>2.01</v>
      </c>
      <c r="U197" s="21">
        <f t="shared" si="3"/>
        <v>2010</v>
      </c>
      <c r="V197" s="21">
        <f t="shared" si="5"/>
        <v>400</v>
      </c>
    </row>
    <row r="198" ht="14.25" customHeight="1">
      <c r="A198" s="38">
        <v>0.5354166666666667</v>
      </c>
      <c r="B198" s="36">
        <v>172.0</v>
      </c>
      <c r="C198" s="36">
        <v>23.8</v>
      </c>
      <c r="D198" s="36">
        <v>2312.0</v>
      </c>
      <c r="E198" s="36">
        <v>2888.0</v>
      </c>
      <c r="F198" s="36">
        <v>1.25</v>
      </c>
      <c r="G198" s="36">
        <v>30.0</v>
      </c>
      <c r="H198" s="36">
        <v>2.86</v>
      </c>
      <c r="I198" s="36">
        <v>86.2</v>
      </c>
      <c r="J198" s="36">
        <v>51.6</v>
      </c>
      <c r="K198" s="36">
        <v>143.0</v>
      </c>
      <c r="L198" s="36">
        <v>15.8</v>
      </c>
      <c r="M198" s="36">
        <v>114.0</v>
      </c>
      <c r="N198" s="36">
        <v>42.0</v>
      </c>
      <c r="O198" s="36">
        <v>30.0</v>
      </c>
      <c r="P198" s="36">
        <v>80.0</v>
      </c>
      <c r="Q198" s="36">
        <v>0.46</v>
      </c>
      <c r="R198" s="36">
        <v>0.91</v>
      </c>
      <c r="S198" s="36">
        <v>1.08</v>
      </c>
      <c r="T198" s="36">
        <v>1.99</v>
      </c>
      <c r="U198" s="21">
        <f t="shared" si="3"/>
        <v>1990</v>
      </c>
    </row>
    <row r="199" ht="14.25" customHeight="1">
      <c r="A199" s="36" t="s">
        <v>82</v>
      </c>
      <c r="U199" s="21">
        <f t="shared" si="3"/>
        <v>0</v>
      </c>
    </row>
    <row r="200" ht="14.25" customHeight="1">
      <c r="A200" s="38">
        <v>0.5368055555555555</v>
      </c>
      <c r="B200" s="36">
        <v>173.0</v>
      </c>
      <c r="C200" s="36">
        <v>24.0</v>
      </c>
      <c r="D200" s="36">
        <v>2328.0</v>
      </c>
      <c r="E200" s="36">
        <v>2915.0</v>
      </c>
      <c r="F200" s="36">
        <v>1.25</v>
      </c>
      <c r="G200" s="36">
        <v>30.0</v>
      </c>
      <c r="H200" s="36">
        <v>2.91</v>
      </c>
      <c r="I200" s="36">
        <v>87.2</v>
      </c>
      <c r="J200" s="36">
        <v>51.0</v>
      </c>
      <c r="K200" s="36">
        <v>143.0</v>
      </c>
      <c r="L200" s="36">
        <v>15.8</v>
      </c>
      <c r="M200" s="36">
        <v>115.0</v>
      </c>
      <c r="N200" s="36">
        <v>42.0</v>
      </c>
      <c r="O200" s="36">
        <v>30.0</v>
      </c>
      <c r="P200" s="36">
        <v>81.0</v>
      </c>
      <c r="Q200" s="36">
        <v>0.46</v>
      </c>
      <c r="R200" s="36">
        <v>0.92</v>
      </c>
      <c r="S200" s="36">
        <v>1.08</v>
      </c>
      <c r="T200" s="36">
        <v>2.0</v>
      </c>
      <c r="U200" s="21">
        <f t="shared" si="3"/>
        <v>2000</v>
      </c>
      <c r="V200" s="21">
        <f t="shared" ref="V200:V201" si="6">(U200-U201)^2</f>
        <v>2500</v>
      </c>
    </row>
    <row r="201" ht="14.25" customHeight="1">
      <c r="A201" s="38">
        <v>0.5381944444444444</v>
      </c>
      <c r="B201" s="36">
        <v>174.0</v>
      </c>
      <c r="C201" s="36">
        <v>23.2</v>
      </c>
      <c r="D201" s="36">
        <v>2247.0</v>
      </c>
      <c r="E201" s="36">
        <v>2809.0</v>
      </c>
      <c r="F201" s="36">
        <v>1.25</v>
      </c>
      <c r="G201" s="36">
        <v>29.0</v>
      </c>
      <c r="H201" s="36">
        <v>2.88</v>
      </c>
      <c r="I201" s="36">
        <v>84.3</v>
      </c>
      <c r="J201" s="36">
        <v>52.6</v>
      </c>
      <c r="K201" s="36">
        <v>143.0</v>
      </c>
      <c r="L201" s="36">
        <v>15.6</v>
      </c>
      <c r="M201" s="36">
        <v>115.0</v>
      </c>
      <c r="N201" s="36">
        <v>42.0</v>
      </c>
      <c r="O201" s="36">
        <v>29.0</v>
      </c>
      <c r="P201" s="36">
        <v>78.0</v>
      </c>
      <c r="Q201" s="36">
        <v>0.46</v>
      </c>
      <c r="R201" s="36">
        <v>0.94</v>
      </c>
      <c r="S201" s="36">
        <v>1.11</v>
      </c>
      <c r="T201" s="36">
        <v>2.05</v>
      </c>
      <c r="U201" s="21">
        <f t="shared" si="3"/>
        <v>2050</v>
      </c>
      <c r="V201" s="21">
        <f t="shared" si="6"/>
        <v>400</v>
      </c>
    </row>
    <row r="202" ht="14.25" customHeight="1">
      <c r="A202" s="38">
        <v>0.5395833333333333</v>
      </c>
      <c r="B202" s="36">
        <v>174.0</v>
      </c>
      <c r="C202" s="36">
        <v>23.8</v>
      </c>
      <c r="D202" s="36">
        <v>2310.0</v>
      </c>
      <c r="E202" s="36">
        <v>2852.0</v>
      </c>
      <c r="F202" s="36">
        <v>1.23</v>
      </c>
      <c r="G202" s="36">
        <v>30.0</v>
      </c>
      <c r="H202" s="36">
        <v>2.85</v>
      </c>
      <c r="I202" s="36">
        <v>84.2</v>
      </c>
      <c r="J202" s="36">
        <v>52.7</v>
      </c>
      <c r="K202" s="36">
        <v>144.0</v>
      </c>
      <c r="L202" s="36">
        <v>15.2</v>
      </c>
      <c r="M202" s="36">
        <v>114.0</v>
      </c>
      <c r="N202" s="36">
        <v>43.0</v>
      </c>
      <c r="O202" s="36">
        <v>30.0</v>
      </c>
      <c r="P202" s="36">
        <v>80.0</v>
      </c>
      <c r="Q202" s="36">
        <v>0.47</v>
      </c>
      <c r="R202" s="36">
        <v>0.94</v>
      </c>
      <c r="S202" s="36">
        <v>1.09</v>
      </c>
      <c r="T202" s="36">
        <v>2.03</v>
      </c>
      <c r="U202" s="21">
        <f t="shared" si="3"/>
        <v>2030</v>
      </c>
    </row>
    <row r="203" ht="14.25" customHeight="1"/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6.63"/>
    <col customWidth="1" min="22" max="23" width="8.0"/>
    <col customWidth="1" min="24" max="24" width="7.63"/>
    <col customWidth="1" min="25" max="45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83</v>
      </c>
      <c r="V2" s="8" t="s">
        <v>84</v>
      </c>
      <c r="W2" s="8" t="s">
        <v>85</v>
      </c>
      <c r="X2" s="8" t="s">
        <v>52</v>
      </c>
      <c r="Y2" s="8" t="s">
        <v>86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0.09097222222222222</v>
      </c>
      <c r="B6" s="36">
        <v>0.0</v>
      </c>
      <c r="C6" s="36">
        <v>7.0</v>
      </c>
      <c r="D6" s="36">
        <v>394.0</v>
      </c>
      <c r="E6" s="36">
        <v>337.0</v>
      </c>
      <c r="F6" s="36">
        <v>0.86</v>
      </c>
      <c r="G6" s="36">
        <v>13.0</v>
      </c>
      <c r="H6" s="36">
        <v>0.79</v>
      </c>
      <c r="I6" s="36">
        <v>10.6</v>
      </c>
      <c r="J6" s="36">
        <v>91.6</v>
      </c>
      <c r="K6" s="36">
        <v>61.0</v>
      </c>
      <c r="L6" s="36">
        <v>62.4</v>
      </c>
      <c r="M6" s="36">
        <v>98.0</v>
      </c>
      <c r="N6" s="36">
        <v>43.0</v>
      </c>
      <c r="O6" s="36">
        <v>13.0</v>
      </c>
      <c r="P6" s="36">
        <v>15.0</v>
      </c>
      <c r="Q6" s="36">
        <v>0.35</v>
      </c>
      <c r="R6" s="36">
        <v>1.57</v>
      </c>
      <c r="S6" s="36">
        <v>2.91</v>
      </c>
      <c r="T6" s="36">
        <v>4.48</v>
      </c>
      <c r="U6" s="21">
        <f t="shared" ref="U6:U40" si="1">R6/T6</f>
        <v>0.3504464286</v>
      </c>
      <c r="V6" s="21">
        <f t="shared" ref="V6:V40" si="2">T6*1000</f>
        <v>4480</v>
      </c>
      <c r="W6" s="21">
        <f t="shared" ref="W6:W39" si="3">(V6-V7)^2</f>
        <v>8100</v>
      </c>
      <c r="X6" s="21">
        <f>SQRT(AVERAGE(W6:W39))</f>
        <v>170.0432471</v>
      </c>
      <c r="Y6" s="21">
        <f>STDEV(V6:V39)/AVERAGE(V6:V39)</f>
        <v>0.03696025861</v>
      </c>
    </row>
    <row r="7" ht="14.25" customHeight="1">
      <c r="A7" s="38">
        <v>0.09444444444444444</v>
      </c>
      <c r="B7" s="36">
        <v>1.0</v>
      </c>
      <c r="C7" s="36">
        <v>7.1</v>
      </c>
      <c r="D7" s="36">
        <v>400.0</v>
      </c>
      <c r="E7" s="36">
        <v>343.0</v>
      </c>
      <c r="F7" s="36">
        <v>0.86</v>
      </c>
      <c r="G7" s="36">
        <v>14.0</v>
      </c>
      <c r="H7" s="36">
        <v>0.79</v>
      </c>
      <c r="I7" s="36">
        <v>10.7</v>
      </c>
      <c r="J7" s="36">
        <v>91.5</v>
      </c>
      <c r="K7" s="36">
        <v>60.0</v>
      </c>
      <c r="L7" s="36">
        <v>62.5</v>
      </c>
      <c r="M7" s="36">
        <v>98.0</v>
      </c>
      <c r="N7" s="36">
        <v>43.0</v>
      </c>
      <c r="O7" s="36">
        <v>14.0</v>
      </c>
      <c r="P7" s="36">
        <v>15.0</v>
      </c>
      <c r="Q7" s="36">
        <v>0.36</v>
      </c>
      <c r="R7" s="36">
        <v>1.57</v>
      </c>
      <c r="S7" s="36">
        <v>2.82</v>
      </c>
      <c r="T7" s="36">
        <v>4.39</v>
      </c>
      <c r="U7" s="21">
        <f t="shared" si="1"/>
        <v>0.3576309795</v>
      </c>
      <c r="V7" s="21">
        <f t="shared" si="2"/>
        <v>4390</v>
      </c>
      <c r="W7" s="21">
        <f t="shared" si="3"/>
        <v>12100</v>
      </c>
    </row>
    <row r="8" ht="14.25" customHeight="1">
      <c r="A8" s="38">
        <v>0.09722222222222222</v>
      </c>
      <c r="B8" s="36">
        <v>3.0</v>
      </c>
      <c r="C8" s="36">
        <v>7.4</v>
      </c>
      <c r="D8" s="36">
        <v>416.0</v>
      </c>
      <c r="E8" s="36">
        <v>362.0</v>
      </c>
      <c r="F8" s="36">
        <v>0.87</v>
      </c>
      <c r="G8" s="36">
        <v>14.0</v>
      </c>
      <c r="H8" s="36">
        <v>0.81</v>
      </c>
      <c r="I8" s="36">
        <v>11.3</v>
      </c>
      <c r="J8" s="36">
        <v>91.0</v>
      </c>
      <c r="K8" s="36">
        <v>60.0</v>
      </c>
      <c r="L8" s="36">
        <v>62.5</v>
      </c>
      <c r="M8" s="36">
        <v>99.0</v>
      </c>
      <c r="N8" s="36">
        <v>43.0</v>
      </c>
      <c r="O8" s="36">
        <v>14.0</v>
      </c>
      <c r="P8" s="36">
        <v>16.0</v>
      </c>
      <c r="Q8" s="36">
        <v>0.36</v>
      </c>
      <c r="R8" s="36">
        <v>1.52</v>
      </c>
      <c r="S8" s="36">
        <v>2.76</v>
      </c>
      <c r="T8" s="36">
        <v>4.28</v>
      </c>
      <c r="U8" s="21">
        <f t="shared" si="1"/>
        <v>0.3551401869</v>
      </c>
      <c r="V8" s="21">
        <f t="shared" si="2"/>
        <v>4280</v>
      </c>
      <c r="W8" s="21">
        <f t="shared" si="3"/>
        <v>48400</v>
      </c>
    </row>
    <row r="9" ht="14.25" customHeight="1">
      <c r="A9" s="38">
        <v>0.10069444444444445</v>
      </c>
      <c r="B9" s="36">
        <v>7.0</v>
      </c>
      <c r="C9" s="36">
        <v>7.4</v>
      </c>
      <c r="D9" s="36">
        <v>417.0</v>
      </c>
      <c r="E9" s="36">
        <v>368.0</v>
      </c>
      <c r="F9" s="36">
        <v>0.88</v>
      </c>
      <c r="G9" s="36">
        <v>13.0</v>
      </c>
      <c r="H9" s="36">
        <v>0.84</v>
      </c>
      <c r="I9" s="36">
        <v>11.3</v>
      </c>
      <c r="J9" s="36">
        <v>91.0</v>
      </c>
      <c r="K9" s="36">
        <v>62.0</v>
      </c>
      <c r="L9" s="36">
        <v>61.6</v>
      </c>
      <c r="M9" s="36">
        <v>100.0</v>
      </c>
      <c r="N9" s="36">
        <v>43.0</v>
      </c>
      <c r="O9" s="36">
        <v>13.0</v>
      </c>
      <c r="P9" s="36">
        <v>16.0</v>
      </c>
      <c r="Q9" s="36">
        <v>0.35</v>
      </c>
      <c r="R9" s="36">
        <v>1.57</v>
      </c>
      <c r="S9" s="36">
        <v>2.93</v>
      </c>
      <c r="T9" s="36">
        <v>4.5</v>
      </c>
      <c r="U9" s="21">
        <f t="shared" si="1"/>
        <v>0.3488888889</v>
      </c>
      <c r="V9" s="21">
        <f t="shared" si="2"/>
        <v>4500</v>
      </c>
      <c r="W9" s="21">
        <f t="shared" si="3"/>
        <v>900</v>
      </c>
    </row>
    <row r="10" ht="14.25" customHeight="1">
      <c r="A10" s="38">
        <v>0.10347222222222222</v>
      </c>
      <c r="B10" s="36">
        <v>9.0</v>
      </c>
      <c r="C10" s="36">
        <v>7.8</v>
      </c>
      <c r="D10" s="36">
        <v>437.0</v>
      </c>
      <c r="E10" s="36">
        <v>387.0</v>
      </c>
      <c r="F10" s="36">
        <v>0.89</v>
      </c>
      <c r="G10" s="36">
        <v>13.0</v>
      </c>
      <c r="H10" s="36">
        <v>0.89</v>
      </c>
      <c r="I10" s="36">
        <v>11.8</v>
      </c>
      <c r="J10" s="36">
        <v>90.6</v>
      </c>
      <c r="K10" s="36">
        <v>61.0</v>
      </c>
      <c r="L10" s="36">
        <v>62.2</v>
      </c>
      <c r="M10" s="36">
        <v>100.0</v>
      </c>
      <c r="N10" s="36">
        <v>43.0</v>
      </c>
      <c r="O10" s="36">
        <v>13.0</v>
      </c>
      <c r="P10" s="36">
        <v>17.0</v>
      </c>
      <c r="Q10" s="36">
        <v>0.34</v>
      </c>
      <c r="R10" s="36">
        <v>1.54</v>
      </c>
      <c r="S10" s="36">
        <v>2.98</v>
      </c>
      <c r="T10" s="36">
        <v>4.53</v>
      </c>
      <c r="U10" s="21">
        <f t="shared" si="1"/>
        <v>0.3399558499</v>
      </c>
      <c r="V10" s="21">
        <f t="shared" si="2"/>
        <v>4530</v>
      </c>
      <c r="W10" s="21">
        <f t="shared" si="3"/>
        <v>28900</v>
      </c>
    </row>
    <row r="11" ht="14.25" customHeight="1">
      <c r="A11" s="38">
        <v>0.10694444444444444</v>
      </c>
      <c r="B11" s="36">
        <v>13.0</v>
      </c>
      <c r="C11" s="36">
        <v>7.7</v>
      </c>
      <c r="D11" s="36">
        <v>431.0</v>
      </c>
      <c r="E11" s="36">
        <v>383.0</v>
      </c>
      <c r="F11" s="36">
        <v>0.89</v>
      </c>
      <c r="G11" s="36">
        <v>13.0</v>
      </c>
      <c r="H11" s="36">
        <v>0.91</v>
      </c>
      <c r="I11" s="36">
        <v>11.7</v>
      </c>
      <c r="J11" s="36">
        <v>90.7</v>
      </c>
      <c r="K11" s="36">
        <v>65.0</v>
      </c>
      <c r="L11" s="36">
        <v>59.9</v>
      </c>
      <c r="M11" s="36">
        <v>101.0</v>
      </c>
      <c r="N11" s="36">
        <v>43.0</v>
      </c>
      <c r="O11" s="36">
        <v>13.0</v>
      </c>
      <c r="P11" s="36">
        <v>16.0</v>
      </c>
      <c r="Q11" s="36">
        <v>0.33</v>
      </c>
      <c r="R11" s="36">
        <v>1.54</v>
      </c>
      <c r="S11" s="36">
        <v>3.16</v>
      </c>
      <c r="T11" s="36">
        <v>4.7</v>
      </c>
      <c r="U11" s="21">
        <f t="shared" si="1"/>
        <v>0.3276595745</v>
      </c>
      <c r="V11" s="21">
        <f t="shared" si="2"/>
        <v>4700</v>
      </c>
      <c r="W11" s="21">
        <f t="shared" si="3"/>
        <v>4900</v>
      </c>
    </row>
    <row r="12" ht="14.25" customHeight="1">
      <c r="A12" s="38">
        <v>0.10972222222222222</v>
      </c>
      <c r="B12" s="36">
        <v>16.0</v>
      </c>
      <c r="C12" s="36">
        <v>7.5</v>
      </c>
      <c r="D12" s="36">
        <v>421.0</v>
      </c>
      <c r="E12" s="36">
        <v>377.0</v>
      </c>
      <c r="F12" s="36">
        <v>0.89</v>
      </c>
      <c r="G12" s="36">
        <v>13.0</v>
      </c>
      <c r="H12" s="36">
        <v>0.89</v>
      </c>
      <c r="I12" s="36">
        <v>11.5</v>
      </c>
      <c r="J12" s="36">
        <v>90.8</v>
      </c>
      <c r="K12" s="36">
        <v>66.0</v>
      </c>
      <c r="L12" s="36">
        <v>58.9</v>
      </c>
      <c r="M12" s="36">
        <v>101.0</v>
      </c>
      <c r="N12" s="36">
        <v>43.0</v>
      </c>
      <c r="O12" s="36">
        <v>13.0</v>
      </c>
      <c r="P12" s="36">
        <v>16.0</v>
      </c>
      <c r="Q12" s="36">
        <v>0.33</v>
      </c>
      <c r="R12" s="36">
        <v>1.53</v>
      </c>
      <c r="S12" s="36">
        <v>3.1</v>
      </c>
      <c r="T12" s="36">
        <v>4.63</v>
      </c>
      <c r="U12" s="21">
        <f t="shared" si="1"/>
        <v>0.3304535637</v>
      </c>
      <c r="V12" s="21">
        <f t="shared" si="2"/>
        <v>4630</v>
      </c>
      <c r="W12" s="21">
        <f t="shared" si="3"/>
        <v>36100</v>
      </c>
    </row>
    <row r="13" ht="14.25" customHeight="1">
      <c r="A13" s="38">
        <v>0.1125</v>
      </c>
      <c r="B13" s="36">
        <v>18.0</v>
      </c>
      <c r="C13" s="36">
        <v>7.9</v>
      </c>
      <c r="D13" s="36">
        <v>441.0</v>
      </c>
      <c r="E13" s="36">
        <v>395.0</v>
      </c>
      <c r="F13" s="36">
        <v>0.9</v>
      </c>
      <c r="G13" s="36">
        <v>14.0</v>
      </c>
      <c r="H13" s="36">
        <v>0.89</v>
      </c>
      <c r="I13" s="36">
        <v>12.0</v>
      </c>
      <c r="J13" s="36">
        <v>90.4</v>
      </c>
      <c r="K13" s="36">
        <v>68.0</v>
      </c>
      <c r="L13" s="36">
        <v>57.8</v>
      </c>
      <c r="M13" s="36">
        <v>101.0</v>
      </c>
      <c r="N13" s="36">
        <v>43.0</v>
      </c>
      <c r="O13" s="36">
        <v>14.0</v>
      </c>
      <c r="P13" s="36">
        <v>17.0</v>
      </c>
      <c r="Q13" s="36">
        <v>0.34</v>
      </c>
      <c r="R13" s="36">
        <v>1.51</v>
      </c>
      <c r="S13" s="36">
        <v>2.92</v>
      </c>
      <c r="T13" s="36">
        <v>4.44</v>
      </c>
      <c r="U13" s="21">
        <f t="shared" si="1"/>
        <v>0.3400900901</v>
      </c>
      <c r="V13" s="21">
        <f t="shared" si="2"/>
        <v>4440</v>
      </c>
      <c r="W13" s="21">
        <f t="shared" si="3"/>
        <v>2500</v>
      </c>
      <c r="X13" s="8"/>
    </row>
    <row r="14" ht="14.25" customHeight="1">
      <c r="A14" s="38">
        <v>0.11527777777777778</v>
      </c>
      <c r="B14" s="36">
        <v>21.0</v>
      </c>
      <c r="C14" s="36">
        <v>8.0</v>
      </c>
      <c r="D14" s="36">
        <v>446.0</v>
      </c>
      <c r="E14" s="36">
        <v>398.0</v>
      </c>
      <c r="F14" s="36">
        <v>0.89</v>
      </c>
      <c r="G14" s="36">
        <v>14.0</v>
      </c>
      <c r="H14" s="36">
        <v>0.88</v>
      </c>
      <c r="I14" s="36">
        <v>12.1</v>
      </c>
      <c r="J14" s="36">
        <v>90.4</v>
      </c>
      <c r="K14" s="36">
        <v>69.0</v>
      </c>
      <c r="L14" s="36">
        <v>57.4</v>
      </c>
      <c r="M14" s="36">
        <v>100.0</v>
      </c>
      <c r="N14" s="36">
        <v>43.0</v>
      </c>
      <c r="O14" s="36">
        <v>14.0</v>
      </c>
      <c r="P14" s="36">
        <v>17.0</v>
      </c>
      <c r="Q14" s="36">
        <v>0.34</v>
      </c>
      <c r="R14" s="36">
        <v>1.49</v>
      </c>
      <c r="S14" s="36">
        <v>2.9</v>
      </c>
      <c r="T14" s="36">
        <v>4.39</v>
      </c>
      <c r="U14" s="21">
        <f t="shared" si="1"/>
        <v>0.3394077449</v>
      </c>
      <c r="V14" s="21">
        <f t="shared" si="2"/>
        <v>4390</v>
      </c>
      <c r="W14" s="21">
        <f t="shared" si="3"/>
        <v>25600</v>
      </c>
    </row>
    <row r="15" ht="14.25" customHeight="1">
      <c r="A15" s="38">
        <v>0.11875</v>
      </c>
      <c r="B15" s="36">
        <v>24.0</v>
      </c>
      <c r="C15" s="36">
        <v>7.8</v>
      </c>
      <c r="D15" s="36">
        <v>438.0</v>
      </c>
      <c r="E15" s="36">
        <v>389.0</v>
      </c>
      <c r="F15" s="36">
        <v>0.89</v>
      </c>
      <c r="G15" s="36">
        <v>13.0</v>
      </c>
      <c r="H15" s="36">
        <v>0.88</v>
      </c>
      <c r="I15" s="36">
        <v>11.7</v>
      </c>
      <c r="J15" s="36">
        <v>90.7</v>
      </c>
      <c r="K15" s="36">
        <v>69.0</v>
      </c>
      <c r="L15" s="36">
        <v>57.4</v>
      </c>
      <c r="M15" s="36">
        <v>99.0</v>
      </c>
      <c r="N15" s="36">
        <v>44.0</v>
      </c>
      <c r="O15" s="36">
        <v>13.0</v>
      </c>
      <c r="P15" s="36">
        <v>17.0</v>
      </c>
      <c r="Q15" s="36">
        <v>0.33</v>
      </c>
      <c r="R15" s="36">
        <v>1.52</v>
      </c>
      <c r="S15" s="36">
        <v>3.03</v>
      </c>
      <c r="T15" s="36">
        <v>4.55</v>
      </c>
      <c r="U15" s="21">
        <f t="shared" si="1"/>
        <v>0.3340659341</v>
      </c>
      <c r="V15" s="21">
        <f t="shared" si="2"/>
        <v>4550</v>
      </c>
      <c r="W15" s="21">
        <f t="shared" si="3"/>
        <v>84100</v>
      </c>
    </row>
    <row r="16" ht="14.25" customHeight="1">
      <c r="A16" s="38">
        <v>0.12152777777777778</v>
      </c>
      <c r="B16" s="36">
        <v>27.0</v>
      </c>
      <c r="C16" s="36">
        <v>8.0</v>
      </c>
      <c r="D16" s="36">
        <v>448.0</v>
      </c>
      <c r="E16" s="36">
        <v>395.0</v>
      </c>
      <c r="F16" s="36">
        <v>0.88</v>
      </c>
      <c r="G16" s="36">
        <v>14.0</v>
      </c>
      <c r="H16" s="36">
        <v>0.85</v>
      </c>
      <c r="I16" s="36">
        <v>12.0</v>
      </c>
      <c r="J16" s="36">
        <v>90.5</v>
      </c>
      <c r="K16" s="36">
        <v>68.0</v>
      </c>
      <c r="L16" s="36">
        <v>57.7</v>
      </c>
      <c r="M16" s="36">
        <v>99.0</v>
      </c>
      <c r="N16" s="36">
        <v>44.0</v>
      </c>
      <c r="O16" s="36">
        <v>14.0</v>
      </c>
      <c r="P16" s="36">
        <v>17.0</v>
      </c>
      <c r="Q16" s="36">
        <v>0.37</v>
      </c>
      <c r="R16" s="36">
        <v>1.57</v>
      </c>
      <c r="S16" s="36">
        <v>2.69</v>
      </c>
      <c r="T16" s="36">
        <v>4.26</v>
      </c>
      <c r="U16" s="21">
        <f t="shared" si="1"/>
        <v>0.3685446009</v>
      </c>
      <c r="V16" s="21">
        <f t="shared" si="2"/>
        <v>4260</v>
      </c>
      <c r="W16" s="21">
        <f t="shared" si="3"/>
        <v>2500</v>
      </c>
    </row>
    <row r="17" ht="14.25" customHeight="1">
      <c r="A17" s="38">
        <v>0.12430555555555556</v>
      </c>
      <c r="B17" s="36">
        <v>30.0</v>
      </c>
      <c r="C17" s="36">
        <v>7.8</v>
      </c>
      <c r="D17" s="36">
        <v>437.0</v>
      </c>
      <c r="E17" s="36">
        <v>386.0</v>
      </c>
      <c r="F17" s="36">
        <v>0.88</v>
      </c>
      <c r="G17" s="36">
        <v>14.0</v>
      </c>
      <c r="H17" s="36">
        <v>0.84</v>
      </c>
      <c r="I17" s="36">
        <v>11.7</v>
      </c>
      <c r="J17" s="36">
        <v>90.7</v>
      </c>
      <c r="K17" s="36">
        <v>67.0</v>
      </c>
      <c r="L17" s="36">
        <v>58.2</v>
      </c>
      <c r="M17" s="36">
        <v>99.0</v>
      </c>
      <c r="N17" s="36">
        <v>44.0</v>
      </c>
      <c r="O17" s="36">
        <v>14.0</v>
      </c>
      <c r="P17" s="36">
        <v>17.0</v>
      </c>
      <c r="Q17" s="36">
        <v>0.36</v>
      </c>
      <c r="R17" s="36">
        <v>1.57</v>
      </c>
      <c r="S17" s="36">
        <v>2.74</v>
      </c>
      <c r="T17" s="36">
        <v>4.31</v>
      </c>
      <c r="U17" s="21">
        <f t="shared" si="1"/>
        <v>0.3642691415</v>
      </c>
      <c r="V17" s="21">
        <f t="shared" si="2"/>
        <v>4310</v>
      </c>
      <c r="W17" s="21">
        <f t="shared" si="3"/>
        <v>6400</v>
      </c>
    </row>
    <row r="18" ht="14.25" customHeight="1">
      <c r="A18" s="38">
        <v>0.12708333333333333</v>
      </c>
      <c r="B18" s="36">
        <v>33.0</v>
      </c>
      <c r="C18" s="36">
        <v>7.9</v>
      </c>
      <c r="D18" s="36">
        <v>442.0</v>
      </c>
      <c r="E18" s="36">
        <v>390.0</v>
      </c>
      <c r="F18" s="36">
        <v>0.88</v>
      </c>
      <c r="G18" s="36">
        <v>14.0</v>
      </c>
      <c r="H18" s="36">
        <v>0.84</v>
      </c>
      <c r="I18" s="36">
        <v>11.9</v>
      </c>
      <c r="J18" s="36">
        <v>90.6</v>
      </c>
      <c r="K18" s="36">
        <v>66.0</v>
      </c>
      <c r="L18" s="36">
        <v>58.7</v>
      </c>
      <c r="M18" s="36">
        <v>99.0</v>
      </c>
      <c r="N18" s="36">
        <v>44.0</v>
      </c>
      <c r="O18" s="36">
        <v>14.0</v>
      </c>
      <c r="P18" s="36">
        <v>17.0</v>
      </c>
      <c r="Q18" s="36">
        <v>0.38</v>
      </c>
      <c r="R18" s="36">
        <v>1.59</v>
      </c>
      <c r="S18" s="36">
        <v>2.64</v>
      </c>
      <c r="T18" s="36">
        <v>4.23</v>
      </c>
      <c r="U18" s="21">
        <f t="shared" si="1"/>
        <v>0.3758865248</v>
      </c>
      <c r="V18" s="21">
        <f t="shared" si="2"/>
        <v>4230</v>
      </c>
      <c r="W18" s="21">
        <f t="shared" si="3"/>
        <v>100</v>
      </c>
    </row>
    <row r="19" ht="14.25" customHeight="1">
      <c r="A19" s="38">
        <v>0.12986111111111112</v>
      </c>
      <c r="B19" s="36">
        <v>35.0</v>
      </c>
      <c r="C19" s="36">
        <v>7.9</v>
      </c>
      <c r="D19" s="36">
        <v>444.0</v>
      </c>
      <c r="E19" s="36">
        <v>391.0</v>
      </c>
      <c r="F19" s="36">
        <v>0.88</v>
      </c>
      <c r="G19" s="36">
        <v>14.0</v>
      </c>
      <c r="H19" s="36">
        <v>0.83</v>
      </c>
      <c r="I19" s="36">
        <v>11.8</v>
      </c>
      <c r="J19" s="36">
        <v>90.6</v>
      </c>
      <c r="K19" s="36">
        <v>67.0</v>
      </c>
      <c r="L19" s="36">
        <v>58.6</v>
      </c>
      <c r="M19" s="36">
        <v>99.0</v>
      </c>
      <c r="N19" s="36">
        <v>44.0</v>
      </c>
      <c r="O19" s="36">
        <v>14.0</v>
      </c>
      <c r="P19" s="36">
        <v>17.0</v>
      </c>
      <c r="Q19" s="36">
        <v>0.38</v>
      </c>
      <c r="R19" s="36">
        <v>1.62</v>
      </c>
      <c r="S19" s="36">
        <v>2.6</v>
      </c>
      <c r="T19" s="36">
        <v>4.22</v>
      </c>
      <c r="U19" s="21">
        <f t="shared" si="1"/>
        <v>0.3838862559</v>
      </c>
      <c r="V19" s="21">
        <f t="shared" si="2"/>
        <v>4220</v>
      </c>
      <c r="W19" s="21">
        <f t="shared" si="3"/>
        <v>1600</v>
      </c>
    </row>
    <row r="20" ht="14.25" customHeight="1">
      <c r="A20" s="38">
        <v>0.1326388888888889</v>
      </c>
      <c r="B20" s="36">
        <v>37.0</v>
      </c>
      <c r="C20" s="36">
        <v>7.7</v>
      </c>
      <c r="D20" s="36">
        <v>432.0</v>
      </c>
      <c r="E20" s="36">
        <v>380.0</v>
      </c>
      <c r="F20" s="36">
        <v>0.88</v>
      </c>
      <c r="G20" s="36">
        <v>14.0</v>
      </c>
      <c r="H20" s="36">
        <v>0.82</v>
      </c>
      <c r="I20" s="36">
        <v>11.6</v>
      </c>
      <c r="J20" s="36">
        <v>90.8</v>
      </c>
      <c r="K20" s="36">
        <v>67.0</v>
      </c>
      <c r="L20" s="36">
        <v>58.6</v>
      </c>
      <c r="M20" s="36">
        <v>99.0</v>
      </c>
      <c r="N20" s="36">
        <v>44.0</v>
      </c>
      <c r="O20" s="36">
        <v>14.0</v>
      </c>
      <c r="P20" s="36">
        <v>16.0</v>
      </c>
      <c r="Q20" s="36">
        <v>0.38</v>
      </c>
      <c r="R20" s="36">
        <v>1.63</v>
      </c>
      <c r="S20" s="36">
        <v>2.63</v>
      </c>
      <c r="T20" s="36">
        <v>4.26</v>
      </c>
      <c r="U20" s="21">
        <f t="shared" si="1"/>
        <v>0.382629108</v>
      </c>
      <c r="V20" s="21">
        <f t="shared" si="2"/>
        <v>4260</v>
      </c>
      <c r="W20" s="21">
        <f t="shared" si="3"/>
        <v>3600</v>
      </c>
    </row>
    <row r="21" ht="14.25" customHeight="1">
      <c r="A21" s="38">
        <v>0.1361111111111111</v>
      </c>
      <c r="B21" s="36">
        <v>41.0</v>
      </c>
      <c r="C21" s="36">
        <v>7.8</v>
      </c>
      <c r="D21" s="36">
        <v>439.0</v>
      </c>
      <c r="E21" s="36">
        <v>385.0</v>
      </c>
      <c r="F21" s="36">
        <v>0.88</v>
      </c>
      <c r="G21" s="36">
        <v>14.0</v>
      </c>
      <c r="H21" s="36">
        <v>0.83</v>
      </c>
      <c r="I21" s="36">
        <v>11.5</v>
      </c>
      <c r="J21" s="36">
        <v>90.8</v>
      </c>
      <c r="K21" s="36">
        <v>68.0</v>
      </c>
      <c r="L21" s="36">
        <v>58.0</v>
      </c>
      <c r="M21" s="36">
        <v>99.0</v>
      </c>
      <c r="N21" s="36">
        <v>44.0</v>
      </c>
      <c r="O21" s="36">
        <v>14.0</v>
      </c>
      <c r="P21" s="36">
        <v>17.0</v>
      </c>
      <c r="Q21" s="36">
        <v>0.38</v>
      </c>
      <c r="R21" s="36">
        <v>1.62</v>
      </c>
      <c r="S21" s="36">
        <v>2.7</v>
      </c>
      <c r="T21" s="36">
        <v>4.32</v>
      </c>
      <c r="U21" s="21">
        <f t="shared" si="1"/>
        <v>0.375</v>
      </c>
      <c r="V21" s="21">
        <f t="shared" si="2"/>
        <v>4320</v>
      </c>
      <c r="W21" s="21">
        <f t="shared" si="3"/>
        <v>3600</v>
      </c>
    </row>
    <row r="22" ht="14.25" customHeight="1">
      <c r="A22" s="38">
        <v>0.1388888888888889</v>
      </c>
      <c r="B22" s="36">
        <v>43.0</v>
      </c>
      <c r="C22" s="36">
        <v>8.1</v>
      </c>
      <c r="D22" s="36">
        <v>454.0</v>
      </c>
      <c r="E22" s="36">
        <v>398.0</v>
      </c>
      <c r="F22" s="36">
        <v>0.88</v>
      </c>
      <c r="G22" s="36">
        <v>14.0</v>
      </c>
      <c r="H22" s="36">
        <v>0.84</v>
      </c>
      <c r="I22" s="36">
        <v>11.9</v>
      </c>
      <c r="J22" s="36">
        <v>90.5</v>
      </c>
      <c r="K22" s="36">
        <v>68.0</v>
      </c>
      <c r="L22" s="36">
        <v>58.0</v>
      </c>
      <c r="M22" s="36">
        <v>99.0</v>
      </c>
      <c r="N22" s="36">
        <v>44.0</v>
      </c>
      <c r="O22" s="36">
        <v>14.0</v>
      </c>
      <c r="P22" s="36">
        <v>17.0</v>
      </c>
      <c r="Q22" s="36">
        <v>0.37</v>
      </c>
      <c r="R22" s="36">
        <v>1.59</v>
      </c>
      <c r="S22" s="36">
        <v>2.67</v>
      </c>
      <c r="T22" s="36">
        <v>4.26</v>
      </c>
      <c r="U22" s="21">
        <f t="shared" si="1"/>
        <v>0.3732394366</v>
      </c>
      <c r="V22" s="21">
        <f t="shared" si="2"/>
        <v>4260</v>
      </c>
      <c r="W22" s="21">
        <f t="shared" si="3"/>
        <v>1600</v>
      </c>
    </row>
    <row r="23" ht="14.25" customHeight="1">
      <c r="A23" s="38">
        <v>0.14166666666666666</v>
      </c>
      <c r="B23" s="36">
        <v>47.0</v>
      </c>
      <c r="C23" s="36">
        <v>8.2</v>
      </c>
      <c r="D23" s="36">
        <v>459.0</v>
      </c>
      <c r="E23" s="36">
        <v>403.0</v>
      </c>
      <c r="F23" s="36">
        <v>0.88</v>
      </c>
      <c r="G23" s="36">
        <v>14.0</v>
      </c>
      <c r="H23" s="36">
        <v>0.85</v>
      </c>
      <c r="I23" s="36">
        <v>12.1</v>
      </c>
      <c r="J23" s="36">
        <v>90.4</v>
      </c>
      <c r="K23" s="36">
        <v>68.0</v>
      </c>
      <c r="L23" s="36">
        <v>58.1</v>
      </c>
      <c r="M23" s="36">
        <v>99.0</v>
      </c>
      <c r="N23" s="36">
        <v>44.0</v>
      </c>
      <c r="O23" s="36">
        <v>14.0</v>
      </c>
      <c r="P23" s="36">
        <v>17.0</v>
      </c>
      <c r="Q23" s="36">
        <v>0.38</v>
      </c>
      <c r="R23" s="36">
        <v>1.62</v>
      </c>
      <c r="S23" s="36">
        <v>2.6</v>
      </c>
      <c r="T23" s="36">
        <v>4.22</v>
      </c>
      <c r="U23" s="21">
        <f t="shared" si="1"/>
        <v>0.3838862559</v>
      </c>
      <c r="V23" s="21">
        <f t="shared" si="2"/>
        <v>4220</v>
      </c>
      <c r="W23" s="21">
        <f t="shared" si="3"/>
        <v>0</v>
      </c>
    </row>
    <row r="24" ht="14.25" customHeight="1">
      <c r="A24" s="38">
        <v>0.14583333333333334</v>
      </c>
      <c r="B24" s="36">
        <v>49.0</v>
      </c>
      <c r="C24" s="36">
        <v>8.2</v>
      </c>
      <c r="D24" s="36">
        <v>459.0</v>
      </c>
      <c r="E24" s="36">
        <v>404.0</v>
      </c>
      <c r="F24" s="36">
        <v>0.88</v>
      </c>
      <c r="G24" s="36">
        <v>14.0</v>
      </c>
      <c r="H24" s="36">
        <v>0.85</v>
      </c>
      <c r="I24" s="36">
        <v>12.1</v>
      </c>
      <c r="J24" s="36">
        <v>90.4</v>
      </c>
      <c r="K24" s="36">
        <v>66.0</v>
      </c>
      <c r="L24" s="36">
        <v>58.8</v>
      </c>
      <c r="M24" s="36">
        <v>99.0</v>
      </c>
      <c r="N24" s="36">
        <v>44.0</v>
      </c>
      <c r="O24" s="36">
        <v>14.0</v>
      </c>
      <c r="P24" s="36">
        <v>17.0</v>
      </c>
      <c r="Q24" s="36">
        <v>0.38</v>
      </c>
      <c r="R24" s="36">
        <v>1.62</v>
      </c>
      <c r="S24" s="36">
        <v>2.6</v>
      </c>
      <c r="T24" s="36">
        <v>4.22</v>
      </c>
      <c r="U24" s="21">
        <f t="shared" si="1"/>
        <v>0.3838862559</v>
      </c>
      <c r="V24" s="21">
        <f t="shared" si="2"/>
        <v>4220</v>
      </c>
      <c r="W24" s="21">
        <f t="shared" si="3"/>
        <v>100</v>
      </c>
    </row>
    <row r="25" ht="14.25" customHeight="1">
      <c r="A25" s="38">
        <v>0.14791666666666667</v>
      </c>
      <c r="B25" s="36">
        <v>51.0</v>
      </c>
      <c r="C25" s="36">
        <v>8.6</v>
      </c>
      <c r="D25" s="36">
        <v>482.0</v>
      </c>
      <c r="E25" s="36">
        <v>422.0</v>
      </c>
      <c r="F25" s="36">
        <v>0.88</v>
      </c>
      <c r="G25" s="36">
        <v>14.0</v>
      </c>
      <c r="H25" s="36">
        <v>0.88</v>
      </c>
      <c r="I25" s="36">
        <v>12.4</v>
      </c>
      <c r="J25" s="36">
        <v>90.1</v>
      </c>
      <c r="K25" s="36">
        <v>70.0</v>
      </c>
      <c r="L25" s="36">
        <v>56.7</v>
      </c>
      <c r="M25" s="36">
        <v>99.0</v>
      </c>
      <c r="N25" s="36">
        <v>44.0</v>
      </c>
      <c r="O25" s="36">
        <v>14.0</v>
      </c>
      <c r="P25" s="36">
        <v>18.0</v>
      </c>
      <c r="Q25" s="36">
        <v>0.38</v>
      </c>
      <c r="R25" s="36">
        <v>1.6</v>
      </c>
      <c r="S25" s="36">
        <v>2.63</v>
      </c>
      <c r="T25" s="36">
        <v>4.23</v>
      </c>
      <c r="U25" s="21">
        <f t="shared" si="1"/>
        <v>0.378250591</v>
      </c>
      <c r="V25" s="21">
        <f t="shared" si="2"/>
        <v>4230</v>
      </c>
      <c r="W25" s="21">
        <f t="shared" si="3"/>
        <v>0</v>
      </c>
    </row>
    <row r="26" ht="14.25" customHeight="1">
      <c r="A26" s="38">
        <v>0.15</v>
      </c>
      <c r="B26" s="36">
        <v>55.0</v>
      </c>
      <c r="C26" s="36">
        <v>9.7</v>
      </c>
      <c r="D26" s="36">
        <v>542.0</v>
      </c>
      <c r="E26" s="36">
        <v>479.0</v>
      </c>
      <c r="F26" s="36">
        <v>0.88</v>
      </c>
      <c r="G26" s="36">
        <v>14.0</v>
      </c>
      <c r="H26" s="36">
        <v>0.99</v>
      </c>
      <c r="I26" s="36">
        <v>14.0</v>
      </c>
      <c r="J26" s="36">
        <v>88.8</v>
      </c>
      <c r="K26" s="36">
        <v>71.0</v>
      </c>
      <c r="L26" s="36">
        <v>56.0</v>
      </c>
      <c r="M26" s="36">
        <v>99.0</v>
      </c>
      <c r="N26" s="36">
        <v>44.0</v>
      </c>
      <c r="O26" s="36">
        <v>14.0</v>
      </c>
      <c r="P26" s="36">
        <v>21.0</v>
      </c>
      <c r="Q26" s="36">
        <v>0.33</v>
      </c>
      <c r="R26" s="36">
        <v>1.41</v>
      </c>
      <c r="S26" s="36">
        <v>2.82</v>
      </c>
      <c r="T26" s="36">
        <v>4.23</v>
      </c>
      <c r="U26" s="21">
        <f t="shared" si="1"/>
        <v>0.3333333333</v>
      </c>
      <c r="V26" s="21">
        <f t="shared" si="2"/>
        <v>4230</v>
      </c>
      <c r="W26" s="21">
        <f t="shared" si="3"/>
        <v>72900</v>
      </c>
    </row>
    <row r="27" ht="14.25" customHeight="1">
      <c r="A27" s="38">
        <v>0.15208333333333332</v>
      </c>
      <c r="B27" s="36">
        <v>57.0</v>
      </c>
      <c r="C27" s="36">
        <v>9.9</v>
      </c>
      <c r="D27" s="36">
        <v>556.0</v>
      </c>
      <c r="E27" s="36">
        <v>495.0</v>
      </c>
      <c r="F27" s="36">
        <v>0.89</v>
      </c>
      <c r="G27" s="36">
        <v>15.0</v>
      </c>
      <c r="H27" s="36">
        <v>0.98</v>
      </c>
      <c r="I27" s="36">
        <v>14.9</v>
      </c>
      <c r="J27" s="36">
        <v>88.2</v>
      </c>
      <c r="K27" s="36">
        <v>72.0</v>
      </c>
      <c r="L27" s="36">
        <v>55.4</v>
      </c>
      <c r="M27" s="36">
        <v>100.0</v>
      </c>
      <c r="N27" s="36">
        <v>43.0</v>
      </c>
      <c r="O27" s="36">
        <v>15.0</v>
      </c>
      <c r="P27" s="36">
        <v>21.0</v>
      </c>
      <c r="Q27" s="36">
        <v>0.32</v>
      </c>
      <c r="R27" s="36">
        <v>1.27</v>
      </c>
      <c r="S27" s="36">
        <v>2.7</v>
      </c>
      <c r="T27" s="36">
        <v>3.96</v>
      </c>
      <c r="U27" s="21">
        <f t="shared" si="1"/>
        <v>0.3207070707</v>
      </c>
      <c r="V27" s="21">
        <f t="shared" si="2"/>
        <v>3960</v>
      </c>
      <c r="W27" s="21">
        <f t="shared" si="3"/>
        <v>168100</v>
      </c>
    </row>
    <row r="28" ht="14.25" customHeight="1">
      <c r="A28" s="38">
        <v>0.15694444444444444</v>
      </c>
      <c r="B28" s="36">
        <v>61.0</v>
      </c>
      <c r="C28" s="36">
        <v>9.8</v>
      </c>
      <c r="D28" s="36">
        <v>546.0</v>
      </c>
      <c r="E28" s="36">
        <v>494.0</v>
      </c>
      <c r="F28" s="36">
        <v>0.9</v>
      </c>
      <c r="G28" s="36">
        <v>14.0</v>
      </c>
      <c r="H28" s="36">
        <v>1.06</v>
      </c>
      <c r="I28" s="36">
        <v>14.5</v>
      </c>
      <c r="J28" s="36">
        <v>88.4</v>
      </c>
      <c r="K28" s="36">
        <v>68.0</v>
      </c>
      <c r="L28" s="36">
        <v>57.6</v>
      </c>
      <c r="M28" s="36">
        <v>101.0</v>
      </c>
      <c r="N28" s="36">
        <v>43.0</v>
      </c>
      <c r="O28" s="36">
        <v>14.0</v>
      </c>
      <c r="P28" s="36">
        <v>21.0</v>
      </c>
      <c r="Q28" s="36">
        <v>0.28</v>
      </c>
      <c r="R28" s="36">
        <v>1.23</v>
      </c>
      <c r="S28" s="36">
        <v>3.14</v>
      </c>
      <c r="T28" s="36">
        <v>4.37</v>
      </c>
      <c r="U28" s="21">
        <f t="shared" si="1"/>
        <v>0.2814645309</v>
      </c>
      <c r="V28" s="21">
        <f t="shared" si="2"/>
        <v>4370</v>
      </c>
      <c r="W28" s="21">
        <f t="shared" si="3"/>
        <v>1600</v>
      </c>
    </row>
    <row r="29" ht="14.25" customHeight="1">
      <c r="A29" s="38">
        <v>0.16041666666666668</v>
      </c>
      <c r="B29" s="36">
        <v>64.0</v>
      </c>
      <c r="C29" s="36">
        <v>9.4</v>
      </c>
      <c r="D29" s="36">
        <v>529.0</v>
      </c>
      <c r="E29" s="36">
        <v>482.0</v>
      </c>
      <c r="F29" s="36">
        <v>0.91</v>
      </c>
      <c r="G29" s="36">
        <v>14.0</v>
      </c>
      <c r="H29" s="36">
        <v>1.05</v>
      </c>
      <c r="I29" s="36">
        <v>14.3</v>
      </c>
      <c r="J29" s="36">
        <v>88.6</v>
      </c>
      <c r="K29" s="36">
        <v>70.0</v>
      </c>
      <c r="L29" s="36">
        <v>56.2</v>
      </c>
      <c r="M29" s="36">
        <v>101.0</v>
      </c>
      <c r="N29" s="36">
        <v>43.0</v>
      </c>
      <c r="O29" s="36">
        <v>14.0</v>
      </c>
      <c r="P29" s="36">
        <v>20.0</v>
      </c>
      <c r="Q29" s="36">
        <v>0.25</v>
      </c>
      <c r="R29" s="36">
        <v>1.11</v>
      </c>
      <c r="S29" s="36">
        <v>3.31</v>
      </c>
      <c r="T29" s="36">
        <v>4.41</v>
      </c>
      <c r="U29" s="21">
        <f t="shared" si="1"/>
        <v>0.2517006803</v>
      </c>
      <c r="V29" s="21">
        <f t="shared" si="2"/>
        <v>4410</v>
      </c>
      <c r="W29" s="21">
        <f t="shared" si="3"/>
        <v>10000</v>
      </c>
    </row>
    <row r="30" ht="14.25" customHeight="1">
      <c r="A30" s="38">
        <v>0.1625</v>
      </c>
      <c r="B30" s="36">
        <v>67.0</v>
      </c>
      <c r="C30" s="36">
        <v>9.7</v>
      </c>
      <c r="D30" s="36">
        <v>543.0</v>
      </c>
      <c r="E30" s="36">
        <v>493.0</v>
      </c>
      <c r="F30" s="36">
        <v>0.91</v>
      </c>
      <c r="G30" s="36">
        <v>14.0</v>
      </c>
      <c r="H30" s="36">
        <v>1.05</v>
      </c>
      <c r="I30" s="36">
        <v>14.6</v>
      </c>
      <c r="J30" s="36">
        <v>88.4</v>
      </c>
      <c r="K30" s="36">
        <v>71.0</v>
      </c>
      <c r="L30" s="36">
        <v>56.1</v>
      </c>
      <c r="M30" s="36">
        <v>101.0</v>
      </c>
      <c r="N30" s="36">
        <v>43.0</v>
      </c>
      <c r="O30" s="36">
        <v>14.0</v>
      </c>
      <c r="P30" s="36">
        <v>21.0</v>
      </c>
      <c r="Q30" s="36">
        <v>0.22</v>
      </c>
      <c r="R30" s="36">
        <v>0.96</v>
      </c>
      <c r="S30" s="36">
        <v>3.35</v>
      </c>
      <c r="T30" s="36">
        <v>4.31</v>
      </c>
      <c r="U30" s="21">
        <f t="shared" si="1"/>
        <v>0.222737819</v>
      </c>
      <c r="V30" s="21">
        <f t="shared" si="2"/>
        <v>4310</v>
      </c>
      <c r="W30" s="21">
        <f t="shared" si="3"/>
        <v>4900</v>
      </c>
    </row>
    <row r="31" ht="14.25" customHeight="1">
      <c r="A31" s="38">
        <v>0.16527777777777777</v>
      </c>
      <c r="B31" s="36">
        <v>69.0</v>
      </c>
      <c r="C31" s="36">
        <v>10.0</v>
      </c>
      <c r="D31" s="36">
        <v>560.0</v>
      </c>
      <c r="E31" s="36">
        <v>503.0</v>
      </c>
      <c r="F31" s="36">
        <v>0.9</v>
      </c>
      <c r="G31" s="36">
        <v>14.0</v>
      </c>
      <c r="H31" s="36">
        <v>1.04</v>
      </c>
      <c r="I31" s="36">
        <v>14.8</v>
      </c>
      <c r="J31" s="36">
        <v>88.2</v>
      </c>
      <c r="K31" s="36">
        <v>73.0</v>
      </c>
      <c r="L31" s="36">
        <v>54.7</v>
      </c>
      <c r="M31" s="36">
        <v>100.0</v>
      </c>
      <c r="N31" s="36">
        <v>43.0</v>
      </c>
      <c r="O31" s="36">
        <v>14.0</v>
      </c>
      <c r="P31" s="36">
        <v>21.0</v>
      </c>
      <c r="Q31" s="36">
        <v>0.25</v>
      </c>
      <c r="R31" s="36">
        <v>1.06</v>
      </c>
      <c r="S31" s="36">
        <v>3.19</v>
      </c>
      <c r="T31" s="36">
        <v>4.24</v>
      </c>
      <c r="U31" s="21">
        <f t="shared" si="1"/>
        <v>0.25</v>
      </c>
      <c r="V31" s="21">
        <f t="shared" si="2"/>
        <v>4240</v>
      </c>
      <c r="W31" s="21">
        <f t="shared" si="3"/>
        <v>14400</v>
      </c>
    </row>
    <row r="32" ht="14.25" customHeight="1">
      <c r="A32" s="38">
        <v>0.16875</v>
      </c>
      <c r="B32" s="36">
        <v>72.0</v>
      </c>
      <c r="C32" s="36">
        <v>8.8</v>
      </c>
      <c r="D32" s="36">
        <v>495.0</v>
      </c>
      <c r="E32" s="36">
        <v>438.0</v>
      </c>
      <c r="F32" s="36">
        <v>0.89</v>
      </c>
      <c r="G32" s="36">
        <v>14.0</v>
      </c>
      <c r="H32" s="36">
        <v>0.94</v>
      </c>
      <c r="I32" s="36">
        <v>12.9</v>
      </c>
      <c r="J32" s="36">
        <v>89.7</v>
      </c>
      <c r="K32" s="36">
        <v>72.0</v>
      </c>
      <c r="L32" s="36">
        <v>55.2</v>
      </c>
      <c r="M32" s="36">
        <v>99.0</v>
      </c>
      <c r="N32" s="36">
        <v>43.0</v>
      </c>
      <c r="O32" s="36">
        <v>14.0</v>
      </c>
      <c r="P32" s="36">
        <v>19.0</v>
      </c>
      <c r="Q32" s="36">
        <v>0.29</v>
      </c>
      <c r="R32" s="36">
        <v>1.27</v>
      </c>
      <c r="S32" s="36">
        <v>3.09</v>
      </c>
      <c r="T32" s="36">
        <v>4.36</v>
      </c>
      <c r="U32" s="21">
        <f t="shared" si="1"/>
        <v>0.2912844037</v>
      </c>
      <c r="V32" s="21">
        <f t="shared" si="2"/>
        <v>4360</v>
      </c>
      <c r="W32" s="21">
        <f t="shared" si="3"/>
        <v>6400</v>
      </c>
    </row>
    <row r="33" ht="14.25" customHeight="1">
      <c r="A33" s="38">
        <v>0.17152777777777778</v>
      </c>
      <c r="B33" s="36">
        <v>75.0</v>
      </c>
      <c r="C33" s="36">
        <v>8.8</v>
      </c>
      <c r="D33" s="36">
        <v>493.0</v>
      </c>
      <c r="E33" s="36">
        <v>434.0</v>
      </c>
      <c r="F33" s="36">
        <v>0.88</v>
      </c>
      <c r="G33" s="36">
        <v>14.0</v>
      </c>
      <c r="H33" s="36">
        <v>0.95</v>
      </c>
      <c r="I33" s="36">
        <v>12.8</v>
      </c>
      <c r="J33" s="36">
        <v>89.8</v>
      </c>
      <c r="K33" s="36">
        <v>71.0</v>
      </c>
      <c r="L33" s="36">
        <v>56.0</v>
      </c>
      <c r="M33" s="36">
        <v>100.0</v>
      </c>
      <c r="N33" s="36">
        <v>43.0</v>
      </c>
      <c r="O33" s="36">
        <v>14.0</v>
      </c>
      <c r="P33" s="36">
        <v>19.0</v>
      </c>
      <c r="Q33" s="36">
        <v>0.31</v>
      </c>
      <c r="R33" s="36">
        <v>1.37</v>
      </c>
      <c r="S33" s="36">
        <v>3.07</v>
      </c>
      <c r="T33" s="36">
        <v>4.44</v>
      </c>
      <c r="U33" s="21">
        <f t="shared" si="1"/>
        <v>0.3085585586</v>
      </c>
      <c r="V33" s="21">
        <f t="shared" si="2"/>
        <v>4440</v>
      </c>
      <c r="W33" s="21">
        <f t="shared" si="3"/>
        <v>16900</v>
      </c>
    </row>
    <row r="34" ht="14.25" customHeight="1">
      <c r="A34" s="38">
        <v>0.17430555555555555</v>
      </c>
      <c r="B34" s="36">
        <v>78.0</v>
      </c>
      <c r="C34" s="36">
        <v>9.0</v>
      </c>
      <c r="D34" s="36">
        <v>507.0</v>
      </c>
      <c r="E34" s="36">
        <v>441.0</v>
      </c>
      <c r="F34" s="36">
        <v>0.87</v>
      </c>
      <c r="G34" s="36">
        <v>13.0</v>
      </c>
      <c r="H34" s="36">
        <v>0.96</v>
      </c>
      <c r="I34" s="36">
        <v>12.6</v>
      </c>
      <c r="J34" s="36">
        <v>89.9</v>
      </c>
      <c r="K34" s="36">
        <v>71.0</v>
      </c>
      <c r="L34" s="36">
        <v>56.1</v>
      </c>
      <c r="M34" s="36">
        <v>98.0</v>
      </c>
      <c r="N34" s="36">
        <v>44.0</v>
      </c>
      <c r="O34" s="36">
        <v>13.0</v>
      </c>
      <c r="P34" s="36">
        <v>19.0</v>
      </c>
      <c r="Q34" s="36">
        <v>0.3</v>
      </c>
      <c r="R34" s="36">
        <v>1.39</v>
      </c>
      <c r="S34" s="36">
        <v>3.18</v>
      </c>
      <c r="T34" s="36">
        <v>4.57</v>
      </c>
      <c r="U34" s="21">
        <f t="shared" si="1"/>
        <v>0.3041575492</v>
      </c>
      <c r="V34" s="21">
        <f t="shared" si="2"/>
        <v>4570</v>
      </c>
      <c r="W34" s="21">
        <f t="shared" si="3"/>
        <v>220900</v>
      </c>
    </row>
    <row r="35" ht="14.25" customHeight="1">
      <c r="A35" s="38">
        <v>0.17777777777777778</v>
      </c>
      <c r="B35" s="36">
        <v>81.0</v>
      </c>
      <c r="C35" s="36">
        <v>9.5</v>
      </c>
      <c r="D35" s="36">
        <v>530.0</v>
      </c>
      <c r="E35" s="36">
        <v>449.0</v>
      </c>
      <c r="F35" s="36">
        <v>0.85</v>
      </c>
      <c r="G35" s="36">
        <v>15.0</v>
      </c>
      <c r="H35" s="36">
        <v>0.9</v>
      </c>
      <c r="I35" s="36">
        <v>13.2</v>
      </c>
      <c r="J35" s="36">
        <v>89.5</v>
      </c>
      <c r="K35" s="36">
        <v>71.0</v>
      </c>
      <c r="L35" s="36">
        <v>55.6</v>
      </c>
      <c r="M35" s="36">
        <v>97.0</v>
      </c>
      <c r="N35" s="36">
        <v>44.0</v>
      </c>
      <c r="O35" s="36">
        <v>15.0</v>
      </c>
      <c r="P35" s="36">
        <v>20.0</v>
      </c>
      <c r="Q35" s="36">
        <v>0.34</v>
      </c>
      <c r="R35" s="36">
        <v>1.41</v>
      </c>
      <c r="S35" s="36">
        <v>2.69</v>
      </c>
      <c r="T35" s="36">
        <v>4.1</v>
      </c>
      <c r="U35" s="21">
        <f t="shared" si="1"/>
        <v>0.343902439</v>
      </c>
      <c r="V35" s="21">
        <f t="shared" si="2"/>
        <v>4100</v>
      </c>
      <c r="W35" s="21">
        <f t="shared" si="3"/>
        <v>400</v>
      </c>
    </row>
    <row r="36" ht="14.25" customHeight="1">
      <c r="A36" s="38">
        <v>0.18055555555555555</v>
      </c>
      <c r="B36" s="36">
        <v>83.0</v>
      </c>
      <c r="C36" s="36">
        <v>9.9</v>
      </c>
      <c r="D36" s="36">
        <v>552.0</v>
      </c>
      <c r="E36" s="36">
        <v>462.0</v>
      </c>
      <c r="F36" s="36">
        <v>0.84</v>
      </c>
      <c r="G36" s="36">
        <v>15.0</v>
      </c>
      <c r="H36" s="36">
        <v>0.92</v>
      </c>
      <c r="I36" s="36">
        <v>13.5</v>
      </c>
      <c r="J36" s="36">
        <v>89.3</v>
      </c>
      <c r="K36" s="36">
        <v>72.0</v>
      </c>
      <c r="L36" s="36">
        <v>55.5</v>
      </c>
      <c r="M36" s="36">
        <v>96.0</v>
      </c>
      <c r="N36" s="36">
        <v>45.0</v>
      </c>
      <c r="O36" s="36">
        <v>15.0</v>
      </c>
      <c r="P36" s="36">
        <v>21.0</v>
      </c>
      <c r="Q36" s="36">
        <v>0.35</v>
      </c>
      <c r="R36" s="36">
        <v>1.43</v>
      </c>
      <c r="S36" s="36">
        <v>2.65</v>
      </c>
      <c r="T36" s="36">
        <v>4.08</v>
      </c>
      <c r="U36" s="21">
        <f t="shared" si="1"/>
        <v>0.3504901961</v>
      </c>
      <c r="V36" s="21">
        <f t="shared" si="2"/>
        <v>4080</v>
      </c>
      <c r="W36" s="21">
        <f t="shared" si="3"/>
        <v>36100</v>
      </c>
    </row>
    <row r="37" ht="14.25" customHeight="1">
      <c r="A37" s="38">
        <v>0.18333333333333332</v>
      </c>
      <c r="B37" s="36">
        <v>85.0</v>
      </c>
      <c r="C37" s="36">
        <v>10.1</v>
      </c>
      <c r="D37" s="36">
        <v>564.0</v>
      </c>
      <c r="E37" s="36">
        <v>469.0</v>
      </c>
      <c r="F37" s="36">
        <v>0.83</v>
      </c>
      <c r="G37" s="36">
        <v>14.0</v>
      </c>
      <c r="H37" s="36">
        <v>0.96</v>
      </c>
      <c r="I37" s="36">
        <v>13.5</v>
      </c>
      <c r="J37" s="36">
        <v>89.3</v>
      </c>
      <c r="K37" s="36">
        <v>76.0</v>
      </c>
      <c r="L37" s="36">
        <v>53.0</v>
      </c>
      <c r="M37" s="36">
        <v>96.0</v>
      </c>
      <c r="N37" s="36">
        <v>45.0</v>
      </c>
      <c r="O37" s="36">
        <v>14.0</v>
      </c>
      <c r="P37" s="36">
        <v>21.0</v>
      </c>
      <c r="Q37" s="36">
        <v>0.36</v>
      </c>
      <c r="R37" s="36">
        <v>1.54</v>
      </c>
      <c r="S37" s="36">
        <v>2.73</v>
      </c>
      <c r="T37" s="36">
        <v>4.27</v>
      </c>
      <c r="U37" s="21">
        <f t="shared" si="1"/>
        <v>0.3606557377</v>
      </c>
      <c r="V37" s="21">
        <f t="shared" si="2"/>
        <v>4270</v>
      </c>
      <c r="W37" s="21">
        <f t="shared" si="3"/>
        <v>6400</v>
      </c>
    </row>
    <row r="38" ht="14.25" customHeight="1">
      <c r="A38" s="38">
        <v>0.18611111111111112</v>
      </c>
      <c r="B38" s="36">
        <v>89.0</v>
      </c>
      <c r="C38" s="36">
        <v>10.5</v>
      </c>
      <c r="D38" s="36">
        <v>586.0</v>
      </c>
      <c r="E38" s="36">
        <v>482.0</v>
      </c>
      <c r="F38" s="36">
        <v>0.82</v>
      </c>
      <c r="G38" s="36">
        <v>14.0</v>
      </c>
      <c r="H38" s="36">
        <v>0.96</v>
      </c>
      <c r="I38" s="36">
        <v>13.8</v>
      </c>
      <c r="J38" s="36">
        <v>89.0</v>
      </c>
      <c r="K38" s="36">
        <v>76.0</v>
      </c>
      <c r="L38" s="36">
        <v>53.0</v>
      </c>
      <c r="M38" s="36">
        <v>95.0</v>
      </c>
      <c r="N38" s="36">
        <v>45.0</v>
      </c>
      <c r="O38" s="36">
        <v>14.0</v>
      </c>
      <c r="P38" s="36">
        <v>22.0</v>
      </c>
      <c r="Q38" s="36">
        <v>0.36</v>
      </c>
      <c r="R38" s="36">
        <v>1.51</v>
      </c>
      <c r="S38" s="36">
        <v>2.68</v>
      </c>
      <c r="T38" s="36">
        <v>4.19</v>
      </c>
      <c r="U38" s="21">
        <f t="shared" si="1"/>
        <v>0.3603818616</v>
      </c>
      <c r="V38" s="21">
        <f t="shared" si="2"/>
        <v>4190</v>
      </c>
      <c r="W38" s="21">
        <f t="shared" si="3"/>
        <v>900</v>
      </c>
    </row>
    <row r="39" ht="14.25" customHeight="1">
      <c r="A39" s="38">
        <v>0.18888888888888888</v>
      </c>
      <c r="B39" s="36">
        <v>91.0</v>
      </c>
      <c r="C39" s="36">
        <v>10.8</v>
      </c>
      <c r="D39" s="36">
        <v>607.0</v>
      </c>
      <c r="E39" s="36">
        <v>493.0</v>
      </c>
      <c r="F39" s="36">
        <v>0.81</v>
      </c>
      <c r="G39" s="36">
        <v>14.0</v>
      </c>
      <c r="H39" s="36">
        <v>0.98</v>
      </c>
      <c r="I39" s="36">
        <v>13.9</v>
      </c>
      <c r="J39" s="36">
        <v>88.9</v>
      </c>
      <c r="K39" s="36">
        <v>77.0</v>
      </c>
      <c r="L39" s="36">
        <v>52.1</v>
      </c>
      <c r="M39" s="36">
        <v>95.0</v>
      </c>
      <c r="N39" s="36">
        <v>45.0</v>
      </c>
      <c r="O39" s="36">
        <v>14.0</v>
      </c>
      <c r="P39" s="36">
        <v>23.0</v>
      </c>
      <c r="Q39" s="36">
        <v>0.37</v>
      </c>
      <c r="R39" s="36">
        <v>1.54</v>
      </c>
      <c r="S39" s="36">
        <v>2.68</v>
      </c>
      <c r="T39" s="36">
        <v>4.22</v>
      </c>
      <c r="U39" s="21">
        <f t="shared" si="1"/>
        <v>0.36492891</v>
      </c>
      <c r="V39" s="21">
        <f t="shared" si="2"/>
        <v>4220</v>
      </c>
      <c r="W39" s="21">
        <f t="shared" si="3"/>
        <v>152100</v>
      </c>
    </row>
    <row r="40" ht="14.25" customHeight="1">
      <c r="A40" s="38">
        <v>0.19305555555555556</v>
      </c>
      <c r="B40" s="36">
        <v>95.0</v>
      </c>
      <c r="C40" s="36">
        <v>11.5</v>
      </c>
      <c r="D40" s="36">
        <v>642.0</v>
      </c>
      <c r="E40" s="36">
        <v>516.0</v>
      </c>
      <c r="F40" s="36">
        <v>0.8</v>
      </c>
      <c r="G40" s="36">
        <v>13.0</v>
      </c>
      <c r="H40" s="36">
        <v>1.09</v>
      </c>
      <c r="I40" s="36">
        <v>14.1</v>
      </c>
      <c r="J40" s="36">
        <v>88.7</v>
      </c>
      <c r="K40" s="36">
        <v>79.0</v>
      </c>
      <c r="L40" s="36">
        <v>51.1</v>
      </c>
      <c r="M40" s="36">
        <v>93.0</v>
      </c>
      <c r="N40" s="36">
        <v>46.0</v>
      </c>
      <c r="O40" s="36">
        <v>13.0</v>
      </c>
      <c r="P40" s="36">
        <v>24.0</v>
      </c>
      <c r="Q40" s="36">
        <v>0.38</v>
      </c>
      <c r="R40" s="36">
        <v>1.74</v>
      </c>
      <c r="S40" s="36">
        <v>2.87</v>
      </c>
      <c r="T40" s="36">
        <v>4.61</v>
      </c>
      <c r="U40" s="21">
        <f t="shared" si="1"/>
        <v>0.3774403471</v>
      </c>
      <c r="V40" s="21">
        <f t="shared" si="2"/>
        <v>4610</v>
      </c>
    </row>
    <row r="41" ht="14.25" customHeight="1">
      <c r="A41" s="4" t="s">
        <v>80</v>
      </c>
    </row>
    <row r="42" ht="14.25" customHeight="1">
      <c r="A42" s="38">
        <v>0.19652777777777777</v>
      </c>
      <c r="B42" s="36">
        <v>99.0</v>
      </c>
      <c r="C42" s="36">
        <v>12.1</v>
      </c>
      <c r="D42" s="36">
        <v>675.0</v>
      </c>
      <c r="E42" s="36">
        <v>531.0</v>
      </c>
      <c r="F42" s="36">
        <v>0.79</v>
      </c>
      <c r="G42" s="36">
        <v>13.0</v>
      </c>
      <c r="H42" s="36">
        <v>1.11</v>
      </c>
      <c r="I42" s="36">
        <v>14.1</v>
      </c>
      <c r="J42" s="36">
        <v>88.8</v>
      </c>
      <c r="K42" s="36">
        <v>80.0</v>
      </c>
      <c r="L42" s="36">
        <v>50.1</v>
      </c>
      <c r="M42" s="36">
        <v>91.0</v>
      </c>
      <c r="N42" s="36">
        <v>46.0</v>
      </c>
      <c r="O42" s="36">
        <v>13.0</v>
      </c>
      <c r="P42" s="36">
        <v>26.0</v>
      </c>
      <c r="Q42" s="36">
        <v>0.37</v>
      </c>
      <c r="R42" s="36">
        <v>1.73</v>
      </c>
      <c r="S42" s="36">
        <v>2.99</v>
      </c>
      <c r="T42" s="36">
        <v>4.72</v>
      </c>
      <c r="U42" s="21">
        <f t="shared" ref="U42:U146" si="4">R42/T42</f>
        <v>0.3665254237</v>
      </c>
      <c r="V42" s="21">
        <f t="shared" ref="V42:V146" si="5">T42*1000</f>
        <v>4720</v>
      </c>
      <c r="W42" s="21">
        <f t="shared" ref="W42:W145" si="6">(V42-V43)^2</f>
        <v>10000</v>
      </c>
      <c r="X42" s="21">
        <f>SQRT(AVERAGE(W42:W146))</f>
        <v>100.2017196</v>
      </c>
      <c r="Y42" s="21">
        <f>STDEV(V42:V146)/AVERAGE(V42:V146)</f>
        <v>0.4308838178</v>
      </c>
    </row>
    <row r="43" ht="14.25" customHeight="1">
      <c r="A43" s="38">
        <v>0.2</v>
      </c>
      <c r="B43" s="36">
        <v>101.0</v>
      </c>
      <c r="C43" s="36">
        <v>12.3</v>
      </c>
      <c r="D43" s="36">
        <v>689.0</v>
      </c>
      <c r="E43" s="36">
        <v>535.0</v>
      </c>
      <c r="F43" s="36">
        <v>0.78</v>
      </c>
      <c r="G43" s="36">
        <v>12.0</v>
      </c>
      <c r="H43" s="36">
        <v>1.14</v>
      </c>
      <c r="I43" s="36">
        <v>14.2</v>
      </c>
      <c r="J43" s="36">
        <v>88.7</v>
      </c>
      <c r="K43" s="36">
        <v>82.0</v>
      </c>
      <c r="L43" s="36">
        <v>49.0</v>
      </c>
      <c r="M43" s="36">
        <v>91.0</v>
      </c>
      <c r="N43" s="36">
        <v>46.0</v>
      </c>
      <c r="O43" s="36">
        <v>12.0</v>
      </c>
      <c r="P43" s="36">
        <v>26.0</v>
      </c>
      <c r="Q43" s="36">
        <v>0.36</v>
      </c>
      <c r="R43" s="36">
        <v>1.75</v>
      </c>
      <c r="S43" s="36">
        <v>3.07</v>
      </c>
      <c r="T43" s="36">
        <v>4.82</v>
      </c>
      <c r="U43" s="21">
        <f t="shared" si="4"/>
        <v>0.3630705394</v>
      </c>
      <c r="V43" s="21">
        <f t="shared" si="5"/>
        <v>4820</v>
      </c>
      <c r="W43" s="21">
        <f t="shared" si="6"/>
        <v>3600</v>
      </c>
    </row>
    <row r="44" ht="14.25" customHeight="1">
      <c r="A44" s="38">
        <v>0.20277777777777778</v>
      </c>
      <c r="B44" s="36">
        <v>105.0</v>
      </c>
      <c r="C44" s="36">
        <v>12.5</v>
      </c>
      <c r="D44" s="36">
        <v>700.0</v>
      </c>
      <c r="E44" s="36">
        <v>545.0</v>
      </c>
      <c r="F44" s="36">
        <v>0.78</v>
      </c>
      <c r="G44" s="36">
        <v>13.0</v>
      </c>
      <c r="H44" s="36">
        <v>1.14</v>
      </c>
      <c r="I44" s="36">
        <v>14.4</v>
      </c>
      <c r="J44" s="36">
        <v>88.5</v>
      </c>
      <c r="K44" s="36">
        <v>84.0</v>
      </c>
      <c r="L44" s="36">
        <v>47.9</v>
      </c>
      <c r="M44" s="36">
        <v>91.0</v>
      </c>
      <c r="N44" s="36">
        <v>46.0</v>
      </c>
      <c r="O44" s="36">
        <v>13.0</v>
      </c>
      <c r="P44" s="36">
        <v>27.0</v>
      </c>
      <c r="Q44" s="36">
        <v>0.37</v>
      </c>
      <c r="R44" s="36">
        <v>1.74</v>
      </c>
      <c r="S44" s="36">
        <v>3.02</v>
      </c>
      <c r="T44" s="36">
        <v>4.76</v>
      </c>
      <c r="U44" s="21">
        <f t="shared" si="4"/>
        <v>0.3655462185</v>
      </c>
      <c r="V44" s="21">
        <f t="shared" si="5"/>
        <v>4760</v>
      </c>
      <c r="W44" s="21">
        <f t="shared" si="6"/>
        <v>2500</v>
      </c>
    </row>
    <row r="45" ht="14.25" customHeight="1">
      <c r="A45" s="38">
        <v>0.20555555555555555</v>
      </c>
      <c r="B45" s="36">
        <v>107.0</v>
      </c>
      <c r="C45" s="36">
        <v>13.2</v>
      </c>
      <c r="D45" s="36">
        <v>742.0</v>
      </c>
      <c r="E45" s="36">
        <v>570.0</v>
      </c>
      <c r="F45" s="36">
        <v>0.77</v>
      </c>
      <c r="G45" s="36">
        <v>12.0</v>
      </c>
      <c r="H45" s="36">
        <v>1.19</v>
      </c>
      <c r="I45" s="36">
        <v>14.8</v>
      </c>
      <c r="J45" s="36">
        <v>88.2</v>
      </c>
      <c r="K45" s="36">
        <v>85.0</v>
      </c>
      <c r="L45" s="36">
        <v>47.2</v>
      </c>
      <c r="M45" s="36">
        <v>89.0</v>
      </c>
      <c r="N45" s="36">
        <v>47.0</v>
      </c>
      <c r="O45" s="36">
        <v>12.0</v>
      </c>
      <c r="P45" s="36">
        <v>28.0</v>
      </c>
      <c r="Q45" s="36">
        <v>0.37</v>
      </c>
      <c r="R45" s="36">
        <v>1.76</v>
      </c>
      <c r="S45" s="36">
        <v>3.05</v>
      </c>
      <c r="T45" s="36">
        <v>4.81</v>
      </c>
      <c r="U45" s="21">
        <f t="shared" si="4"/>
        <v>0.3659043659</v>
      </c>
      <c r="V45" s="21">
        <f t="shared" si="5"/>
        <v>4810</v>
      </c>
      <c r="W45" s="21">
        <f t="shared" si="6"/>
        <v>36100</v>
      </c>
    </row>
    <row r="46" ht="14.25" customHeight="1">
      <c r="A46" s="38">
        <v>0.2076388888888889</v>
      </c>
      <c r="B46" s="36">
        <v>110.0</v>
      </c>
      <c r="C46" s="36">
        <v>14.1</v>
      </c>
      <c r="D46" s="36">
        <v>791.0</v>
      </c>
      <c r="E46" s="36">
        <v>605.0</v>
      </c>
      <c r="F46" s="36">
        <v>0.76</v>
      </c>
      <c r="G46" s="36">
        <v>13.0</v>
      </c>
      <c r="H46" s="36">
        <v>1.22</v>
      </c>
      <c r="I46" s="36">
        <v>15.8</v>
      </c>
      <c r="J46" s="36">
        <v>87.4</v>
      </c>
      <c r="K46" s="36">
        <v>86.0</v>
      </c>
      <c r="L46" s="36">
        <v>46.3</v>
      </c>
      <c r="M46" s="36">
        <v>90.0</v>
      </c>
      <c r="N46" s="36">
        <v>47.0</v>
      </c>
      <c r="O46" s="36">
        <v>13.0</v>
      </c>
      <c r="P46" s="36">
        <v>30.0</v>
      </c>
      <c r="Q46" s="36">
        <v>0.37</v>
      </c>
      <c r="R46" s="36">
        <v>1.69</v>
      </c>
      <c r="S46" s="36">
        <v>2.93</v>
      </c>
      <c r="T46" s="36">
        <v>4.62</v>
      </c>
      <c r="U46" s="21">
        <f t="shared" si="4"/>
        <v>0.3658008658</v>
      </c>
      <c r="V46" s="21">
        <f t="shared" si="5"/>
        <v>4620</v>
      </c>
      <c r="W46" s="21">
        <f t="shared" si="6"/>
        <v>67600</v>
      </c>
    </row>
    <row r="47" ht="14.25" customHeight="1">
      <c r="A47" s="38">
        <v>0.21041666666666667</v>
      </c>
      <c r="B47" s="36">
        <v>112.0</v>
      </c>
      <c r="C47" s="36">
        <v>15.4</v>
      </c>
      <c r="D47" s="36">
        <v>863.0</v>
      </c>
      <c r="E47" s="36">
        <v>666.0</v>
      </c>
      <c r="F47" s="36">
        <v>0.77</v>
      </c>
      <c r="G47" s="36">
        <v>14.0</v>
      </c>
      <c r="H47" s="36">
        <v>1.28</v>
      </c>
      <c r="I47" s="36">
        <v>17.6</v>
      </c>
      <c r="J47" s="36">
        <v>86.0</v>
      </c>
      <c r="K47" s="36">
        <v>87.0</v>
      </c>
      <c r="L47" s="36">
        <v>45.8</v>
      </c>
      <c r="M47" s="36">
        <v>91.0</v>
      </c>
      <c r="N47" s="36">
        <v>46.0</v>
      </c>
      <c r="O47" s="36">
        <v>14.0</v>
      </c>
      <c r="P47" s="36">
        <v>33.0</v>
      </c>
      <c r="Q47" s="36">
        <v>0.37</v>
      </c>
      <c r="R47" s="36">
        <v>1.62</v>
      </c>
      <c r="S47" s="36">
        <v>2.74</v>
      </c>
      <c r="T47" s="36">
        <v>4.36</v>
      </c>
      <c r="U47" s="21">
        <f t="shared" si="4"/>
        <v>0.371559633</v>
      </c>
      <c r="V47" s="21">
        <f t="shared" si="5"/>
        <v>4360</v>
      </c>
      <c r="W47" s="21">
        <f t="shared" si="6"/>
        <v>240100</v>
      </c>
    </row>
    <row r="48" ht="14.25" customHeight="1">
      <c r="A48" s="38">
        <v>0.2125</v>
      </c>
      <c r="B48" s="36">
        <v>115.0</v>
      </c>
      <c r="C48" s="36">
        <v>17.2</v>
      </c>
      <c r="D48" s="36">
        <v>965.0</v>
      </c>
      <c r="E48" s="36">
        <v>751.0</v>
      </c>
      <c r="F48" s="36">
        <v>0.78</v>
      </c>
      <c r="G48" s="36">
        <v>16.0</v>
      </c>
      <c r="H48" s="36">
        <v>1.29</v>
      </c>
      <c r="I48" s="36">
        <v>20.0</v>
      </c>
      <c r="J48" s="36">
        <v>84.1</v>
      </c>
      <c r="K48" s="36">
        <v>88.0</v>
      </c>
      <c r="L48" s="36">
        <v>45.2</v>
      </c>
      <c r="M48" s="36">
        <v>92.0</v>
      </c>
      <c r="N48" s="36">
        <v>46.0</v>
      </c>
      <c r="O48" s="36">
        <v>16.0</v>
      </c>
      <c r="P48" s="36">
        <v>37.0</v>
      </c>
      <c r="Q48" s="36">
        <v>0.35</v>
      </c>
      <c r="R48" s="36">
        <v>1.36</v>
      </c>
      <c r="S48" s="36">
        <v>2.5</v>
      </c>
      <c r="T48" s="36">
        <v>3.87</v>
      </c>
      <c r="U48" s="21">
        <f t="shared" si="4"/>
        <v>0.3514211886</v>
      </c>
      <c r="V48" s="21">
        <f t="shared" si="5"/>
        <v>3870</v>
      </c>
      <c r="W48" s="21">
        <f t="shared" si="6"/>
        <v>12100</v>
      </c>
    </row>
    <row r="49" ht="14.25" customHeight="1">
      <c r="A49" s="38">
        <v>0.21597222222222223</v>
      </c>
      <c r="B49" s="36">
        <v>118.0</v>
      </c>
      <c r="C49" s="36">
        <v>17.8</v>
      </c>
      <c r="D49" s="36">
        <v>995.0</v>
      </c>
      <c r="E49" s="36">
        <v>791.0</v>
      </c>
      <c r="F49" s="36">
        <v>0.8</v>
      </c>
      <c r="G49" s="36">
        <v>16.0</v>
      </c>
      <c r="H49" s="36">
        <v>1.34</v>
      </c>
      <c r="I49" s="36">
        <v>21.3</v>
      </c>
      <c r="J49" s="36">
        <v>83.0</v>
      </c>
      <c r="K49" s="36">
        <v>89.0</v>
      </c>
      <c r="L49" s="36">
        <v>44.5</v>
      </c>
      <c r="M49" s="36">
        <v>93.0</v>
      </c>
      <c r="N49" s="36">
        <v>45.0</v>
      </c>
      <c r="O49" s="36">
        <v>16.0</v>
      </c>
      <c r="P49" s="36">
        <v>38.0</v>
      </c>
      <c r="Q49" s="36">
        <v>0.36</v>
      </c>
      <c r="R49" s="36">
        <v>1.34</v>
      </c>
      <c r="S49" s="36">
        <v>2.43</v>
      </c>
      <c r="T49" s="36">
        <v>3.76</v>
      </c>
      <c r="U49" s="21">
        <f t="shared" si="4"/>
        <v>0.3563829787</v>
      </c>
      <c r="V49" s="21">
        <f t="shared" si="5"/>
        <v>3760</v>
      </c>
      <c r="W49" s="21">
        <f t="shared" si="6"/>
        <v>0</v>
      </c>
    </row>
    <row r="50" ht="14.25" customHeight="1">
      <c r="A50" s="38">
        <v>0.21944444444444444</v>
      </c>
      <c r="B50" s="36">
        <v>121.0</v>
      </c>
      <c r="C50" s="36">
        <v>17.8</v>
      </c>
      <c r="D50" s="36">
        <v>995.0</v>
      </c>
      <c r="E50" s="36">
        <v>791.0</v>
      </c>
      <c r="F50" s="36">
        <v>0.79</v>
      </c>
      <c r="G50" s="36">
        <v>16.0</v>
      </c>
      <c r="H50" s="36">
        <v>1.34</v>
      </c>
      <c r="I50" s="36">
        <v>21.3</v>
      </c>
      <c r="J50" s="36">
        <v>83.0</v>
      </c>
      <c r="K50" s="36">
        <v>90.0</v>
      </c>
      <c r="L50" s="36">
        <v>43.9</v>
      </c>
      <c r="M50" s="36">
        <v>93.0</v>
      </c>
      <c r="N50" s="36">
        <v>45.0</v>
      </c>
      <c r="O50" s="36">
        <v>16.0</v>
      </c>
      <c r="P50" s="36">
        <v>38.0</v>
      </c>
      <c r="Q50" s="36">
        <v>0.36</v>
      </c>
      <c r="R50" s="36">
        <v>1.34</v>
      </c>
      <c r="S50" s="36">
        <v>2.43</v>
      </c>
      <c r="T50" s="36">
        <v>3.76</v>
      </c>
      <c r="U50" s="21">
        <f t="shared" si="4"/>
        <v>0.3563829787</v>
      </c>
      <c r="V50" s="21">
        <f t="shared" si="5"/>
        <v>3760</v>
      </c>
      <c r="W50" s="21">
        <f t="shared" si="6"/>
        <v>8100</v>
      </c>
    </row>
    <row r="51" ht="14.25" customHeight="1">
      <c r="A51" s="38">
        <v>0.22152777777777777</v>
      </c>
      <c r="B51" s="36">
        <v>123.0</v>
      </c>
      <c r="C51" s="36">
        <v>19.4</v>
      </c>
      <c r="D51" s="36">
        <v>1089.0</v>
      </c>
      <c r="E51" s="36">
        <v>862.0</v>
      </c>
      <c r="F51" s="36">
        <v>0.79</v>
      </c>
      <c r="G51" s="36">
        <v>16.0</v>
      </c>
      <c r="H51" s="36">
        <v>1.41</v>
      </c>
      <c r="I51" s="36">
        <v>23.1</v>
      </c>
      <c r="J51" s="36">
        <v>81.6</v>
      </c>
      <c r="K51" s="36">
        <v>91.0</v>
      </c>
      <c r="L51" s="36">
        <v>43.3</v>
      </c>
      <c r="M51" s="36">
        <v>94.0</v>
      </c>
      <c r="N51" s="36">
        <v>45.0</v>
      </c>
      <c r="O51" s="36">
        <v>16.0</v>
      </c>
      <c r="P51" s="36">
        <v>41.0</v>
      </c>
      <c r="Q51" s="36">
        <v>0.37</v>
      </c>
      <c r="R51" s="36">
        <v>1.35</v>
      </c>
      <c r="S51" s="36">
        <v>2.32</v>
      </c>
      <c r="T51" s="36">
        <v>3.67</v>
      </c>
      <c r="U51" s="21">
        <f t="shared" si="4"/>
        <v>0.3678474114</v>
      </c>
      <c r="V51" s="21">
        <f t="shared" si="5"/>
        <v>3670</v>
      </c>
      <c r="W51" s="21">
        <f t="shared" si="6"/>
        <v>25600</v>
      </c>
    </row>
    <row r="52" ht="14.25" customHeight="1">
      <c r="A52" s="38">
        <v>0.22361111111111112</v>
      </c>
      <c r="B52" s="36">
        <v>125.0</v>
      </c>
      <c r="C52" s="36">
        <v>18.9</v>
      </c>
      <c r="D52" s="36">
        <v>1059.0</v>
      </c>
      <c r="E52" s="36">
        <v>855.0</v>
      </c>
      <c r="F52" s="36">
        <v>0.81</v>
      </c>
      <c r="G52" s="36">
        <v>17.0</v>
      </c>
      <c r="H52" s="36">
        <v>1.36</v>
      </c>
      <c r="I52" s="36">
        <v>23.4</v>
      </c>
      <c r="J52" s="36">
        <v>81.4</v>
      </c>
      <c r="K52" s="36">
        <v>93.0</v>
      </c>
      <c r="L52" s="36">
        <v>42.5</v>
      </c>
      <c r="M52" s="36">
        <v>95.0</v>
      </c>
      <c r="N52" s="36">
        <v>45.0</v>
      </c>
      <c r="O52" s="36">
        <v>17.0</v>
      </c>
      <c r="P52" s="36">
        <v>40.0</v>
      </c>
      <c r="Q52" s="36">
        <v>0.35</v>
      </c>
      <c r="R52" s="36">
        <v>1.23</v>
      </c>
      <c r="S52" s="36">
        <v>2.27</v>
      </c>
      <c r="T52" s="36">
        <v>3.51</v>
      </c>
      <c r="U52" s="21">
        <f t="shared" si="4"/>
        <v>0.3504273504</v>
      </c>
      <c r="V52" s="21">
        <f t="shared" si="5"/>
        <v>3510</v>
      </c>
      <c r="W52" s="21">
        <f t="shared" si="6"/>
        <v>0</v>
      </c>
    </row>
    <row r="53" ht="14.25" customHeight="1">
      <c r="A53" s="38">
        <v>0.2263888888888889</v>
      </c>
      <c r="B53" s="36">
        <v>128.0</v>
      </c>
      <c r="C53" s="36">
        <v>19.0</v>
      </c>
      <c r="D53" s="36">
        <v>1062.0</v>
      </c>
      <c r="E53" s="36">
        <v>868.0</v>
      </c>
      <c r="F53" s="36">
        <v>0.82</v>
      </c>
      <c r="G53" s="36">
        <v>17.0</v>
      </c>
      <c r="H53" s="36">
        <v>1.38</v>
      </c>
      <c r="I53" s="36">
        <v>23.5</v>
      </c>
      <c r="J53" s="36">
        <v>81.3</v>
      </c>
      <c r="K53" s="36">
        <v>93.0</v>
      </c>
      <c r="L53" s="36">
        <v>42.0</v>
      </c>
      <c r="M53" s="36">
        <v>95.0</v>
      </c>
      <c r="N53" s="36">
        <v>45.0</v>
      </c>
      <c r="O53" s="36">
        <v>17.0</v>
      </c>
      <c r="P53" s="36">
        <v>40.0</v>
      </c>
      <c r="Q53" s="36">
        <v>0.35</v>
      </c>
      <c r="R53" s="36">
        <v>1.23</v>
      </c>
      <c r="S53" s="36">
        <v>2.28</v>
      </c>
      <c r="T53" s="36">
        <v>3.51</v>
      </c>
      <c r="U53" s="21">
        <f t="shared" si="4"/>
        <v>0.3504273504</v>
      </c>
      <c r="V53" s="21">
        <f t="shared" si="5"/>
        <v>3510</v>
      </c>
      <c r="W53" s="21">
        <f t="shared" si="6"/>
        <v>100</v>
      </c>
    </row>
    <row r="54" ht="14.25" customHeight="1">
      <c r="A54" s="38">
        <v>0.22847222222222222</v>
      </c>
      <c r="B54" s="36">
        <v>129.0</v>
      </c>
      <c r="C54" s="36">
        <v>18.8</v>
      </c>
      <c r="D54" s="36">
        <v>1054.0</v>
      </c>
      <c r="E54" s="36">
        <v>869.0</v>
      </c>
      <c r="F54" s="36">
        <v>0.82</v>
      </c>
      <c r="G54" s="36">
        <v>17.0</v>
      </c>
      <c r="H54" s="36">
        <v>1.37</v>
      </c>
      <c r="I54" s="36">
        <v>23.4</v>
      </c>
      <c r="J54" s="36">
        <v>81.4</v>
      </c>
      <c r="K54" s="36">
        <v>94.0</v>
      </c>
      <c r="L54" s="36">
        <v>41.5</v>
      </c>
      <c r="M54" s="36">
        <v>95.0</v>
      </c>
      <c r="N54" s="36">
        <v>45.0</v>
      </c>
      <c r="O54" s="36">
        <v>17.0</v>
      </c>
      <c r="P54" s="36">
        <v>40.0</v>
      </c>
      <c r="Q54" s="36">
        <v>0.34</v>
      </c>
      <c r="R54" s="36">
        <v>1.19</v>
      </c>
      <c r="S54" s="36">
        <v>2.31</v>
      </c>
      <c r="T54" s="36">
        <v>3.5</v>
      </c>
      <c r="U54" s="21">
        <f t="shared" si="4"/>
        <v>0.34</v>
      </c>
      <c r="V54" s="21">
        <f t="shared" si="5"/>
        <v>3500</v>
      </c>
      <c r="W54" s="21">
        <f t="shared" si="6"/>
        <v>3600</v>
      </c>
    </row>
    <row r="55" ht="14.25" customHeight="1">
      <c r="A55" s="38">
        <v>0.23055555555555557</v>
      </c>
      <c r="B55" s="36">
        <v>131.0</v>
      </c>
      <c r="C55" s="36">
        <v>18.0</v>
      </c>
      <c r="D55" s="36">
        <v>1010.0</v>
      </c>
      <c r="E55" s="36">
        <v>839.0</v>
      </c>
      <c r="F55" s="36">
        <v>0.83</v>
      </c>
      <c r="G55" s="36">
        <v>17.0</v>
      </c>
      <c r="H55" s="36">
        <v>1.3</v>
      </c>
      <c r="I55" s="36">
        <v>22.7</v>
      </c>
      <c r="J55" s="36">
        <v>81.9</v>
      </c>
      <c r="K55" s="36">
        <v>95.0</v>
      </c>
      <c r="L55" s="36">
        <v>41.2</v>
      </c>
      <c r="M55" s="36">
        <v>95.0</v>
      </c>
      <c r="N55" s="36">
        <v>45.0</v>
      </c>
      <c r="O55" s="36">
        <v>17.0</v>
      </c>
      <c r="P55" s="36">
        <v>38.0</v>
      </c>
      <c r="Q55" s="36">
        <v>0.35</v>
      </c>
      <c r="R55" s="36">
        <v>1.2</v>
      </c>
      <c r="S55" s="36">
        <v>2.24</v>
      </c>
      <c r="T55" s="36">
        <v>3.44</v>
      </c>
      <c r="U55" s="21">
        <f t="shared" si="4"/>
        <v>0.3488372093</v>
      </c>
      <c r="V55" s="21">
        <f t="shared" si="5"/>
        <v>3440</v>
      </c>
      <c r="W55" s="21">
        <f t="shared" si="6"/>
        <v>52900</v>
      </c>
    </row>
    <row r="56" ht="14.25" customHeight="1">
      <c r="A56" s="38">
        <v>0.2326388888888889</v>
      </c>
      <c r="B56" s="36">
        <v>133.0</v>
      </c>
      <c r="C56" s="36">
        <v>19.3</v>
      </c>
      <c r="D56" s="36">
        <v>1079.0</v>
      </c>
      <c r="E56" s="36">
        <v>894.0</v>
      </c>
      <c r="F56" s="36">
        <v>0.83</v>
      </c>
      <c r="G56" s="36">
        <v>19.0</v>
      </c>
      <c r="H56" s="36">
        <v>1.3</v>
      </c>
      <c r="I56" s="36">
        <v>24.2</v>
      </c>
      <c r="J56" s="36">
        <v>80.7</v>
      </c>
      <c r="K56" s="36">
        <v>95.0</v>
      </c>
      <c r="L56" s="36">
        <v>40.8</v>
      </c>
      <c r="M56" s="36">
        <v>95.0</v>
      </c>
      <c r="N56" s="36">
        <v>46.0</v>
      </c>
      <c r="O56" s="36">
        <v>19.0</v>
      </c>
      <c r="P56" s="36">
        <v>41.0</v>
      </c>
      <c r="Q56" s="36">
        <v>0.36</v>
      </c>
      <c r="R56" s="36">
        <v>1.16</v>
      </c>
      <c r="S56" s="36">
        <v>2.05</v>
      </c>
      <c r="T56" s="36">
        <v>3.21</v>
      </c>
      <c r="U56" s="21">
        <f t="shared" si="4"/>
        <v>0.3613707165</v>
      </c>
      <c r="V56" s="21">
        <f t="shared" si="5"/>
        <v>3210</v>
      </c>
      <c r="W56" s="21">
        <f t="shared" si="6"/>
        <v>0</v>
      </c>
    </row>
    <row r="57" ht="14.25" customHeight="1">
      <c r="A57" s="38">
        <v>0.2361111111111111</v>
      </c>
      <c r="B57" s="36">
        <v>137.0</v>
      </c>
      <c r="C57" s="36">
        <v>20.3</v>
      </c>
      <c r="D57" s="36">
        <v>1137.0</v>
      </c>
      <c r="E57" s="36">
        <v>930.0</v>
      </c>
      <c r="F57" s="36">
        <v>0.82</v>
      </c>
      <c r="G57" s="36">
        <v>19.0</v>
      </c>
      <c r="H57" s="36">
        <v>1.33</v>
      </c>
      <c r="I57" s="36">
        <v>24.8</v>
      </c>
      <c r="J57" s="36">
        <v>80.2</v>
      </c>
      <c r="K57" s="36">
        <v>96.0</v>
      </c>
      <c r="L57" s="36">
        <v>40.4</v>
      </c>
      <c r="M57" s="36">
        <v>94.0</v>
      </c>
      <c r="N57" s="36">
        <v>46.0</v>
      </c>
      <c r="O57" s="36">
        <v>19.0</v>
      </c>
      <c r="P57" s="36">
        <v>43.0</v>
      </c>
      <c r="Q57" s="36">
        <v>0.35</v>
      </c>
      <c r="R57" s="36">
        <v>1.12</v>
      </c>
      <c r="S57" s="36">
        <v>2.09</v>
      </c>
      <c r="T57" s="36">
        <v>3.21</v>
      </c>
      <c r="U57" s="21">
        <f t="shared" si="4"/>
        <v>0.3489096573</v>
      </c>
      <c r="V57" s="21">
        <f t="shared" si="5"/>
        <v>3210</v>
      </c>
      <c r="W57" s="21">
        <f t="shared" si="6"/>
        <v>19600</v>
      </c>
    </row>
    <row r="58" ht="14.25" customHeight="1">
      <c r="A58" s="38">
        <v>0.2375</v>
      </c>
      <c r="B58" s="36">
        <v>137.0</v>
      </c>
      <c r="C58" s="36">
        <v>19.8</v>
      </c>
      <c r="D58" s="36">
        <v>1110.0</v>
      </c>
      <c r="E58" s="36">
        <v>921.0</v>
      </c>
      <c r="F58" s="36">
        <v>0.83</v>
      </c>
      <c r="G58" s="36">
        <v>20.0</v>
      </c>
      <c r="H58" s="36">
        <v>1.28</v>
      </c>
      <c r="I58" s="36">
        <v>25.0</v>
      </c>
      <c r="J58" s="36">
        <v>80.1</v>
      </c>
      <c r="K58" s="36">
        <v>96.0</v>
      </c>
      <c r="L58" s="36">
        <v>40.2</v>
      </c>
      <c r="M58" s="36">
        <v>95.0</v>
      </c>
      <c r="N58" s="36">
        <v>46.0</v>
      </c>
      <c r="O58" s="36">
        <v>20.0</v>
      </c>
      <c r="P58" s="36">
        <v>42.0</v>
      </c>
      <c r="Q58" s="36">
        <v>0.35</v>
      </c>
      <c r="R58" s="36">
        <v>1.06</v>
      </c>
      <c r="S58" s="36">
        <v>2.01</v>
      </c>
      <c r="T58" s="36">
        <v>3.07</v>
      </c>
      <c r="U58" s="21">
        <f t="shared" si="4"/>
        <v>0.345276873</v>
      </c>
      <c r="V58" s="21">
        <f t="shared" si="5"/>
        <v>3070</v>
      </c>
      <c r="W58" s="21">
        <f t="shared" si="6"/>
        <v>4900</v>
      </c>
    </row>
    <row r="59" ht="14.25" customHeight="1">
      <c r="A59" s="38">
        <v>0.23958333333333334</v>
      </c>
      <c r="B59" s="36">
        <v>139.0</v>
      </c>
      <c r="C59" s="36">
        <v>19.4</v>
      </c>
      <c r="D59" s="36">
        <v>1088.0</v>
      </c>
      <c r="E59" s="36">
        <v>914.0</v>
      </c>
      <c r="F59" s="36">
        <v>0.84</v>
      </c>
      <c r="G59" s="36">
        <v>20.0</v>
      </c>
      <c r="H59" s="36">
        <v>1.24</v>
      </c>
      <c r="I59" s="36">
        <v>24.8</v>
      </c>
      <c r="J59" s="36">
        <v>80.2</v>
      </c>
      <c r="K59" s="36">
        <v>97.0</v>
      </c>
      <c r="L59" s="36">
        <v>39.7</v>
      </c>
      <c r="M59" s="36">
        <v>95.0</v>
      </c>
      <c r="N59" s="36">
        <v>46.0</v>
      </c>
      <c r="O59" s="36">
        <v>20.0</v>
      </c>
      <c r="P59" s="36">
        <v>41.0</v>
      </c>
      <c r="Q59" s="36">
        <v>0.35</v>
      </c>
      <c r="R59" s="36">
        <v>1.04</v>
      </c>
      <c r="S59" s="36">
        <v>1.96</v>
      </c>
      <c r="T59" s="36">
        <v>3.0</v>
      </c>
      <c r="U59" s="21">
        <f t="shared" si="4"/>
        <v>0.3466666667</v>
      </c>
      <c r="V59" s="21">
        <f t="shared" si="5"/>
        <v>3000</v>
      </c>
      <c r="W59" s="21">
        <f t="shared" si="6"/>
        <v>12100</v>
      </c>
    </row>
    <row r="60" ht="14.25" customHeight="1">
      <c r="A60" s="38">
        <v>0.24097222222222223</v>
      </c>
      <c r="B60" s="36">
        <v>141.0</v>
      </c>
      <c r="C60" s="36">
        <v>19.8</v>
      </c>
      <c r="D60" s="36">
        <v>1106.0</v>
      </c>
      <c r="E60" s="36">
        <v>938.0</v>
      </c>
      <c r="F60" s="36">
        <v>0.85</v>
      </c>
      <c r="G60" s="36">
        <v>21.0</v>
      </c>
      <c r="H60" s="36">
        <v>1.22</v>
      </c>
      <c r="I60" s="36">
        <v>25.4</v>
      </c>
      <c r="J60" s="36">
        <v>79.8</v>
      </c>
      <c r="K60" s="36">
        <v>98.0</v>
      </c>
      <c r="L60" s="36">
        <v>39.1</v>
      </c>
      <c r="M60" s="36">
        <v>96.0</v>
      </c>
      <c r="N60" s="36">
        <v>46.0</v>
      </c>
      <c r="O60" s="36">
        <v>21.0</v>
      </c>
      <c r="P60" s="36">
        <v>42.0</v>
      </c>
      <c r="Q60" s="36">
        <v>0.35</v>
      </c>
      <c r="R60" s="36">
        <v>1.01</v>
      </c>
      <c r="S60" s="36">
        <v>1.88</v>
      </c>
      <c r="T60" s="36">
        <v>2.89</v>
      </c>
      <c r="U60" s="21">
        <f t="shared" si="4"/>
        <v>0.3494809689</v>
      </c>
      <c r="V60" s="21">
        <f t="shared" si="5"/>
        <v>2890</v>
      </c>
      <c r="W60" s="21">
        <f t="shared" si="6"/>
        <v>4900</v>
      </c>
    </row>
    <row r="61" ht="14.25" customHeight="1">
      <c r="A61" s="38">
        <v>0.24305555555555555</v>
      </c>
      <c r="B61" s="36">
        <v>143.0</v>
      </c>
      <c r="C61" s="36">
        <v>20.1</v>
      </c>
      <c r="D61" s="36">
        <v>1123.0</v>
      </c>
      <c r="E61" s="36">
        <v>958.0</v>
      </c>
      <c r="F61" s="36">
        <v>0.85</v>
      </c>
      <c r="G61" s="36">
        <v>21.0</v>
      </c>
      <c r="H61" s="36">
        <v>1.22</v>
      </c>
      <c r="I61" s="36">
        <v>25.9</v>
      </c>
      <c r="J61" s="36">
        <v>79.4</v>
      </c>
      <c r="K61" s="36">
        <v>99.0</v>
      </c>
      <c r="L61" s="36">
        <v>38.4</v>
      </c>
      <c r="M61" s="36">
        <v>96.0</v>
      </c>
      <c r="N61" s="36">
        <v>46.0</v>
      </c>
      <c r="O61" s="36">
        <v>21.0</v>
      </c>
      <c r="P61" s="36">
        <v>43.0</v>
      </c>
      <c r="Q61" s="36">
        <v>0.35</v>
      </c>
      <c r="R61" s="36">
        <v>0.99</v>
      </c>
      <c r="S61" s="36">
        <v>1.83</v>
      </c>
      <c r="T61" s="36">
        <v>2.82</v>
      </c>
      <c r="U61" s="21">
        <f t="shared" si="4"/>
        <v>0.3510638298</v>
      </c>
      <c r="V61" s="21">
        <f t="shared" si="5"/>
        <v>2820</v>
      </c>
      <c r="W61" s="21">
        <f t="shared" si="6"/>
        <v>400</v>
      </c>
    </row>
    <row r="62" ht="14.25" customHeight="1">
      <c r="A62" s="38">
        <v>0.24513888888888888</v>
      </c>
      <c r="B62" s="36">
        <v>145.0</v>
      </c>
      <c r="C62" s="36">
        <v>20.4</v>
      </c>
      <c r="D62" s="36">
        <v>1144.0</v>
      </c>
      <c r="E62" s="36">
        <v>974.0</v>
      </c>
      <c r="F62" s="36">
        <v>0.85</v>
      </c>
      <c r="G62" s="36">
        <v>21.0</v>
      </c>
      <c r="H62" s="36">
        <v>1.24</v>
      </c>
      <c r="I62" s="36">
        <v>26.2</v>
      </c>
      <c r="J62" s="36">
        <v>79.2</v>
      </c>
      <c r="K62" s="36">
        <v>100.0</v>
      </c>
      <c r="L62" s="36">
        <v>37.9</v>
      </c>
      <c r="M62" s="36">
        <v>96.0</v>
      </c>
      <c r="N62" s="36">
        <v>46.0</v>
      </c>
      <c r="O62" s="36">
        <v>21.0</v>
      </c>
      <c r="P62" s="36">
        <v>43.0</v>
      </c>
      <c r="Q62" s="36">
        <v>0.36</v>
      </c>
      <c r="R62" s="36">
        <v>1.01</v>
      </c>
      <c r="S62" s="36">
        <v>1.82</v>
      </c>
      <c r="T62" s="36">
        <v>2.84</v>
      </c>
      <c r="U62" s="21">
        <f t="shared" si="4"/>
        <v>0.3556338028</v>
      </c>
      <c r="V62" s="21">
        <f t="shared" si="5"/>
        <v>2840</v>
      </c>
      <c r="W62" s="21">
        <f t="shared" si="6"/>
        <v>8100</v>
      </c>
    </row>
    <row r="63" ht="14.25" customHeight="1">
      <c r="A63" s="38">
        <v>0.24722222222222223</v>
      </c>
      <c r="B63" s="36">
        <v>147.0</v>
      </c>
      <c r="C63" s="36">
        <v>20.8</v>
      </c>
      <c r="D63" s="36">
        <v>1167.0</v>
      </c>
      <c r="E63" s="36">
        <v>1001.0</v>
      </c>
      <c r="F63" s="36">
        <v>0.86</v>
      </c>
      <c r="G63" s="36">
        <v>22.0</v>
      </c>
      <c r="H63" s="36">
        <v>1.23</v>
      </c>
      <c r="I63" s="36">
        <v>27.0</v>
      </c>
      <c r="J63" s="36">
        <v>78.5</v>
      </c>
      <c r="K63" s="36">
        <v>101.0</v>
      </c>
      <c r="L63" s="36">
        <v>37.5</v>
      </c>
      <c r="M63" s="36">
        <v>96.0</v>
      </c>
      <c r="N63" s="36">
        <v>46.0</v>
      </c>
      <c r="O63" s="36">
        <v>22.0</v>
      </c>
      <c r="P63" s="36">
        <v>44.0</v>
      </c>
      <c r="Q63" s="36">
        <v>0.36</v>
      </c>
      <c r="R63" s="36">
        <v>0.98</v>
      </c>
      <c r="S63" s="36">
        <v>1.77</v>
      </c>
      <c r="T63" s="36">
        <v>2.75</v>
      </c>
      <c r="U63" s="21">
        <f t="shared" si="4"/>
        <v>0.3563636364</v>
      </c>
      <c r="V63" s="21">
        <f t="shared" si="5"/>
        <v>2750</v>
      </c>
      <c r="W63" s="21">
        <f t="shared" si="6"/>
        <v>0</v>
      </c>
    </row>
    <row r="64" ht="14.25" customHeight="1">
      <c r="A64" s="38">
        <v>0.24930555555555556</v>
      </c>
      <c r="B64" s="36">
        <v>149.0</v>
      </c>
      <c r="C64" s="36">
        <v>20.8</v>
      </c>
      <c r="D64" s="36">
        <v>1167.0</v>
      </c>
      <c r="E64" s="36">
        <v>1001.0</v>
      </c>
      <c r="F64" s="36">
        <v>0.86</v>
      </c>
      <c r="G64" s="36">
        <v>22.0</v>
      </c>
      <c r="H64" s="36">
        <v>1.23</v>
      </c>
      <c r="I64" s="36">
        <v>27.0</v>
      </c>
      <c r="J64" s="36">
        <v>78.5</v>
      </c>
      <c r="K64" s="36">
        <v>102.0</v>
      </c>
      <c r="L64" s="36">
        <v>36.9</v>
      </c>
      <c r="M64" s="36">
        <v>96.0</v>
      </c>
      <c r="N64" s="36">
        <v>46.0</v>
      </c>
      <c r="O64" s="36">
        <v>22.0</v>
      </c>
      <c r="P64" s="36">
        <v>44.0</v>
      </c>
      <c r="Q64" s="36">
        <v>0.36</v>
      </c>
      <c r="R64" s="36">
        <v>0.98</v>
      </c>
      <c r="S64" s="36">
        <v>1.77</v>
      </c>
      <c r="T64" s="36">
        <v>2.75</v>
      </c>
      <c r="U64" s="21">
        <f t="shared" si="4"/>
        <v>0.3563636364</v>
      </c>
      <c r="V64" s="21">
        <f t="shared" si="5"/>
        <v>2750</v>
      </c>
      <c r="W64" s="21">
        <f t="shared" si="6"/>
        <v>12100</v>
      </c>
    </row>
    <row r="65" ht="14.25" customHeight="1">
      <c r="A65" s="38">
        <v>0.2513888888888889</v>
      </c>
      <c r="B65" s="36">
        <v>151.0</v>
      </c>
      <c r="C65" s="36">
        <v>21.1</v>
      </c>
      <c r="D65" s="36">
        <v>1180.0</v>
      </c>
      <c r="E65" s="36">
        <v>1016.0</v>
      </c>
      <c r="F65" s="36">
        <v>0.86</v>
      </c>
      <c r="G65" s="36">
        <v>21.0</v>
      </c>
      <c r="H65" s="36">
        <v>1.29</v>
      </c>
      <c r="I65" s="36">
        <v>27.1</v>
      </c>
      <c r="J65" s="36">
        <v>78.4</v>
      </c>
      <c r="K65" s="36">
        <v>102.0</v>
      </c>
      <c r="L65" s="36">
        <v>36.5</v>
      </c>
      <c r="M65" s="36">
        <v>96.0</v>
      </c>
      <c r="N65" s="36">
        <v>46.0</v>
      </c>
      <c r="O65" s="36">
        <v>21.0</v>
      </c>
      <c r="P65" s="36">
        <v>45.0</v>
      </c>
      <c r="Q65" s="36">
        <v>0.36</v>
      </c>
      <c r="R65" s="36">
        <v>1.03</v>
      </c>
      <c r="S65" s="36">
        <v>1.83</v>
      </c>
      <c r="T65" s="36">
        <v>2.86</v>
      </c>
      <c r="U65" s="21">
        <f t="shared" si="4"/>
        <v>0.3601398601</v>
      </c>
      <c r="V65" s="21">
        <f t="shared" si="5"/>
        <v>2860</v>
      </c>
      <c r="W65" s="21">
        <f t="shared" si="6"/>
        <v>0</v>
      </c>
    </row>
    <row r="66" ht="14.25" customHeight="1">
      <c r="A66" s="38">
        <v>0.25416666666666665</v>
      </c>
      <c r="B66" s="36">
        <v>153.0</v>
      </c>
      <c r="C66" s="36">
        <v>22.2</v>
      </c>
      <c r="D66" s="36">
        <v>1241.0</v>
      </c>
      <c r="E66" s="36">
        <v>1067.0</v>
      </c>
      <c r="F66" s="36">
        <v>0.86</v>
      </c>
      <c r="G66" s="36">
        <v>21.0</v>
      </c>
      <c r="H66" s="36">
        <v>1.35</v>
      </c>
      <c r="I66" s="36">
        <v>28.4</v>
      </c>
      <c r="J66" s="36">
        <v>77.4</v>
      </c>
      <c r="K66" s="36">
        <v>103.0</v>
      </c>
      <c r="L66" s="36">
        <v>36.1</v>
      </c>
      <c r="M66" s="36">
        <v>96.0</v>
      </c>
      <c r="N66" s="36">
        <v>46.0</v>
      </c>
      <c r="O66" s="36">
        <v>21.0</v>
      </c>
      <c r="P66" s="36">
        <v>47.0</v>
      </c>
      <c r="Q66" s="36">
        <v>0.36</v>
      </c>
      <c r="R66" s="36">
        <v>1.02</v>
      </c>
      <c r="S66" s="36">
        <v>1.84</v>
      </c>
      <c r="T66" s="36">
        <v>2.86</v>
      </c>
      <c r="U66" s="21">
        <f t="shared" si="4"/>
        <v>0.3566433566</v>
      </c>
      <c r="V66" s="21">
        <f t="shared" si="5"/>
        <v>2860</v>
      </c>
      <c r="W66" s="21">
        <f t="shared" si="6"/>
        <v>6400</v>
      </c>
    </row>
    <row r="67" ht="14.25" customHeight="1">
      <c r="A67" s="38">
        <v>0.25555555555555554</v>
      </c>
      <c r="B67" s="36">
        <v>155.0</v>
      </c>
      <c r="C67" s="36">
        <v>22.9</v>
      </c>
      <c r="D67" s="36">
        <v>1281.0</v>
      </c>
      <c r="E67" s="36">
        <v>1111.0</v>
      </c>
      <c r="F67" s="36">
        <v>0.87</v>
      </c>
      <c r="G67" s="36">
        <v>22.0</v>
      </c>
      <c r="H67" s="36">
        <v>1.36</v>
      </c>
      <c r="I67" s="36">
        <v>29.4</v>
      </c>
      <c r="J67" s="36">
        <v>76.6</v>
      </c>
      <c r="K67" s="36">
        <v>104.0</v>
      </c>
      <c r="L67" s="36">
        <v>35.7</v>
      </c>
      <c r="M67" s="36">
        <v>96.0</v>
      </c>
      <c r="N67" s="36">
        <v>46.0</v>
      </c>
      <c r="O67" s="36">
        <v>22.0</v>
      </c>
      <c r="P67" s="36">
        <v>49.0</v>
      </c>
      <c r="Q67" s="36">
        <v>0.35</v>
      </c>
      <c r="R67" s="36">
        <v>0.98</v>
      </c>
      <c r="S67" s="36">
        <v>1.8</v>
      </c>
      <c r="T67" s="36">
        <v>2.78</v>
      </c>
      <c r="U67" s="21">
        <f t="shared" si="4"/>
        <v>0.3525179856</v>
      </c>
      <c r="V67" s="21">
        <f t="shared" si="5"/>
        <v>2780</v>
      </c>
      <c r="W67" s="21">
        <f t="shared" si="6"/>
        <v>1600</v>
      </c>
    </row>
    <row r="68" ht="14.25" customHeight="1">
      <c r="A68" s="38">
        <v>0.25763888888888886</v>
      </c>
      <c r="B68" s="36">
        <v>158.0</v>
      </c>
      <c r="C68" s="36">
        <v>23.2</v>
      </c>
      <c r="D68" s="36">
        <v>1299.0</v>
      </c>
      <c r="E68" s="36">
        <v>1140.0</v>
      </c>
      <c r="F68" s="36">
        <v>0.88</v>
      </c>
      <c r="G68" s="36">
        <v>22.0</v>
      </c>
      <c r="H68" s="36">
        <v>1.37</v>
      </c>
      <c r="I68" s="36">
        <v>30.1</v>
      </c>
      <c r="J68" s="36">
        <v>76.1</v>
      </c>
      <c r="K68" s="36">
        <v>105.0</v>
      </c>
      <c r="L68" s="36">
        <v>35.1</v>
      </c>
      <c r="M68" s="36">
        <v>96.0</v>
      </c>
      <c r="N68" s="36">
        <v>46.0</v>
      </c>
      <c r="O68" s="36">
        <v>22.0</v>
      </c>
      <c r="P68" s="36">
        <v>49.0</v>
      </c>
      <c r="Q68" s="36">
        <v>0.35</v>
      </c>
      <c r="R68" s="36">
        <v>0.97</v>
      </c>
      <c r="S68" s="36">
        <v>1.77</v>
      </c>
      <c r="T68" s="36">
        <v>2.74</v>
      </c>
      <c r="U68" s="21">
        <f t="shared" si="4"/>
        <v>0.3540145985</v>
      </c>
      <c r="V68" s="21">
        <f t="shared" si="5"/>
        <v>2740</v>
      </c>
      <c r="W68" s="21">
        <f t="shared" si="6"/>
        <v>4900</v>
      </c>
    </row>
    <row r="69" ht="14.25" customHeight="1">
      <c r="A69" s="38">
        <v>0.25972222222222224</v>
      </c>
      <c r="B69" s="36">
        <v>160.0</v>
      </c>
      <c r="C69" s="36">
        <v>24.0</v>
      </c>
      <c r="D69" s="36">
        <v>1346.0</v>
      </c>
      <c r="E69" s="36">
        <v>1187.0</v>
      </c>
      <c r="F69" s="36">
        <v>0.88</v>
      </c>
      <c r="G69" s="36">
        <v>23.0</v>
      </c>
      <c r="H69" s="36">
        <v>1.39</v>
      </c>
      <c r="I69" s="36">
        <v>31.2</v>
      </c>
      <c r="J69" s="36">
        <v>75.1</v>
      </c>
      <c r="K69" s="36">
        <v>105.0</v>
      </c>
      <c r="L69" s="36">
        <v>34.6</v>
      </c>
      <c r="M69" s="36">
        <v>97.0</v>
      </c>
      <c r="N69" s="36">
        <v>46.0</v>
      </c>
      <c r="O69" s="36">
        <v>23.0</v>
      </c>
      <c r="P69" s="36">
        <v>51.0</v>
      </c>
      <c r="Q69" s="36">
        <v>0.36</v>
      </c>
      <c r="R69" s="36">
        <v>0.96</v>
      </c>
      <c r="S69" s="36">
        <v>1.71</v>
      </c>
      <c r="T69" s="36">
        <v>2.67</v>
      </c>
      <c r="U69" s="21">
        <f t="shared" si="4"/>
        <v>0.3595505618</v>
      </c>
      <c r="V69" s="21">
        <f t="shared" si="5"/>
        <v>2670</v>
      </c>
      <c r="W69" s="21">
        <f t="shared" si="6"/>
        <v>8100</v>
      </c>
    </row>
    <row r="70" ht="14.25" customHeight="1">
      <c r="A70" s="38">
        <v>0.2611111111111111</v>
      </c>
      <c r="B70" s="36">
        <v>161.0</v>
      </c>
      <c r="C70" s="36">
        <v>24.5</v>
      </c>
      <c r="D70" s="36">
        <v>1370.0</v>
      </c>
      <c r="E70" s="36">
        <v>1218.0</v>
      </c>
      <c r="F70" s="36">
        <v>0.89</v>
      </c>
      <c r="G70" s="36">
        <v>23.0</v>
      </c>
      <c r="H70" s="36">
        <v>1.38</v>
      </c>
      <c r="I70" s="36">
        <v>32.1</v>
      </c>
      <c r="J70" s="36">
        <v>74.4</v>
      </c>
      <c r="K70" s="36">
        <v>105.0</v>
      </c>
      <c r="L70" s="36">
        <v>34.6</v>
      </c>
      <c r="M70" s="36">
        <v>97.0</v>
      </c>
      <c r="N70" s="36">
        <v>46.0</v>
      </c>
      <c r="O70" s="36">
        <v>23.0</v>
      </c>
      <c r="P70" s="36">
        <v>52.0</v>
      </c>
      <c r="Q70" s="36">
        <v>0.36</v>
      </c>
      <c r="R70" s="36">
        <v>0.94</v>
      </c>
      <c r="S70" s="36">
        <v>1.64</v>
      </c>
      <c r="T70" s="36">
        <v>2.58</v>
      </c>
      <c r="U70" s="21">
        <f t="shared" si="4"/>
        <v>0.3643410853</v>
      </c>
      <c r="V70" s="21">
        <f t="shared" si="5"/>
        <v>2580</v>
      </c>
      <c r="W70" s="21">
        <f t="shared" si="6"/>
        <v>900</v>
      </c>
    </row>
    <row r="71" ht="14.25" customHeight="1">
      <c r="A71" s="38">
        <v>0.26319444444444445</v>
      </c>
      <c r="B71" s="36">
        <v>163.0</v>
      </c>
      <c r="C71" s="36">
        <v>24.5</v>
      </c>
      <c r="D71" s="36">
        <v>1371.0</v>
      </c>
      <c r="E71" s="36">
        <v>1232.0</v>
      </c>
      <c r="F71" s="36">
        <v>0.9</v>
      </c>
      <c r="G71" s="36">
        <v>23.0</v>
      </c>
      <c r="H71" s="36">
        <v>1.4</v>
      </c>
      <c r="I71" s="36">
        <v>32.3</v>
      </c>
      <c r="J71" s="36">
        <v>74.3</v>
      </c>
      <c r="K71" s="36">
        <v>107.0</v>
      </c>
      <c r="L71" s="36">
        <v>33.3</v>
      </c>
      <c r="M71" s="36">
        <v>98.0</v>
      </c>
      <c r="N71" s="36">
        <v>46.0</v>
      </c>
      <c r="O71" s="36">
        <v>23.0</v>
      </c>
      <c r="P71" s="36">
        <v>52.0</v>
      </c>
      <c r="Q71" s="36">
        <v>0.37</v>
      </c>
      <c r="R71" s="36">
        <v>0.97</v>
      </c>
      <c r="S71" s="36">
        <v>1.64</v>
      </c>
      <c r="T71" s="36">
        <v>2.61</v>
      </c>
      <c r="U71" s="21">
        <f t="shared" si="4"/>
        <v>0.3716475096</v>
      </c>
      <c r="V71" s="21">
        <f t="shared" si="5"/>
        <v>2610</v>
      </c>
      <c r="W71" s="21">
        <f t="shared" si="6"/>
        <v>96100</v>
      </c>
    </row>
    <row r="72" ht="14.25" customHeight="1">
      <c r="A72" s="38">
        <v>0.2652777777777778</v>
      </c>
      <c r="B72" s="36">
        <v>165.0</v>
      </c>
      <c r="C72" s="36">
        <v>25.3</v>
      </c>
      <c r="D72" s="36">
        <v>1417.0</v>
      </c>
      <c r="E72" s="36">
        <v>1280.0</v>
      </c>
      <c r="F72" s="36">
        <v>0.9</v>
      </c>
      <c r="G72" s="36">
        <v>21.0</v>
      </c>
      <c r="H72" s="36">
        <v>1.63</v>
      </c>
      <c r="I72" s="36">
        <v>33.4</v>
      </c>
      <c r="J72" s="36">
        <v>73.4</v>
      </c>
      <c r="K72" s="36">
        <v>108.0</v>
      </c>
      <c r="L72" s="36">
        <v>32.7</v>
      </c>
      <c r="M72" s="36">
        <v>98.0</v>
      </c>
      <c r="N72" s="36">
        <v>46.0</v>
      </c>
      <c r="O72" s="36">
        <v>21.0</v>
      </c>
      <c r="P72" s="36">
        <v>54.0</v>
      </c>
      <c r="Q72" s="36">
        <v>0.38</v>
      </c>
      <c r="R72" s="36">
        <v>1.11</v>
      </c>
      <c r="S72" s="36">
        <v>1.81</v>
      </c>
      <c r="T72" s="36">
        <v>2.92</v>
      </c>
      <c r="U72" s="21">
        <f t="shared" si="4"/>
        <v>0.3801369863</v>
      </c>
      <c r="V72" s="21">
        <f t="shared" si="5"/>
        <v>2920</v>
      </c>
      <c r="W72" s="21">
        <f t="shared" si="6"/>
        <v>36100</v>
      </c>
    </row>
    <row r="73" ht="14.25" customHeight="1">
      <c r="A73" s="38">
        <v>0.2673611111111111</v>
      </c>
      <c r="B73" s="36">
        <v>167.0</v>
      </c>
      <c r="C73" s="36">
        <v>25.3</v>
      </c>
      <c r="D73" s="36">
        <v>1415.0</v>
      </c>
      <c r="E73" s="36">
        <v>1283.0</v>
      </c>
      <c r="F73" s="36">
        <v>0.91</v>
      </c>
      <c r="G73" s="36">
        <v>22.0</v>
      </c>
      <c r="H73" s="36">
        <v>1.54</v>
      </c>
      <c r="I73" s="36">
        <v>33.9</v>
      </c>
      <c r="J73" s="36">
        <v>73.0</v>
      </c>
      <c r="K73" s="36">
        <v>110.0</v>
      </c>
      <c r="L73" s="36">
        <v>32.0</v>
      </c>
      <c r="M73" s="36">
        <v>98.0</v>
      </c>
      <c r="N73" s="36">
        <v>46.0</v>
      </c>
      <c r="O73" s="36">
        <v>22.0</v>
      </c>
      <c r="P73" s="36">
        <v>54.0</v>
      </c>
      <c r="Q73" s="36">
        <v>0.37</v>
      </c>
      <c r="R73" s="36">
        <v>1.02</v>
      </c>
      <c r="S73" s="36">
        <v>1.71</v>
      </c>
      <c r="T73" s="36">
        <v>2.73</v>
      </c>
      <c r="U73" s="21">
        <f t="shared" si="4"/>
        <v>0.3736263736</v>
      </c>
      <c r="V73" s="21">
        <f t="shared" si="5"/>
        <v>2730</v>
      </c>
      <c r="W73" s="21">
        <f t="shared" si="6"/>
        <v>100</v>
      </c>
    </row>
    <row r="74" ht="14.25" customHeight="1">
      <c r="A74" s="38">
        <v>0.26875</v>
      </c>
      <c r="B74" s="36">
        <v>169.0</v>
      </c>
      <c r="C74" s="36">
        <v>25.8</v>
      </c>
      <c r="D74" s="36">
        <v>1446.0</v>
      </c>
      <c r="E74" s="36">
        <v>1316.0</v>
      </c>
      <c r="F74" s="36">
        <v>0.91</v>
      </c>
      <c r="G74" s="36">
        <v>22.0</v>
      </c>
      <c r="H74" s="36">
        <v>1.58</v>
      </c>
      <c r="I74" s="36">
        <v>34.6</v>
      </c>
      <c r="J74" s="36">
        <v>72.4</v>
      </c>
      <c r="K74" s="36">
        <v>111.0</v>
      </c>
      <c r="L74" s="36">
        <v>31.2</v>
      </c>
      <c r="M74" s="36">
        <v>98.0</v>
      </c>
      <c r="N74" s="36">
        <v>46.0</v>
      </c>
      <c r="O74" s="36">
        <v>22.0</v>
      </c>
      <c r="P74" s="36">
        <v>55.0</v>
      </c>
      <c r="Q74" s="36">
        <v>0.37</v>
      </c>
      <c r="R74" s="36">
        <v>1.03</v>
      </c>
      <c r="S74" s="36">
        <v>1.72</v>
      </c>
      <c r="T74" s="36">
        <v>2.74</v>
      </c>
      <c r="U74" s="21">
        <f t="shared" si="4"/>
        <v>0.3759124088</v>
      </c>
      <c r="V74" s="21">
        <f t="shared" si="5"/>
        <v>2740</v>
      </c>
      <c r="W74" s="21">
        <f t="shared" si="6"/>
        <v>1600</v>
      </c>
    </row>
    <row r="75" ht="14.25" customHeight="1">
      <c r="A75" s="38">
        <v>0.2708333333333333</v>
      </c>
      <c r="B75" s="36">
        <v>170.0</v>
      </c>
      <c r="C75" s="36">
        <v>26.1</v>
      </c>
      <c r="D75" s="36">
        <v>1460.0</v>
      </c>
      <c r="E75" s="36">
        <v>1337.0</v>
      </c>
      <c r="F75" s="36">
        <v>0.92</v>
      </c>
      <c r="G75" s="36">
        <v>22.0</v>
      </c>
      <c r="H75" s="36">
        <v>1.64</v>
      </c>
      <c r="I75" s="36">
        <v>35.4</v>
      </c>
      <c r="J75" s="36">
        <v>71.8</v>
      </c>
      <c r="K75" s="36">
        <v>112.0</v>
      </c>
      <c r="L75" s="36">
        <v>30.5</v>
      </c>
      <c r="M75" s="36">
        <v>99.0</v>
      </c>
      <c r="N75" s="36">
        <v>46.0</v>
      </c>
      <c r="O75" s="36">
        <v>22.0</v>
      </c>
      <c r="P75" s="36">
        <v>56.0</v>
      </c>
      <c r="Q75" s="36">
        <v>0.38</v>
      </c>
      <c r="R75" s="36">
        <v>1.07</v>
      </c>
      <c r="S75" s="36">
        <v>1.72</v>
      </c>
      <c r="T75" s="36">
        <v>2.78</v>
      </c>
      <c r="U75" s="21">
        <f t="shared" si="4"/>
        <v>0.3848920863</v>
      </c>
      <c r="V75" s="21">
        <f t="shared" si="5"/>
        <v>2780</v>
      </c>
      <c r="W75" s="21">
        <f t="shared" si="6"/>
        <v>2500</v>
      </c>
    </row>
    <row r="76" ht="14.25" customHeight="1">
      <c r="A76" s="38">
        <v>0.2722222222222222</v>
      </c>
      <c r="B76" s="36">
        <v>172.0</v>
      </c>
      <c r="C76" s="36">
        <v>26.7</v>
      </c>
      <c r="D76" s="36">
        <v>1496.0</v>
      </c>
      <c r="E76" s="36">
        <v>1373.0</v>
      </c>
      <c r="F76" s="36">
        <v>0.92</v>
      </c>
      <c r="G76" s="36">
        <v>22.0</v>
      </c>
      <c r="H76" s="36">
        <v>1.65</v>
      </c>
      <c r="I76" s="36">
        <v>36.3</v>
      </c>
      <c r="J76" s="36">
        <v>71.1</v>
      </c>
      <c r="K76" s="36">
        <v>113.0</v>
      </c>
      <c r="L76" s="36">
        <v>29.6</v>
      </c>
      <c r="M76" s="36">
        <v>99.0</v>
      </c>
      <c r="N76" s="36">
        <v>46.0</v>
      </c>
      <c r="O76" s="36">
        <v>22.0</v>
      </c>
      <c r="P76" s="36">
        <v>57.0</v>
      </c>
      <c r="Q76" s="36">
        <v>0.38</v>
      </c>
      <c r="R76" s="36">
        <v>1.04</v>
      </c>
      <c r="S76" s="36">
        <v>1.69</v>
      </c>
      <c r="T76" s="36">
        <v>2.73</v>
      </c>
      <c r="U76" s="21">
        <f t="shared" si="4"/>
        <v>0.380952381</v>
      </c>
      <c r="V76" s="21">
        <f t="shared" si="5"/>
        <v>2730</v>
      </c>
      <c r="W76" s="21">
        <f t="shared" si="6"/>
        <v>12100</v>
      </c>
    </row>
    <row r="77" ht="14.25" customHeight="1">
      <c r="A77" s="38">
        <v>0.2743055555555556</v>
      </c>
      <c r="B77" s="36">
        <v>173.0</v>
      </c>
      <c r="C77" s="36">
        <v>26.9</v>
      </c>
      <c r="D77" s="36">
        <v>1508.0</v>
      </c>
      <c r="E77" s="36">
        <v>1395.0</v>
      </c>
      <c r="F77" s="36">
        <v>0.92</v>
      </c>
      <c r="G77" s="36">
        <v>23.0</v>
      </c>
      <c r="H77" s="36">
        <v>1.62</v>
      </c>
      <c r="I77" s="36">
        <v>37.1</v>
      </c>
      <c r="J77" s="36">
        <v>70.5</v>
      </c>
      <c r="K77" s="36">
        <v>113.0</v>
      </c>
      <c r="L77" s="36">
        <v>29.6</v>
      </c>
      <c r="M77" s="36">
        <v>99.0</v>
      </c>
      <c r="N77" s="36">
        <v>45.0</v>
      </c>
      <c r="O77" s="36">
        <v>23.0</v>
      </c>
      <c r="P77" s="36">
        <v>57.0</v>
      </c>
      <c r="Q77" s="36">
        <v>0.38</v>
      </c>
      <c r="R77" s="36">
        <v>0.98</v>
      </c>
      <c r="S77" s="36">
        <v>1.64</v>
      </c>
      <c r="T77" s="36">
        <v>2.62</v>
      </c>
      <c r="U77" s="21">
        <f t="shared" si="4"/>
        <v>0.3740458015</v>
      </c>
      <c r="V77" s="21">
        <f t="shared" si="5"/>
        <v>2620</v>
      </c>
      <c r="W77" s="21">
        <f t="shared" si="6"/>
        <v>2500</v>
      </c>
    </row>
    <row r="78" ht="14.25" customHeight="1">
      <c r="A78" s="38">
        <v>0.27569444444444446</v>
      </c>
      <c r="B78" s="36">
        <v>175.0</v>
      </c>
      <c r="C78" s="36">
        <v>27.3</v>
      </c>
      <c r="D78" s="36">
        <v>1530.0</v>
      </c>
      <c r="E78" s="36">
        <v>1414.0</v>
      </c>
      <c r="F78" s="36">
        <v>0.92</v>
      </c>
      <c r="G78" s="36">
        <v>23.0</v>
      </c>
      <c r="H78" s="36">
        <v>1.61</v>
      </c>
      <c r="I78" s="36">
        <v>37.5</v>
      </c>
      <c r="J78" s="36">
        <v>70.1</v>
      </c>
      <c r="K78" s="36">
        <v>114.0</v>
      </c>
      <c r="L78" s="36">
        <v>29.3</v>
      </c>
      <c r="M78" s="36">
        <v>99.0</v>
      </c>
      <c r="N78" s="36">
        <v>46.0</v>
      </c>
      <c r="O78" s="36">
        <v>23.0</v>
      </c>
      <c r="P78" s="36">
        <v>58.0</v>
      </c>
      <c r="Q78" s="36">
        <v>0.37</v>
      </c>
      <c r="R78" s="36">
        <v>0.95</v>
      </c>
      <c r="S78" s="36">
        <v>1.62</v>
      </c>
      <c r="T78" s="36">
        <v>2.57</v>
      </c>
      <c r="U78" s="21">
        <f t="shared" si="4"/>
        <v>0.3696498054</v>
      </c>
      <c r="V78" s="21">
        <f t="shared" si="5"/>
        <v>2570</v>
      </c>
      <c r="W78" s="21">
        <f t="shared" si="6"/>
        <v>32400</v>
      </c>
    </row>
    <row r="79" ht="14.25" customHeight="1">
      <c r="A79" s="38">
        <v>0.27708333333333335</v>
      </c>
      <c r="B79" s="36">
        <v>177.0</v>
      </c>
      <c r="C79" s="36">
        <v>27.8</v>
      </c>
      <c r="D79" s="36">
        <v>1556.0</v>
      </c>
      <c r="E79" s="36">
        <v>1434.0</v>
      </c>
      <c r="F79" s="36">
        <v>0.92</v>
      </c>
      <c r="G79" s="36">
        <v>25.0</v>
      </c>
      <c r="H79" s="36">
        <v>1.51</v>
      </c>
      <c r="I79" s="36">
        <v>37.9</v>
      </c>
      <c r="J79" s="36">
        <v>69.8</v>
      </c>
      <c r="K79" s="36">
        <v>114.0</v>
      </c>
      <c r="L79" s="36">
        <v>29.1</v>
      </c>
      <c r="M79" s="36">
        <v>99.0</v>
      </c>
      <c r="N79" s="36">
        <v>46.0</v>
      </c>
      <c r="O79" s="36">
        <v>25.0</v>
      </c>
      <c r="P79" s="36">
        <v>59.0</v>
      </c>
      <c r="Q79" s="36">
        <v>0.37</v>
      </c>
      <c r="R79" s="36">
        <v>0.88</v>
      </c>
      <c r="S79" s="36">
        <v>1.52</v>
      </c>
      <c r="T79" s="36">
        <v>2.39</v>
      </c>
      <c r="U79" s="21">
        <f t="shared" si="4"/>
        <v>0.3682008368</v>
      </c>
      <c r="V79" s="21">
        <f t="shared" si="5"/>
        <v>2390</v>
      </c>
      <c r="W79" s="21">
        <f t="shared" si="6"/>
        <v>900</v>
      </c>
    </row>
    <row r="80" ht="14.25" customHeight="1">
      <c r="A80" s="38">
        <v>0.2791666666666667</v>
      </c>
      <c r="B80" s="36">
        <v>177.0</v>
      </c>
      <c r="C80" s="36">
        <v>27.6</v>
      </c>
      <c r="D80" s="36">
        <v>1545.0</v>
      </c>
      <c r="E80" s="36">
        <v>1434.0</v>
      </c>
      <c r="F80" s="36">
        <v>0.93</v>
      </c>
      <c r="G80" s="36">
        <v>25.0</v>
      </c>
      <c r="H80" s="36">
        <v>1.5</v>
      </c>
      <c r="I80" s="36">
        <v>38.1</v>
      </c>
      <c r="J80" s="36">
        <v>69.7</v>
      </c>
      <c r="K80" s="36">
        <v>115.0</v>
      </c>
      <c r="L80" s="36">
        <v>28.8</v>
      </c>
      <c r="M80" s="36">
        <v>99.0</v>
      </c>
      <c r="N80" s="36">
        <v>45.0</v>
      </c>
      <c r="O80" s="36">
        <v>25.0</v>
      </c>
      <c r="P80" s="36">
        <v>59.0</v>
      </c>
      <c r="Q80" s="36">
        <v>0.37</v>
      </c>
      <c r="R80" s="36">
        <v>0.88</v>
      </c>
      <c r="S80" s="36">
        <v>1.49</v>
      </c>
      <c r="T80" s="36">
        <v>2.36</v>
      </c>
      <c r="U80" s="21">
        <f t="shared" si="4"/>
        <v>0.3728813559</v>
      </c>
      <c r="V80" s="21">
        <f t="shared" si="5"/>
        <v>2360</v>
      </c>
      <c r="W80" s="21">
        <f t="shared" si="6"/>
        <v>900</v>
      </c>
    </row>
    <row r="81" ht="14.25" customHeight="1">
      <c r="A81" s="38">
        <v>0.28055555555555556</v>
      </c>
      <c r="B81" s="36">
        <v>179.0</v>
      </c>
      <c r="C81" s="36">
        <v>27.9</v>
      </c>
      <c r="D81" s="36">
        <v>1561.0</v>
      </c>
      <c r="E81" s="36">
        <v>1453.0</v>
      </c>
      <c r="F81" s="36">
        <v>0.93</v>
      </c>
      <c r="G81" s="36">
        <v>25.0</v>
      </c>
      <c r="H81" s="36">
        <v>1.53</v>
      </c>
      <c r="I81" s="36">
        <v>38.6</v>
      </c>
      <c r="J81" s="36">
        <v>69.3</v>
      </c>
      <c r="K81" s="36">
        <v>115.0</v>
      </c>
      <c r="L81" s="36">
        <v>28.5</v>
      </c>
      <c r="M81" s="36">
        <v>99.0</v>
      </c>
      <c r="N81" s="36">
        <v>46.0</v>
      </c>
      <c r="O81" s="36">
        <v>25.0</v>
      </c>
      <c r="P81" s="36">
        <v>59.0</v>
      </c>
      <c r="Q81" s="36">
        <v>0.37</v>
      </c>
      <c r="R81" s="36">
        <v>0.89</v>
      </c>
      <c r="S81" s="36">
        <v>1.49</v>
      </c>
      <c r="T81" s="36">
        <v>2.39</v>
      </c>
      <c r="U81" s="21">
        <f t="shared" si="4"/>
        <v>0.3723849372</v>
      </c>
      <c r="V81" s="21">
        <f t="shared" si="5"/>
        <v>2390</v>
      </c>
      <c r="W81" s="21">
        <f t="shared" si="6"/>
        <v>100</v>
      </c>
    </row>
    <row r="82" ht="14.25" customHeight="1">
      <c r="A82" s="38">
        <v>0.2826388888888889</v>
      </c>
      <c r="B82" s="36">
        <v>181.0</v>
      </c>
      <c r="C82" s="36">
        <v>28.7</v>
      </c>
      <c r="D82" s="36">
        <v>1610.0</v>
      </c>
      <c r="E82" s="36">
        <v>1508.0</v>
      </c>
      <c r="F82" s="36">
        <v>0.94</v>
      </c>
      <c r="G82" s="36">
        <v>25.0</v>
      </c>
      <c r="H82" s="36">
        <v>1.6</v>
      </c>
      <c r="I82" s="36">
        <v>40.3</v>
      </c>
      <c r="J82" s="36">
        <v>67.9</v>
      </c>
      <c r="K82" s="36">
        <v>116.0</v>
      </c>
      <c r="L82" s="36">
        <v>28.2</v>
      </c>
      <c r="M82" s="36">
        <v>100.0</v>
      </c>
      <c r="N82" s="36">
        <v>45.0</v>
      </c>
      <c r="O82" s="36">
        <v>25.0</v>
      </c>
      <c r="P82" s="36">
        <v>61.0</v>
      </c>
      <c r="Q82" s="36">
        <v>0.37</v>
      </c>
      <c r="R82" s="36">
        <v>0.89</v>
      </c>
      <c r="S82" s="36">
        <v>1.49</v>
      </c>
      <c r="T82" s="36">
        <v>2.38</v>
      </c>
      <c r="U82" s="21">
        <f t="shared" si="4"/>
        <v>0.3739495798</v>
      </c>
      <c r="V82" s="21">
        <f t="shared" si="5"/>
        <v>2380</v>
      </c>
      <c r="W82" s="21">
        <f t="shared" si="6"/>
        <v>400</v>
      </c>
    </row>
    <row r="83" ht="14.25" customHeight="1">
      <c r="A83" s="38">
        <v>0.28402777777777777</v>
      </c>
      <c r="B83" s="36">
        <v>183.0</v>
      </c>
      <c r="C83" s="36">
        <v>28.7</v>
      </c>
      <c r="D83" s="36">
        <v>1608.0</v>
      </c>
      <c r="E83" s="36">
        <v>1522.0</v>
      </c>
      <c r="F83" s="36">
        <v>0.95</v>
      </c>
      <c r="G83" s="36">
        <v>25.0</v>
      </c>
      <c r="H83" s="36">
        <v>1.61</v>
      </c>
      <c r="I83" s="36">
        <v>40.9</v>
      </c>
      <c r="J83" s="36">
        <v>67.4</v>
      </c>
      <c r="K83" s="36">
        <v>116.0</v>
      </c>
      <c r="L83" s="36">
        <v>28.2</v>
      </c>
      <c r="M83" s="36">
        <v>101.0</v>
      </c>
      <c r="N83" s="36">
        <v>45.0</v>
      </c>
      <c r="O83" s="36">
        <v>25.0</v>
      </c>
      <c r="P83" s="36">
        <v>61.0</v>
      </c>
      <c r="Q83" s="36">
        <v>0.37</v>
      </c>
      <c r="R83" s="36">
        <v>0.88</v>
      </c>
      <c r="S83" s="36">
        <v>1.48</v>
      </c>
      <c r="T83" s="36">
        <v>2.36</v>
      </c>
      <c r="U83" s="21">
        <f t="shared" si="4"/>
        <v>0.3728813559</v>
      </c>
      <c r="V83" s="21">
        <f t="shared" si="5"/>
        <v>2360</v>
      </c>
      <c r="W83" s="21">
        <f t="shared" si="6"/>
        <v>100</v>
      </c>
    </row>
    <row r="84" ht="14.25" customHeight="1">
      <c r="A84" s="38">
        <v>0.28541666666666665</v>
      </c>
      <c r="B84" s="36">
        <v>185.0</v>
      </c>
      <c r="C84" s="36">
        <v>29.5</v>
      </c>
      <c r="D84" s="36">
        <v>1649.0</v>
      </c>
      <c r="E84" s="36">
        <v>1578.0</v>
      </c>
      <c r="F84" s="36">
        <v>0.96</v>
      </c>
      <c r="G84" s="36">
        <v>25.0</v>
      </c>
      <c r="H84" s="36">
        <v>1.68</v>
      </c>
      <c r="I84" s="36">
        <v>42.5</v>
      </c>
      <c r="J84" s="36">
        <v>66.2</v>
      </c>
      <c r="K84" s="36">
        <v>116.0</v>
      </c>
      <c r="L84" s="36">
        <v>27.7</v>
      </c>
      <c r="M84" s="36">
        <v>101.0</v>
      </c>
      <c r="N84" s="36">
        <v>45.0</v>
      </c>
      <c r="O84" s="36">
        <v>25.0</v>
      </c>
      <c r="P84" s="36">
        <v>63.0</v>
      </c>
      <c r="Q84" s="36">
        <v>0.38</v>
      </c>
      <c r="R84" s="36">
        <v>0.89</v>
      </c>
      <c r="S84" s="36">
        <v>1.47</v>
      </c>
      <c r="T84" s="36">
        <v>2.37</v>
      </c>
      <c r="U84" s="21">
        <f t="shared" si="4"/>
        <v>0.3755274262</v>
      </c>
      <c r="V84" s="21">
        <f t="shared" si="5"/>
        <v>2370</v>
      </c>
      <c r="W84" s="21">
        <f t="shared" si="6"/>
        <v>3600</v>
      </c>
    </row>
    <row r="85" ht="14.25" customHeight="1">
      <c r="A85" s="38">
        <v>0.28680555555555554</v>
      </c>
      <c r="B85" s="36">
        <v>185.0</v>
      </c>
      <c r="C85" s="36">
        <v>30.1</v>
      </c>
      <c r="D85" s="36">
        <v>1685.0</v>
      </c>
      <c r="E85" s="36">
        <v>1630.0</v>
      </c>
      <c r="F85" s="36">
        <v>0.97</v>
      </c>
      <c r="G85" s="36">
        <v>26.0</v>
      </c>
      <c r="H85" s="36">
        <v>1.7</v>
      </c>
      <c r="I85" s="36">
        <v>44.0</v>
      </c>
      <c r="J85" s="36">
        <v>65.0</v>
      </c>
      <c r="K85" s="36">
        <v>117.0</v>
      </c>
      <c r="L85" s="36">
        <v>27.1</v>
      </c>
      <c r="M85" s="36">
        <v>102.0</v>
      </c>
      <c r="N85" s="36">
        <v>45.0</v>
      </c>
      <c r="O85" s="36">
        <v>26.0</v>
      </c>
      <c r="P85" s="36">
        <v>64.0</v>
      </c>
      <c r="Q85" s="36">
        <v>0.37</v>
      </c>
      <c r="R85" s="36">
        <v>0.86</v>
      </c>
      <c r="S85" s="36">
        <v>1.45</v>
      </c>
      <c r="T85" s="36">
        <v>2.31</v>
      </c>
      <c r="U85" s="21">
        <f t="shared" si="4"/>
        <v>0.3722943723</v>
      </c>
      <c r="V85" s="21">
        <f t="shared" si="5"/>
        <v>2310</v>
      </c>
      <c r="W85" s="21">
        <f t="shared" si="6"/>
        <v>900</v>
      </c>
    </row>
    <row r="86" ht="14.25" customHeight="1">
      <c r="A86" s="38">
        <v>0.28888888888888886</v>
      </c>
      <c r="B86" s="36">
        <v>187.0</v>
      </c>
      <c r="C86" s="36">
        <v>30.6</v>
      </c>
      <c r="D86" s="36">
        <v>1715.0</v>
      </c>
      <c r="E86" s="36">
        <v>1680.0</v>
      </c>
      <c r="F86" s="36">
        <v>0.98</v>
      </c>
      <c r="G86" s="36">
        <v>26.0</v>
      </c>
      <c r="H86" s="36">
        <v>1.74</v>
      </c>
      <c r="I86" s="36">
        <v>45.7</v>
      </c>
      <c r="J86" s="36">
        <v>63.6</v>
      </c>
      <c r="K86" s="36">
        <v>118.0</v>
      </c>
      <c r="L86" s="36">
        <v>26.6</v>
      </c>
      <c r="M86" s="36">
        <v>103.0</v>
      </c>
      <c r="N86" s="36">
        <v>44.0</v>
      </c>
      <c r="O86" s="36">
        <v>26.0</v>
      </c>
      <c r="P86" s="36">
        <v>65.0</v>
      </c>
      <c r="Q86" s="36">
        <v>0.39</v>
      </c>
      <c r="R86" s="36">
        <v>0.89</v>
      </c>
      <c r="S86" s="36">
        <v>1.4</v>
      </c>
      <c r="T86" s="36">
        <v>2.28</v>
      </c>
      <c r="U86" s="21">
        <f t="shared" si="4"/>
        <v>0.3903508772</v>
      </c>
      <c r="V86" s="21">
        <f t="shared" si="5"/>
        <v>2280</v>
      </c>
      <c r="W86" s="21">
        <f t="shared" si="6"/>
        <v>2500</v>
      </c>
    </row>
    <row r="87" ht="14.25" customHeight="1">
      <c r="A87" s="38">
        <v>0.2902777777777778</v>
      </c>
      <c r="B87" s="36">
        <v>189.0</v>
      </c>
      <c r="C87" s="36">
        <v>32.0</v>
      </c>
      <c r="D87" s="36">
        <v>1792.0</v>
      </c>
      <c r="E87" s="36">
        <v>1743.0</v>
      </c>
      <c r="F87" s="36">
        <v>0.97</v>
      </c>
      <c r="G87" s="36">
        <v>26.0</v>
      </c>
      <c r="H87" s="36">
        <v>1.82</v>
      </c>
      <c r="I87" s="36">
        <v>46.9</v>
      </c>
      <c r="J87" s="36">
        <v>62.7</v>
      </c>
      <c r="K87" s="36">
        <v>120.0</v>
      </c>
      <c r="L87" s="36">
        <v>25.8</v>
      </c>
      <c r="M87" s="36">
        <v>102.0</v>
      </c>
      <c r="N87" s="36">
        <v>45.0</v>
      </c>
      <c r="O87" s="36">
        <v>26.0</v>
      </c>
      <c r="P87" s="36">
        <v>68.0</v>
      </c>
      <c r="Q87" s="36">
        <v>0.39</v>
      </c>
      <c r="R87" s="36">
        <v>0.92</v>
      </c>
      <c r="S87" s="36">
        <v>1.41</v>
      </c>
      <c r="T87" s="36">
        <v>2.33</v>
      </c>
      <c r="U87" s="21">
        <f t="shared" si="4"/>
        <v>0.3948497854</v>
      </c>
      <c r="V87" s="21">
        <f t="shared" si="5"/>
        <v>2330</v>
      </c>
      <c r="W87" s="21">
        <f t="shared" si="6"/>
        <v>8100</v>
      </c>
    </row>
    <row r="88" ht="14.25" customHeight="1">
      <c r="A88" s="38">
        <v>0.2916666666666667</v>
      </c>
      <c r="B88" s="36">
        <v>189.0</v>
      </c>
      <c r="C88" s="36">
        <v>31.3</v>
      </c>
      <c r="D88" s="36">
        <v>1752.0</v>
      </c>
      <c r="E88" s="36">
        <v>1724.0</v>
      </c>
      <c r="F88" s="36">
        <v>0.98</v>
      </c>
      <c r="G88" s="36">
        <v>27.0</v>
      </c>
      <c r="H88" s="36">
        <v>1.76</v>
      </c>
      <c r="I88" s="36">
        <v>47.1</v>
      </c>
      <c r="J88" s="36">
        <v>62.5</v>
      </c>
      <c r="K88" s="36">
        <v>121.0</v>
      </c>
      <c r="L88" s="36">
        <v>24.6</v>
      </c>
      <c r="M88" s="36">
        <v>103.0</v>
      </c>
      <c r="N88" s="36">
        <v>44.0</v>
      </c>
      <c r="O88" s="36">
        <v>27.0</v>
      </c>
      <c r="P88" s="36">
        <v>67.0</v>
      </c>
      <c r="Q88" s="36">
        <v>0.39</v>
      </c>
      <c r="R88" s="36">
        <v>0.87</v>
      </c>
      <c r="S88" s="36">
        <v>1.36</v>
      </c>
      <c r="T88" s="36">
        <v>2.24</v>
      </c>
      <c r="U88" s="21">
        <f t="shared" si="4"/>
        <v>0.3883928571</v>
      </c>
      <c r="V88" s="21">
        <f t="shared" si="5"/>
        <v>2240</v>
      </c>
      <c r="W88" s="21">
        <f t="shared" si="6"/>
        <v>3600</v>
      </c>
    </row>
    <row r="89" ht="14.25" customHeight="1">
      <c r="A89" s="38">
        <v>0.29305555555555557</v>
      </c>
      <c r="B89" s="36">
        <v>191.0</v>
      </c>
      <c r="C89" s="36">
        <v>31.2</v>
      </c>
      <c r="D89" s="36">
        <v>1749.0</v>
      </c>
      <c r="E89" s="36">
        <v>1737.0</v>
      </c>
      <c r="F89" s="36">
        <v>0.99</v>
      </c>
      <c r="G89" s="36">
        <v>28.0</v>
      </c>
      <c r="H89" s="36">
        <v>1.74</v>
      </c>
      <c r="I89" s="36">
        <v>47.8</v>
      </c>
      <c r="J89" s="36">
        <v>61.9</v>
      </c>
      <c r="K89" s="36">
        <v>121.0</v>
      </c>
      <c r="L89" s="36">
        <v>24.6</v>
      </c>
      <c r="M89" s="36">
        <v>103.0</v>
      </c>
      <c r="N89" s="36">
        <v>44.0</v>
      </c>
      <c r="O89" s="36">
        <v>28.0</v>
      </c>
      <c r="P89" s="36">
        <v>67.0</v>
      </c>
      <c r="Q89" s="36">
        <v>0.39</v>
      </c>
      <c r="R89" s="36">
        <v>0.85</v>
      </c>
      <c r="S89" s="36">
        <v>1.33</v>
      </c>
      <c r="T89" s="36">
        <v>2.18</v>
      </c>
      <c r="U89" s="21">
        <f t="shared" si="4"/>
        <v>0.3899082569</v>
      </c>
      <c r="V89" s="21">
        <f t="shared" si="5"/>
        <v>2180</v>
      </c>
      <c r="W89" s="21">
        <f t="shared" si="6"/>
        <v>900</v>
      </c>
    </row>
    <row r="90" ht="14.25" customHeight="1">
      <c r="A90" s="38">
        <v>0.29444444444444445</v>
      </c>
      <c r="B90" s="36">
        <v>193.0</v>
      </c>
      <c r="C90" s="36">
        <v>31.6</v>
      </c>
      <c r="D90" s="36">
        <v>1767.0</v>
      </c>
      <c r="E90" s="36">
        <v>1766.0</v>
      </c>
      <c r="F90" s="36">
        <v>1.0</v>
      </c>
      <c r="G90" s="36">
        <v>28.0</v>
      </c>
      <c r="H90" s="36">
        <v>1.75</v>
      </c>
      <c r="I90" s="36">
        <v>48.9</v>
      </c>
      <c r="J90" s="36">
        <v>61.1</v>
      </c>
      <c r="K90" s="36">
        <v>121.0</v>
      </c>
      <c r="L90" s="36">
        <v>24.6</v>
      </c>
      <c r="M90" s="36">
        <v>104.0</v>
      </c>
      <c r="N90" s="36">
        <v>44.0</v>
      </c>
      <c r="O90" s="36">
        <v>28.0</v>
      </c>
      <c r="P90" s="36">
        <v>67.0</v>
      </c>
      <c r="Q90" s="36">
        <v>0.39</v>
      </c>
      <c r="R90" s="36">
        <v>0.85</v>
      </c>
      <c r="S90" s="36">
        <v>1.3</v>
      </c>
      <c r="T90" s="36">
        <v>2.15</v>
      </c>
      <c r="U90" s="21">
        <f t="shared" si="4"/>
        <v>0.3953488372</v>
      </c>
      <c r="V90" s="21">
        <f t="shared" si="5"/>
        <v>2150</v>
      </c>
      <c r="W90" s="21">
        <f t="shared" si="6"/>
        <v>6400</v>
      </c>
    </row>
    <row r="91" ht="14.25" customHeight="1">
      <c r="A91" s="38">
        <v>0.29583333333333334</v>
      </c>
      <c r="B91" s="36">
        <v>193.0</v>
      </c>
      <c r="C91" s="36">
        <v>31.7</v>
      </c>
      <c r="D91" s="36">
        <v>1775.0</v>
      </c>
      <c r="E91" s="36">
        <v>1783.0</v>
      </c>
      <c r="F91" s="36">
        <v>1.0</v>
      </c>
      <c r="G91" s="36">
        <v>29.0</v>
      </c>
      <c r="H91" s="36">
        <v>1.73</v>
      </c>
      <c r="I91" s="36">
        <v>49.9</v>
      </c>
      <c r="J91" s="36">
        <v>60.2</v>
      </c>
      <c r="K91" s="36">
        <v>122.0</v>
      </c>
      <c r="L91" s="36">
        <v>24.1</v>
      </c>
      <c r="M91" s="36">
        <v>104.0</v>
      </c>
      <c r="N91" s="36">
        <v>44.0</v>
      </c>
      <c r="O91" s="36">
        <v>29.0</v>
      </c>
      <c r="P91" s="36">
        <v>67.0</v>
      </c>
      <c r="Q91" s="36">
        <v>0.4</v>
      </c>
      <c r="R91" s="36">
        <v>0.82</v>
      </c>
      <c r="S91" s="36">
        <v>1.25</v>
      </c>
      <c r="T91" s="36">
        <v>2.07</v>
      </c>
      <c r="U91" s="21">
        <f t="shared" si="4"/>
        <v>0.3961352657</v>
      </c>
      <c r="V91" s="21">
        <f t="shared" si="5"/>
        <v>2070</v>
      </c>
      <c r="W91" s="21">
        <f t="shared" si="6"/>
        <v>0</v>
      </c>
    </row>
    <row r="92" ht="14.25" customHeight="1">
      <c r="A92" s="38">
        <v>0.2972222222222222</v>
      </c>
      <c r="B92" s="36">
        <v>195.0</v>
      </c>
      <c r="C92" s="36">
        <v>32.1</v>
      </c>
      <c r="D92" s="36">
        <v>1798.0</v>
      </c>
      <c r="E92" s="36">
        <v>1797.0</v>
      </c>
      <c r="F92" s="36">
        <v>1.0</v>
      </c>
      <c r="G92" s="36">
        <v>29.0</v>
      </c>
      <c r="H92" s="36">
        <v>1.73</v>
      </c>
      <c r="I92" s="36">
        <v>50.1</v>
      </c>
      <c r="J92" s="36">
        <v>60.1</v>
      </c>
      <c r="K92" s="36">
        <v>123.0</v>
      </c>
      <c r="L92" s="36">
        <v>23.5</v>
      </c>
      <c r="M92" s="36">
        <v>104.0</v>
      </c>
      <c r="N92" s="36">
        <v>44.0</v>
      </c>
      <c r="O92" s="36">
        <v>29.0</v>
      </c>
      <c r="P92" s="36">
        <v>68.0</v>
      </c>
      <c r="Q92" s="36">
        <v>0.4</v>
      </c>
      <c r="R92" s="36">
        <v>0.82</v>
      </c>
      <c r="S92" s="36">
        <v>1.25</v>
      </c>
      <c r="T92" s="36">
        <v>2.07</v>
      </c>
      <c r="U92" s="21">
        <f t="shared" si="4"/>
        <v>0.3961352657</v>
      </c>
      <c r="V92" s="21">
        <f t="shared" si="5"/>
        <v>2070</v>
      </c>
      <c r="W92" s="21">
        <f t="shared" si="6"/>
        <v>2500</v>
      </c>
    </row>
    <row r="93" ht="14.25" customHeight="1">
      <c r="A93" s="38">
        <v>0.2986111111111111</v>
      </c>
      <c r="B93" s="36">
        <v>197.0</v>
      </c>
      <c r="C93" s="36">
        <v>32.3</v>
      </c>
      <c r="D93" s="36">
        <v>1808.0</v>
      </c>
      <c r="E93" s="36">
        <v>1817.0</v>
      </c>
      <c r="F93" s="36">
        <v>1.01</v>
      </c>
      <c r="G93" s="36">
        <v>30.0</v>
      </c>
      <c r="H93" s="36">
        <v>1.71</v>
      </c>
      <c r="I93" s="36">
        <v>50.8</v>
      </c>
      <c r="J93" s="36">
        <v>59.5</v>
      </c>
      <c r="K93" s="36">
        <v>123.0</v>
      </c>
      <c r="L93" s="36">
        <v>23.5</v>
      </c>
      <c r="M93" s="36">
        <v>104.0</v>
      </c>
      <c r="N93" s="36">
        <v>44.0</v>
      </c>
      <c r="O93" s="36">
        <v>30.0</v>
      </c>
      <c r="P93" s="36">
        <v>69.0</v>
      </c>
      <c r="Q93" s="36">
        <v>0.39</v>
      </c>
      <c r="R93" s="36">
        <v>0.79</v>
      </c>
      <c r="S93" s="36">
        <v>1.24</v>
      </c>
      <c r="T93" s="36">
        <v>2.02</v>
      </c>
      <c r="U93" s="21">
        <f t="shared" si="4"/>
        <v>0.3910891089</v>
      </c>
      <c r="V93" s="21">
        <f t="shared" si="5"/>
        <v>2020</v>
      </c>
      <c r="W93" s="21">
        <f t="shared" si="6"/>
        <v>100</v>
      </c>
    </row>
    <row r="94" ht="14.25" customHeight="1">
      <c r="A94" s="38">
        <v>0.3</v>
      </c>
      <c r="B94" s="36">
        <v>197.0</v>
      </c>
      <c r="C94" s="36">
        <v>32.7</v>
      </c>
      <c r="D94" s="36">
        <v>1833.0</v>
      </c>
      <c r="E94" s="36">
        <v>1850.0</v>
      </c>
      <c r="F94" s="36">
        <v>1.01</v>
      </c>
      <c r="G94" s="36">
        <v>29.0</v>
      </c>
      <c r="H94" s="36">
        <v>1.75</v>
      </c>
      <c r="I94" s="36">
        <v>51.6</v>
      </c>
      <c r="J94" s="36">
        <v>58.9</v>
      </c>
      <c r="K94" s="36">
        <v>124.0</v>
      </c>
      <c r="L94" s="36">
        <v>23.0</v>
      </c>
      <c r="M94" s="36">
        <v>104.0</v>
      </c>
      <c r="N94" s="36">
        <v>44.0</v>
      </c>
      <c r="O94" s="36">
        <v>29.0</v>
      </c>
      <c r="P94" s="36">
        <v>70.0</v>
      </c>
      <c r="Q94" s="36">
        <v>0.39</v>
      </c>
      <c r="R94" s="36">
        <v>0.8</v>
      </c>
      <c r="S94" s="36">
        <v>1.24</v>
      </c>
      <c r="T94" s="36">
        <v>2.03</v>
      </c>
      <c r="U94" s="21">
        <f t="shared" si="4"/>
        <v>0.39408867</v>
      </c>
      <c r="V94" s="21">
        <f t="shared" si="5"/>
        <v>2030</v>
      </c>
      <c r="W94" s="21">
        <f t="shared" si="6"/>
        <v>0</v>
      </c>
    </row>
    <row r="95" ht="14.25" customHeight="1">
      <c r="A95" s="38">
        <v>0.3013888888888889</v>
      </c>
      <c r="B95" s="36">
        <v>199.0</v>
      </c>
      <c r="C95" s="36">
        <v>33.3</v>
      </c>
      <c r="D95" s="36">
        <v>1865.0</v>
      </c>
      <c r="E95" s="36">
        <v>1890.0</v>
      </c>
      <c r="F95" s="36">
        <v>1.01</v>
      </c>
      <c r="G95" s="36">
        <v>30.0</v>
      </c>
      <c r="H95" s="36">
        <v>1.77</v>
      </c>
      <c r="I95" s="36">
        <v>52.6</v>
      </c>
      <c r="J95" s="36">
        <v>58.2</v>
      </c>
      <c r="K95" s="36">
        <v>125.0</v>
      </c>
      <c r="L95" s="36">
        <v>22.5</v>
      </c>
      <c r="M95" s="36">
        <v>104.0</v>
      </c>
      <c r="N95" s="36">
        <v>44.0</v>
      </c>
      <c r="O95" s="36">
        <v>30.0</v>
      </c>
      <c r="P95" s="36">
        <v>71.0</v>
      </c>
      <c r="Q95" s="36">
        <v>0.39</v>
      </c>
      <c r="R95" s="36">
        <v>0.8</v>
      </c>
      <c r="S95" s="36">
        <v>1.23</v>
      </c>
      <c r="T95" s="36">
        <v>2.03</v>
      </c>
      <c r="U95" s="21">
        <f t="shared" si="4"/>
        <v>0.39408867</v>
      </c>
      <c r="V95" s="21">
        <f t="shared" si="5"/>
        <v>2030</v>
      </c>
      <c r="W95" s="21">
        <f t="shared" si="6"/>
        <v>100</v>
      </c>
    </row>
    <row r="96" ht="14.25" customHeight="1">
      <c r="A96" s="38">
        <v>0.30277777777777776</v>
      </c>
      <c r="B96" s="36">
        <v>201.0</v>
      </c>
      <c r="C96" s="36">
        <v>33.6</v>
      </c>
      <c r="D96" s="36">
        <v>1880.0</v>
      </c>
      <c r="E96" s="36">
        <v>1913.0</v>
      </c>
      <c r="F96" s="36">
        <v>1.02</v>
      </c>
      <c r="G96" s="36">
        <v>29.0</v>
      </c>
      <c r="H96" s="36">
        <v>1.81</v>
      </c>
      <c r="I96" s="36">
        <v>53.2</v>
      </c>
      <c r="J96" s="36">
        <v>57.7</v>
      </c>
      <c r="K96" s="36">
        <v>125.0</v>
      </c>
      <c r="L96" s="36">
        <v>22.5</v>
      </c>
      <c r="M96" s="36">
        <v>104.0</v>
      </c>
      <c r="N96" s="36">
        <v>44.0</v>
      </c>
      <c r="O96" s="36">
        <v>29.0</v>
      </c>
      <c r="P96" s="36">
        <v>71.0</v>
      </c>
      <c r="Q96" s="36">
        <v>0.4</v>
      </c>
      <c r="R96" s="36">
        <v>0.81</v>
      </c>
      <c r="S96" s="36">
        <v>1.23</v>
      </c>
      <c r="T96" s="36">
        <v>2.04</v>
      </c>
      <c r="U96" s="21">
        <f t="shared" si="4"/>
        <v>0.3970588235</v>
      </c>
      <c r="V96" s="21">
        <f t="shared" si="5"/>
        <v>2040</v>
      </c>
      <c r="W96" s="21">
        <f t="shared" si="6"/>
        <v>100</v>
      </c>
    </row>
    <row r="97" ht="14.25" customHeight="1">
      <c r="A97" s="38">
        <v>0.30416666666666664</v>
      </c>
      <c r="B97" s="36">
        <v>202.0</v>
      </c>
      <c r="C97" s="36">
        <v>34.2</v>
      </c>
      <c r="D97" s="36">
        <v>1915.0</v>
      </c>
      <c r="E97" s="36">
        <v>1944.0</v>
      </c>
      <c r="F97" s="36">
        <v>1.02</v>
      </c>
      <c r="G97" s="36">
        <v>29.0</v>
      </c>
      <c r="H97" s="36">
        <v>1.84</v>
      </c>
      <c r="I97" s="36">
        <v>53.9</v>
      </c>
      <c r="J97" s="36">
        <v>57.1</v>
      </c>
      <c r="K97" s="36">
        <v>126.0</v>
      </c>
      <c r="L97" s="36">
        <v>21.9</v>
      </c>
      <c r="M97" s="36">
        <v>104.0</v>
      </c>
      <c r="N97" s="36">
        <v>44.0</v>
      </c>
      <c r="O97" s="36">
        <v>29.0</v>
      </c>
      <c r="P97" s="36">
        <v>73.0</v>
      </c>
      <c r="Q97" s="36">
        <v>0.4</v>
      </c>
      <c r="R97" s="36">
        <v>0.81</v>
      </c>
      <c r="S97" s="36">
        <v>1.24</v>
      </c>
      <c r="T97" s="36">
        <v>2.05</v>
      </c>
      <c r="U97" s="21">
        <f t="shared" si="4"/>
        <v>0.3951219512</v>
      </c>
      <c r="V97" s="21">
        <f t="shared" si="5"/>
        <v>2050</v>
      </c>
      <c r="W97" s="21">
        <f t="shared" si="6"/>
        <v>0</v>
      </c>
    </row>
    <row r="98" ht="14.25" customHeight="1">
      <c r="A98" s="38">
        <v>0.3055555555555556</v>
      </c>
      <c r="B98" s="36">
        <v>203.0</v>
      </c>
      <c r="C98" s="36">
        <v>34.2</v>
      </c>
      <c r="D98" s="36">
        <v>1915.0</v>
      </c>
      <c r="E98" s="36">
        <v>1944.0</v>
      </c>
      <c r="F98" s="36">
        <v>1.02</v>
      </c>
      <c r="G98" s="36">
        <v>29.0</v>
      </c>
      <c r="H98" s="36">
        <v>1.84</v>
      </c>
      <c r="I98" s="36">
        <v>53.9</v>
      </c>
      <c r="J98" s="36">
        <v>57.1</v>
      </c>
      <c r="K98" s="36">
        <v>127.0</v>
      </c>
      <c r="L98" s="36">
        <v>21.2</v>
      </c>
      <c r="M98" s="36">
        <v>104.0</v>
      </c>
      <c r="N98" s="36">
        <v>44.0</v>
      </c>
      <c r="O98" s="36">
        <v>29.0</v>
      </c>
      <c r="P98" s="36">
        <v>73.0</v>
      </c>
      <c r="Q98" s="36">
        <v>0.4</v>
      </c>
      <c r="R98" s="36">
        <v>0.81</v>
      </c>
      <c r="S98" s="36">
        <v>1.24</v>
      </c>
      <c r="T98" s="36">
        <v>2.05</v>
      </c>
      <c r="U98" s="21">
        <f t="shared" si="4"/>
        <v>0.3951219512</v>
      </c>
      <c r="V98" s="21">
        <f t="shared" si="5"/>
        <v>2050</v>
      </c>
      <c r="W98" s="21">
        <f t="shared" si="6"/>
        <v>100</v>
      </c>
    </row>
    <row r="99" ht="14.25" customHeight="1">
      <c r="A99" s="38">
        <v>0.30694444444444446</v>
      </c>
      <c r="B99" s="36">
        <v>204.0</v>
      </c>
      <c r="C99" s="36">
        <v>34.1</v>
      </c>
      <c r="D99" s="36">
        <v>1908.0</v>
      </c>
      <c r="E99" s="36">
        <v>1948.0</v>
      </c>
      <c r="F99" s="36">
        <v>1.02</v>
      </c>
      <c r="G99" s="36">
        <v>29.0</v>
      </c>
      <c r="H99" s="36">
        <v>1.84</v>
      </c>
      <c r="I99" s="36">
        <v>54.0</v>
      </c>
      <c r="J99" s="36">
        <v>57.0</v>
      </c>
      <c r="K99" s="36">
        <v>127.0</v>
      </c>
      <c r="L99" s="36">
        <v>21.4</v>
      </c>
      <c r="M99" s="36">
        <v>104.0</v>
      </c>
      <c r="N99" s="36">
        <v>44.0</v>
      </c>
      <c r="O99" s="36">
        <v>29.0</v>
      </c>
      <c r="P99" s="36">
        <v>73.0</v>
      </c>
      <c r="Q99" s="36">
        <v>0.4</v>
      </c>
      <c r="R99" s="36">
        <v>0.81</v>
      </c>
      <c r="S99" s="36">
        <v>1.23</v>
      </c>
      <c r="T99" s="36">
        <v>2.04</v>
      </c>
      <c r="U99" s="21">
        <f t="shared" si="4"/>
        <v>0.3970588235</v>
      </c>
      <c r="V99" s="21">
        <f t="shared" si="5"/>
        <v>2040</v>
      </c>
      <c r="W99" s="21">
        <f t="shared" si="6"/>
        <v>400</v>
      </c>
    </row>
    <row r="100" ht="14.25" customHeight="1">
      <c r="A100" s="38">
        <v>0.30833333333333335</v>
      </c>
      <c r="B100" s="36">
        <v>207.0</v>
      </c>
      <c r="C100" s="36">
        <v>34.6</v>
      </c>
      <c r="D100" s="36">
        <v>1935.0</v>
      </c>
      <c r="E100" s="36">
        <v>1987.0</v>
      </c>
      <c r="F100" s="36">
        <v>1.03</v>
      </c>
      <c r="G100" s="36">
        <v>29.0</v>
      </c>
      <c r="H100" s="36">
        <v>1.89</v>
      </c>
      <c r="I100" s="36">
        <v>54.9</v>
      </c>
      <c r="J100" s="36">
        <v>56.3</v>
      </c>
      <c r="K100" s="36">
        <v>127.0</v>
      </c>
      <c r="L100" s="36">
        <v>21.2</v>
      </c>
      <c r="M100" s="36">
        <v>105.0</v>
      </c>
      <c r="N100" s="36">
        <v>44.0</v>
      </c>
      <c r="O100" s="36">
        <v>29.0</v>
      </c>
      <c r="P100" s="36">
        <v>74.0</v>
      </c>
      <c r="Q100" s="36">
        <v>0.39</v>
      </c>
      <c r="R100" s="36">
        <v>0.81</v>
      </c>
      <c r="S100" s="36">
        <v>1.25</v>
      </c>
      <c r="T100" s="36">
        <v>2.06</v>
      </c>
      <c r="U100" s="21">
        <f t="shared" si="4"/>
        <v>0.3932038835</v>
      </c>
      <c r="V100" s="21">
        <f t="shared" si="5"/>
        <v>2060</v>
      </c>
      <c r="W100" s="21">
        <f t="shared" si="6"/>
        <v>0</v>
      </c>
    </row>
    <row r="101" ht="14.25" customHeight="1">
      <c r="A101" s="38">
        <v>0.30972222222222223</v>
      </c>
      <c r="B101" s="36">
        <v>208.0</v>
      </c>
      <c r="C101" s="36">
        <v>35.2</v>
      </c>
      <c r="D101" s="36">
        <v>1973.0</v>
      </c>
      <c r="E101" s="36">
        <v>2032.0</v>
      </c>
      <c r="F101" s="36">
        <v>1.03</v>
      </c>
      <c r="G101" s="36">
        <v>29.0</v>
      </c>
      <c r="H101" s="36">
        <v>1.93</v>
      </c>
      <c r="I101" s="36">
        <v>56.1</v>
      </c>
      <c r="J101" s="36">
        <v>55.4</v>
      </c>
      <c r="K101" s="36">
        <v>127.0</v>
      </c>
      <c r="L101" s="36">
        <v>21.2</v>
      </c>
      <c r="M101" s="36">
        <v>105.0</v>
      </c>
      <c r="N101" s="36">
        <v>44.0</v>
      </c>
      <c r="O101" s="36">
        <v>29.0</v>
      </c>
      <c r="P101" s="36">
        <v>75.0</v>
      </c>
      <c r="Q101" s="36">
        <v>0.39</v>
      </c>
      <c r="R101" s="36">
        <v>0.81</v>
      </c>
      <c r="S101" s="36">
        <v>1.25</v>
      </c>
      <c r="T101" s="36">
        <v>2.06</v>
      </c>
      <c r="U101" s="21">
        <f t="shared" si="4"/>
        <v>0.3932038835</v>
      </c>
      <c r="V101" s="21">
        <f t="shared" si="5"/>
        <v>2060</v>
      </c>
      <c r="W101" s="21">
        <f t="shared" si="6"/>
        <v>100</v>
      </c>
    </row>
    <row r="102" ht="14.25" customHeight="1">
      <c r="A102" s="38">
        <v>0.3111111111111111</v>
      </c>
      <c r="B102" s="36">
        <v>209.0</v>
      </c>
      <c r="C102" s="36">
        <v>36.1</v>
      </c>
      <c r="D102" s="36">
        <v>2019.0</v>
      </c>
      <c r="E102" s="36">
        <v>2089.0</v>
      </c>
      <c r="F102" s="36">
        <v>1.03</v>
      </c>
      <c r="G102" s="36">
        <v>29.0</v>
      </c>
      <c r="H102" s="36">
        <v>1.98</v>
      </c>
      <c r="I102" s="36">
        <v>57.4</v>
      </c>
      <c r="J102" s="36">
        <v>54.3</v>
      </c>
      <c r="K102" s="36">
        <v>126.0</v>
      </c>
      <c r="L102" s="36">
        <v>21.6</v>
      </c>
      <c r="M102" s="36">
        <v>105.0</v>
      </c>
      <c r="N102" s="36">
        <v>44.0</v>
      </c>
      <c r="O102" s="36">
        <v>29.0</v>
      </c>
      <c r="P102" s="36">
        <v>77.0</v>
      </c>
      <c r="Q102" s="36">
        <v>0.39</v>
      </c>
      <c r="R102" s="36">
        <v>0.81</v>
      </c>
      <c r="S102" s="36">
        <v>1.26</v>
      </c>
      <c r="T102" s="36">
        <v>2.07</v>
      </c>
      <c r="U102" s="21">
        <f t="shared" si="4"/>
        <v>0.3913043478</v>
      </c>
      <c r="V102" s="21">
        <f t="shared" si="5"/>
        <v>2070</v>
      </c>
      <c r="W102" s="21">
        <f t="shared" si="6"/>
        <v>100</v>
      </c>
    </row>
    <row r="103" ht="14.25" customHeight="1">
      <c r="A103" s="38">
        <v>0.31319444444444444</v>
      </c>
      <c r="B103" s="36">
        <v>211.0</v>
      </c>
      <c r="C103" s="36">
        <v>36.9</v>
      </c>
      <c r="D103" s="36">
        <v>2068.0</v>
      </c>
      <c r="E103" s="36">
        <v>2167.0</v>
      </c>
      <c r="F103" s="36">
        <v>1.05</v>
      </c>
      <c r="G103" s="36">
        <v>29.0</v>
      </c>
      <c r="H103" s="36">
        <v>2.08</v>
      </c>
      <c r="I103" s="36">
        <v>59.9</v>
      </c>
      <c r="J103" s="36">
        <v>52.3</v>
      </c>
      <c r="K103" s="36">
        <v>127.0</v>
      </c>
      <c r="L103" s="36">
        <v>21.1</v>
      </c>
      <c r="M103" s="36">
        <v>105.0</v>
      </c>
      <c r="N103" s="36">
        <v>44.0</v>
      </c>
      <c r="O103" s="36">
        <v>29.0</v>
      </c>
      <c r="P103" s="36">
        <v>79.0</v>
      </c>
      <c r="Q103" s="36">
        <v>0.39</v>
      </c>
      <c r="R103" s="36">
        <v>0.81</v>
      </c>
      <c r="S103" s="36">
        <v>1.27</v>
      </c>
      <c r="T103" s="36">
        <v>2.08</v>
      </c>
      <c r="U103" s="21">
        <f t="shared" si="4"/>
        <v>0.3894230769</v>
      </c>
      <c r="V103" s="21">
        <f t="shared" si="5"/>
        <v>2080</v>
      </c>
      <c r="W103" s="21">
        <f t="shared" si="6"/>
        <v>100</v>
      </c>
    </row>
    <row r="104" ht="14.25" customHeight="1">
      <c r="A104" s="38">
        <v>0.3145833333333333</v>
      </c>
      <c r="B104" s="36">
        <v>212.0</v>
      </c>
      <c r="C104" s="36">
        <v>36.8</v>
      </c>
      <c r="D104" s="36">
        <v>2063.0</v>
      </c>
      <c r="E104" s="36">
        <v>2187.0</v>
      </c>
      <c r="F104" s="36">
        <v>1.06</v>
      </c>
      <c r="G104" s="36">
        <v>29.0</v>
      </c>
      <c r="H104" s="36">
        <v>2.12</v>
      </c>
      <c r="I104" s="36">
        <v>61.2</v>
      </c>
      <c r="J104" s="36">
        <v>51.3</v>
      </c>
      <c r="K104" s="36">
        <v>127.0</v>
      </c>
      <c r="L104" s="36">
        <v>20.9</v>
      </c>
      <c r="M104" s="36">
        <v>106.0</v>
      </c>
      <c r="N104" s="36">
        <v>43.0</v>
      </c>
      <c r="O104" s="36">
        <v>29.0</v>
      </c>
      <c r="P104" s="36">
        <v>78.0</v>
      </c>
      <c r="Q104" s="36">
        <v>0.39</v>
      </c>
      <c r="R104" s="36">
        <v>0.81</v>
      </c>
      <c r="S104" s="36">
        <v>1.26</v>
      </c>
      <c r="T104" s="36">
        <v>2.07</v>
      </c>
      <c r="U104" s="21">
        <f t="shared" si="4"/>
        <v>0.3913043478</v>
      </c>
      <c r="V104" s="21">
        <f t="shared" si="5"/>
        <v>2070</v>
      </c>
      <c r="W104" s="21">
        <f t="shared" si="6"/>
        <v>100</v>
      </c>
    </row>
    <row r="105" ht="14.25" customHeight="1">
      <c r="A105" s="38">
        <v>0.3159722222222222</v>
      </c>
      <c r="B105" s="36">
        <v>214.0</v>
      </c>
      <c r="C105" s="36">
        <v>37.3</v>
      </c>
      <c r="D105" s="36">
        <v>2089.0</v>
      </c>
      <c r="E105" s="36">
        <v>2251.0</v>
      </c>
      <c r="F105" s="36">
        <v>1.08</v>
      </c>
      <c r="G105" s="36">
        <v>29.0</v>
      </c>
      <c r="H105" s="36">
        <v>2.19</v>
      </c>
      <c r="I105" s="36">
        <v>63.3</v>
      </c>
      <c r="J105" s="36">
        <v>49.6</v>
      </c>
      <c r="K105" s="36">
        <v>127.0</v>
      </c>
      <c r="L105" s="36">
        <v>21.1</v>
      </c>
      <c r="M105" s="36">
        <v>107.0</v>
      </c>
      <c r="N105" s="36">
        <v>43.0</v>
      </c>
      <c r="O105" s="36">
        <v>29.0</v>
      </c>
      <c r="P105" s="36">
        <v>79.0</v>
      </c>
      <c r="Q105" s="36">
        <v>0.39</v>
      </c>
      <c r="R105" s="36">
        <v>0.82</v>
      </c>
      <c r="S105" s="36">
        <v>1.26</v>
      </c>
      <c r="T105" s="36">
        <v>2.08</v>
      </c>
      <c r="U105" s="21">
        <f t="shared" si="4"/>
        <v>0.3942307692</v>
      </c>
      <c r="V105" s="21">
        <f t="shared" si="5"/>
        <v>2080</v>
      </c>
      <c r="W105" s="21">
        <f t="shared" si="6"/>
        <v>0</v>
      </c>
    </row>
    <row r="106" ht="14.25" customHeight="1">
      <c r="A106" s="38">
        <v>0.3173611111111111</v>
      </c>
      <c r="B106" s="36">
        <v>215.0</v>
      </c>
      <c r="C106" s="36">
        <v>37.3</v>
      </c>
      <c r="D106" s="36">
        <v>2090.0</v>
      </c>
      <c r="E106" s="36">
        <v>2251.0</v>
      </c>
      <c r="F106" s="36">
        <v>1.08</v>
      </c>
      <c r="G106" s="36">
        <v>29.0</v>
      </c>
      <c r="H106" s="36">
        <v>2.19</v>
      </c>
      <c r="I106" s="36">
        <v>63.3</v>
      </c>
      <c r="J106" s="36">
        <v>49.6</v>
      </c>
      <c r="K106" s="36">
        <v>127.0</v>
      </c>
      <c r="L106" s="36">
        <v>20.9</v>
      </c>
      <c r="M106" s="36">
        <v>107.0</v>
      </c>
      <c r="N106" s="36">
        <v>43.0</v>
      </c>
      <c r="O106" s="36">
        <v>29.0</v>
      </c>
      <c r="P106" s="36">
        <v>79.0</v>
      </c>
      <c r="Q106" s="36">
        <v>0.39</v>
      </c>
      <c r="R106" s="36">
        <v>0.82</v>
      </c>
      <c r="S106" s="36">
        <v>1.26</v>
      </c>
      <c r="T106" s="36">
        <v>2.08</v>
      </c>
      <c r="U106" s="21">
        <f t="shared" si="4"/>
        <v>0.3942307692</v>
      </c>
      <c r="V106" s="21">
        <f t="shared" si="5"/>
        <v>2080</v>
      </c>
      <c r="W106" s="21">
        <f t="shared" si="6"/>
        <v>0</v>
      </c>
    </row>
    <row r="107" ht="14.25" customHeight="1">
      <c r="A107" s="38">
        <v>0.31875</v>
      </c>
      <c r="B107" s="36">
        <v>216.0</v>
      </c>
      <c r="C107" s="36">
        <v>37.0</v>
      </c>
      <c r="D107" s="36">
        <v>2071.0</v>
      </c>
      <c r="E107" s="36">
        <v>2274.0</v>
      </c>
      <c r="F107" s="36">
        <v>1.1</v>
      </c>
      <c r="G107" s="36">
        <v>29.0</v>
      </c>
      <c r="H107" s="36">
        <v>2.24</v>
      </c>
      <c r="I107" s="36">
        <v>64.7</v>
      </c>
      <c r="J107" s="36">
        <v>48.5</v>
      </c>
      <c r="K107" s="36">
        <v>128.0</v>
      </c>
      <c r="L107" s="36">
        <v>20.7</v>
      </c>
      <c r="M107" s="36">
        <v>108.0</v>
      </c>
      <c r="N107" s="36">
        <v>42.0</v>
      </c>
      <c r="O107" s="36">
        <v>29.0</v>
      </c>
      <c r="P107" s="36">
        <v>79.0</v>
      </c>
      <c r="Q107" s="36">
        <v>0.39</v>
      </c>
      <c r="R107" s="36">
        <v>0.81</v>
      </c>
      <c r="S107" s="36">
        <v>1.27</v>
      </c>
      <c r="T107" s="36">
        <v>2.08</v>
      </c>
      <c r="U107" s="21">
        <f t="shared" si="4"/>
        <v>0.3894230769</v>
      </c>
      <c r="V107" s="21">
        <f t="shared" si="5"/>
        <v>2080</v>
      </c>
      <c r="W107" s="21">
        <f t="shared" si="6"/>
        <v>0</v>
      </c>
    </row>
    <row r="108" ht="14.25" customHeight="1">
      <c r="A108" s="38">
        <v>0.32013888888888886</v>
      </c>
      <c r="B108" s="36">
        <v>218.0</v>
      </c>
      <c r="C108" s="36">
        <v>37.2</v>
      </c>
      <c r="D108" s="36">
        <v>2081.0</v>
      </c>
      <c r="E108" s="36">
        <v>2288.0</v>
      </c>
      <c r="F108" s="36">
        <v>1.1</v>
      </c>
      <c r="G108" s="36">
        <v>29.0</v>
      </c>
      <c r="H108" s="36">
        <v>2.26</v>
      </c>
      <c r="I108" s="36">
        <v>65.3</v>
      </c>
      <c r="J108" s="36">
        <v>48.0</v>
      </c>
      <c r="K108" s="36">
        <v>127.0</v>
      </c>
      <c r="L108" s="36">
        <v>20.9</v>
      </c>
      <c r="M108" s="36">
        <v>108.0</v>
      </c>
      <c r="N108" s="36">
        <v>42.0</v>
      </c>
      <c r="O108" s="36">
        <v>29.0</v>
      </c>
      <c r="P108" s="36">
        <v>79.0</v>
      </c>
      <c r="Q108" s="36">
        <v>0.39</v>
      </c>
      <c r="R108" s="36">
        <v>0.81</v>
      </c>
      <c r="S108" s="36">
        <v>1.26</v>
      </c>
      <c r="T108" s="36">
        <v>2.08</v>
      </c>
      <c r="U108" s="21">
        <f t="shared" si="4"/>
        <v>0.3894230769</v>
      </c>
      <c r="V108" s="21">
        <f t="shared" si="5"/>
        <v>2080</v>
      </c>
      <c r="W108" s="21">
        <f t="shared" si="6"/>
        <v>100</v>
      </c>
    </row>
    <row r="109" ht="14.25" customHeight="1">
      <c r="A109" s="38">
        <v>0.3215277777777778</v>
      </c>
      <c r="B109" s="36">
        <v>219.0</v>
      </c>
      <c r="C109" s="36">
        <v>36.9</v>
      </c>
      <c r="D109" s="36">
        <v>2066.0</v>
      </c>
      <c r="E109" s="36">
        <v>2316.0</v>
      </c>
      <c r="F109" s="36">
        <v>1.12</v>
      </c>
      <c r="G109" s="36">
        <v>29.0</v>
      </c>
      <c r="H109" s="36">
        <v>2.3</v>
      </c>
      <c r="I109" s="36">
        <v>66.6</v>
      </c>
      <c r="J109" s="36">
        <v>47.0</v>
      </c>
      <c r="K109" s="36">
        <v>127.0</v>
      </c>
      <c r="L109" s="36">
        <v>20.9</v>
      </c>
      <c r="M109" s="36">
        <v>109.0</v>
      </c>
      <c r="N109" s="36">
        <v>42.0</v>
      </c>
      <c r="O109" s="36">
        <v>29.0</v>
      </c>
      <c r="P109" s="36">
        <v>79.0</v>
      </c>
      <c r="Q109" s="36">
        <v>0.39</v>
      </c>
      <c r="R109" s="36">
        <v>0.81</v>
      </c>
      <c r="S109" s="36">
        <v>1.26</v>
      </c>
      <c r="T109" s="36">
        <v>2.07</v>
      </c>
      <c r="U109" s="21">
        <f t="shared" si="4"/>
        <v>0.3913043478</v>
      </c>
      <c r="V109" s="21">
        <f t="shared" si="5"/>
        <v>2070</v>
      </c>
      <c r="W109" s="21">
        <f t="shared" si="6"/>
        <v>0</v>
      </c>
    </row>
    <row r="110" ht="14.25" customHeight="1">
      <c r="A110" s="38">
        <v>0.3229166666666667</v>
      </c>
      <c r="B110" s="36">
        <v>221.0</v>
      </c>
      <c r="C110" s="36">
        <v>36.4</v>
      </c>
      <c r="D110" s="36">
        <v>2037.0</v>
      </c>
      <c r="E110" s="36">
        <v>2319.0</v>
      </c>
      <c r="F110" s="36">
        <v>1.14</v>
      </c>
      <c r="G110" s="36">
        <v>29.0</v>
      </c>
      <c r="H110" s="36">
        <v>2.31</v>
      </c>
      <c r="I110" s="36">
        <v>66.8</v>
      </c>
      <c r="J110" s="36">
        <v>46.8</v>
      </c>
      <c r="K110" s="36">
        <v>129.0</v>
      </c>
      <c r="L110" s="36">
        <v>19.7</v>
      </c>
      <c r="M110" s="36">
        <v>109.0</v>
      </c>
      <c r="N110" s="36">
        <v>42.0</v>
      </c>
      <c r="O110" s="36">
        <v>29.0</v>
      </c>
      <c r="P110" s="36">
        <v>77.0</v>
      </c>
      <c r="Q110" s="36">
        <v>0.39</v>
      </c>
      <c r="R110" s="36">
        <v>0.82</v>
      </c>
      <c r="S110" s="36">
        <v>1.25</v>
      </c>
      <c r="T110" s="36">
        <v>2.07</v>
      </c>
      <c r="U110" s="21">
        <f t="shared" si="4"/>
        <v>0.3961352657</v>
      </c>
      <c r="V110" s="21">
        <f t="shared" si="5"/>
        <v>2070</v>
      </c>
      <c r="W110" s="21">
        <f t="shared" si="6"/>
        <v>0</v>
      </c>
    </row>
    <row r="111" ht="14.25" customHeight="1">
      <c r="A111" s="38">
        <v>0.32430555555555557</v>
      </c>
      <c r="B111" s="36">
        <v>222.0</v>
      </c>
      <c r="C111" s="36">
        <v>36.5</v>
      </c>
      <c r="D111" s="36">
        <v>2042.0</v>
      </c>
      <c r="E111" s="36">
        <v>2344.0</v>
      </c>
      <c r="F111" s="36">
        <v>1.15</v>
      </c>
      <c r="G111" s="36">
        <v>29.0</v>
      </c>
      <c r="H111" s="36">
        <v>2.32</v>
      </c>
      <c r="I111" s="36">
        <v>67.2</v>
      </c>
      <c r="J111" s="36">
        <v>46.5</v>
      </c>
      <c r="K111" s="36">
        <v>129.0</v>
      </c>
      <c r="L111" s="36">
        <v>20.0</v>
      </c>
      <c r="M111" s="36">
        <v>109.0</v>
      </c>
      <c r="N111" s="36">
        <v>42.0</v>
      </c>
      <c r="O111" s="36">
        <v>29.0</v>
      </c>
      <c r="P111" s="36">
        <v>78.0</v>
      </c>
      <c r="Q111" s="36">
        <v>0.4</v>
      </c>
      <c r="R111" s="36">
        <v>0.82</v>
      </c>
      <c r="S111" s="36">
        <v>1.25</v>
      </c>
      <c r="T111" s="36">
        <v>2.07</v>
      </c>
      <c r="U111" s="21">
        <f t="shared" si="4"/>
        <v>0.3961352657</v>
      </c>
      <c r="V111" s="21">
        <f t="shared" si="5"/>
        <v>2070</v>
      </c>
      <c r="W111" s="21">
        <f t="shared" si="6"/>
        <v>6400</v>
      </c>
    </row>
    <row r="112" ht="14.25" customHeight="1">
      <c r="A112" s="38">
        <v>0.32569444444444445</v>
      </c>
      <c r="B112" s="36">
        <v>223.0</v>
      </c>
      <c r="C112" s="36">
        <v>36.2</v>
      </c>
      <c r="D112" s="36">
        <v>2025.0</v>
      </c>
      <c r="E112" s="36">
        <v>2334.0</v>
      </c>
      <c r="F112" s="36">
        <v>1.15</v>
      </c>
      <c r="G112" s="36">
        <v>30.0</v>
      </c>
      <c r="H112" s="36">
        <v>2.23</v>
      </c>
      <c r="I112" s="36">
        <v>67.3</v>
      </c>
      <c r="J112" s="36">
        <v>46.4</v>
      </c>
      <c r="K112" s="36">
        <v>131.0</v>
      </c>
      <c r="L112" s="36">
        <v>18.5</v>
      </c>
      <c r="M112" s="36">
        <v>110.0</v>
      </c>
      <c r="N112" s="36">
        <v>42.0</v>
      </c>
      <c r="O112" s="36">
        <v>30.0</v>
      </c>
      <c r="P112" s="36">
        <v>77.0</v>
      </c>
      <c r="Q112" s="36">
        <v>0.4</v>
      </c>
      <c r="R112" s="36">
        <v>0.79</v>
      </c>
      <c r="S112" s="36">
        <v>1.2</v>
      </c>
      <c r="T112" s="36">
        <v>1.99</v>
      </c>
      <c r="U112" s="21">
        <f t="shared" si="4"/>
        <v>0.3969849246</v>
      </c>
      <c r="V112" s="21">
        <f t="shared" si="5"/>
        <v>1990</v>
      </c>
      <c r="W112" s="21">
        <f t="shared" si="6"/>
        <v>0</v>
      </c>
    </row>
    <row r="113" ht="14.25" customHeight="1">
      <c r="A113" s="38">
        <v>0.3263888888888889</v>
      </c>
      <c r="B113" s="36">
        <v>224.0</v>
      </c>
      <c r="C113" s="36">
        <v>36.2</v>
      </c>
      <c r="D113" s="36">
        <v>2026.0</v>
      </c>
      <c r="E113" s="36">
        <v>2334.0</v>
      </c>
      <c r="F113" s="36">
        <v>1.15</v>
      </c>
      <c r="G113" s="36">
        <v>30.0</v>
      </c>
      <c r="H113" s="36">
        <v>2.23</v>
      </c>
      <c r="I113" s="36">
        <v>67.3</v>
      </c>
      <c r="J113" s="36">
        <v>46.4</v>
      </c>
      <c r="K113" s="36">
        <v>130.0</v>
      </c>
      <c r="L113" s="36">
        <v>19.2</v>
      </c>
      <c r="M113" s="36">
        <v>110.0</v>
      </c>
      <c r="N113" s="36">
        <v>42.0</v>
      </c>
      <c r="O113" s="36">
        <v>30.0</v>
      </c>
      <c r="P113" s="36">
        <v>77.0</v>
      </c>
      <c r="Q113" s="36">
        <v>0.4</v>
      </c>
      <c r="R113" s="36">
        <v>0.79</v>
      </c>
      <c r="S113" s="36">
        <v>1.2</v>
      </c>
      <c r="T113" s="36">
        <v>1.99</v>
      </c>
      <c r="U113" s="21">
        <f t="shared" si="4"/>
        <v>0.3969849246</v>
      </c>
      <c r="V113" s="21">
        <f t="shared" si="5"/>
        <v>1990</v>
      </c>
      <c r="W113" s="21">
        <f t="shared" si="6"/>
        <v>36100</v>
      </c>
    </row>
    <row r="114" ht="14.25" customHeight="1">
      <c r="A114" s="38">
        <v>0.32708333333333334</v>
      </c>
      <c r="B114" s="36">
        <v>225.0</v>
      </c>
      <c r="C114" s="36">
        <v>35.6</v>
      </c>
      <c r="D114" s="36">
        <v>1992.0</v>
      </c>
      <c r="E114" s="36">
        <v>2304.0</v>
      </c>
      <c r="F114" s="36">
        <v>1.16</v>
      </c>
      <c r="G114" s="36">
        <v>33.0</v>
      </c>
      <c r="H114" s="36">
        <v>2.02</v>
      </c>
      <c r="I114" s="36">
        <v>67.2</v>
      </c>
      <c r="J114" s="36">
        <v>46.5</v>
      </c>
      <c r="K114" s="36">
        <v>133.0</v>
      </c>
      <c r="L114" s="36">
        <v>17.2</v>
      </c>
      <c r="M114" s="36">
        <v>110.0</v>
      </c>
      <c r="N114" s="36">
        <v>42.0</v>
      </c>
      <c r="O114" s="36">
        <v>33.0</v>
      </c>
      <c r="P114" s="36">
        <v>76.0</v>
      </c>
      <c r="Q114" s="36">
        <v>0.4</v>
      </c>
      <c r="R114" s="36">
        <v>0.71</v>
      </c>
      <c r="S114" s="36">
        <v>1.09</v>
      </c>
      <c r="T114" s="36">
        <v>1.8</v>
      </c>
      <c r="U114" s="21">
        <f t="shared" si="4"/>
        <v>0.3944444444</v>
      </c>
      <c r="V114" s="21">
        <f t="shared" si="5"/>
        <v>1800</v>
      </c>
      <c r="W114" s="21">
        <f t="shared" si="6"/>
        <v>36100</v>
      </c>
    </row>
    <row r="115" ht="14.25" customHeight="1">
      <c r="A115" s="38">
        <v>0.3277777777777778</v>
      </c>
      <c r="B115" s="36">
        <v>225.0</v>
      </c>
      <c r="C115" s="36">
        <v>34.7</v>
      </c>
      <c r="D115" s="36">
        <v>1945.0</v>
      </c>
      <c r="E115" s="36">
        <v>2241.0</v>
      </c>
      <c r="F115" s="36">
        <v>1.15</v>
      </c>
      <c r="G115" s="36">
        <v>37.0</v>
      </c>
      <c r="H115" s="36">
        <v>1.77</v>
      </c>
      <c r="I115" s="36">
        <v>65.9</v>
      </c>
      <c r="J115" s="36">
        <v>47.6</v>
      </c>
      <c r="K115" s="36">
        <v>133.0</v>
      </c>
      <c r="L115" s="36">
        <v>17.2</v>
      </c>
      <c r="M115" s="36">
        <v>110.0</v>
      </c>
      <c r="N115" s="36">
        <v>41.0</v>
      </c>
      <c r="O115" s="36">
        <v>37.0</v>
      </c>
      <c r="P115" s="36">
        <v>74.0</v>
      </c>
      <c r="Q115" s="36">
        <v>0.39</v>
      </c>
      <c r="R115" s="36">
        <v>0.63</v>
      </c>
      <c r="S115" s="36">
        <v>0.98</v>
      </c>
      <c r="T115" s="36">
        <v>1.61</v>
      </c>
      <c r="U115" s="21">
        <f t="shared" si="4"/>
        <v>0.3913043478</v>
      </c>
      <c r="V115" s="21">
        <f t="shared" si="5"/>
        <v>1610</v>
      </c>
      <c r="W115" s="21">
        <f t="shared" si="6"/>
        <v>0</v>
      </c>
    </row>
    <row r="116" ht="14.25" customHeight="1">
      <c r="A116" s="38">
        <v>0.3284722222222222</v>
      </c>
      <c r="B116" s="36">
        <v>225.0</v>
      </c>
      <c r="C116" s="36">
        <v>34.7</v>
      </c>
      <c r="D116" s="36">
        <v>1945.0</v>
      </c>
      <c r="E116" s="36">
        <v>2241.0</v>
      </c>
      <c r="F116" s="36">
        <v>1.15</v>
      </c>
      <c r="G116" s="36">
        <v>37.0</v>
      </c>
      <c r="H116" s="36">
        <v>1.77</v>
      </c>
      <c r="I116" s="36">
        <v>65.9</v>
      </c>
      <c r="J116" s="36">
        <v>47.6</v>
      </c>
      <c r="K116" s="36">
        <v>134.0</v>
      </c>
      <c r="L116" s="36">
        <v>17.0</v>
      </c>
      <c r="M116" s="36">
        <v>110.0</v>
      </c>
      <c r="N116" s="36">
        <v>41.0</v>
      </c>
      <c r="O116" s="36">
        <v>37.0</v>
      </c>
      <c r="P116" s="36">
        <v>74.0</v>
      </c>
      <c r="Q116" s="36">
        <v>0.39</v>
      </c>
      <c r="R116" s="36">
        <v>0.63</v>
      </c>
      <c r="S116" s="36">
        <v>0.98</v>
      </c>
      <c r="T116" s="36">
        <v>1.61</v>
      </c>
      <c r="U116" s="21">
        <f t="shared" si="4"/>
        <v>0.3913043478</v>
      </c>
      <c r="V116" s="21">
        <f t="shared" si="5"/>
        <v>1610</v>
      </c>
      <c r="W116" s="21">
        <f t="shared" si="6"/>
        <v>44100</v>
      </c>
    </row>
    <row r="117" ht="14.25" customHeight="1">
      <c r="A117" s="38">
        <v>0.32916666666666666</v>
      </c>
      <c r="B117" s="36">
        <v>227.0</v>
      </c>
      <c r="C117" s="36">
        <v>35.1</v>
      </c>
      <c r="D117" s="36">
        <v>1965.0</v>
      </c>
      <c r="E117" s="36">
        <v>2234.0</v>
      </c>
      <c r="F117" s="36">
        <v>1.14</v>
      </c>
      <c r="G117" s="36">
        <v>43.0</v>
      </c>
      <c r="H117" s="36">
        <v>1.54</v>
      </c>
      <c r="I117" s="36">
        <v>65.9</v>
      </c>
      <c r="J117" s="36">
        <v>47.5</v>
      </c>
      <c r="K117" s="36">
        <v>134.0</v>
      </c>
      <c r="L117" s="36">
        <v>16.8</v>
      </c>
      <c r="M117" s="36">
        <v>110.0</v>
      </c>
      <c r="N117" s="36">
        <v>41.0</v>
      </c>
      <c r="O117" s="36">
        <v>43.0</v>
      </c>
      <c r="P117" s="36">
        <v>75.0</v>
      </c>
      <c r="Q117" s="36">
        <v>0.38</v>
      </c>
      <c r="R117" s="36">
        <v>0.54</v>
      </c>
      <c r="S117" s="36">
        <v>0.87</v>
      </c>
      <c r="T117" s="36">
        <v>1.4</v>
      </c>
      <c r="U117" s="21">
        <f t="shared" si="4"/>
        <v>0.3857142857</v>
      </c>
      <c r="V117" s="21">
        <f t="shared" si="5"/>
        <v>1400</v>
      </c>
      <c r="W117" s="21">
        <f t="shared" si="6"/>
        <v>40000</v>
      </c>
    </row>
    <row r="118" ht="14.25" customHeight="1">
      <c r="A118" s="38">
        <v>0.33055555555555555</v>
      </c>
      <c r="B118" s="36">
        <v>227.0</v>
      </c>
      <c r="C118" s="36">
        <v>35.6</v>
      </c>
      <c r="D118" s="36">
        <v>1996.0</v>
      </c>
      <c r="E118" s="36">
        <v>2229.0</v>
      </c>
      <c r="F118" s="36">
        <v>1.12</v>
      </c>
      <c r="G118" s="36">
        <v>50.0</v>
      </c>
      <c r="H118" s="36">
        <v>1.33</v>
      </c>
      <c r="I118" s="36">
        <v>66.4</v>
      </c>
      <c r="J118" s="36">
        <v>47.1</v>
      </c>
      <c r="K118" s="36">
        <v>134.0</v>
      </c>
      <c r="L118" s="36">
        <v>16.6</v>
      </c>
      <c r="M118" s="36">
        <v>110.0</v>
      </c>
      <c r="N118" s="36">
        <v>41.0</v>
      </c>
      <c r="O118" s="36">
        <v>50.0</v>
      </c>
      <c r="P118" s="36">
        <v>76.0</v>
      </c>
      <c r="Q118" s="36">
        <v>0.37</v>
      </c>
      <c r="R118" s="36">
        <v>0.45</v>
      </c>
      <c r="S118" s="36">
        <v>0.75</v>
      </c>
      <c r="T118" s="36">
        <v>1.2</v>
      </c>
      <c r="U118" s="21">
        <f t="shared" si="4"/>
        <v>0.375</v>
      </c>
      <c r="V118" s="21">
        <f t="shared" si="5"/>
        <v>1200</v>
      </c>
      <c r="W118" s="21">
        <f t="shared" si="6"/>
        <v>12100</v>
      </c>
    </row>
    <row r="119" ht="14.25" customHeight="1">
      <c r="A119" s="38">
        <v>0.33125</v>
      </c>
      <c r="B119" s="36">
        <v>227.0</v>
      </c>
      <c r="C119" s="36">
        <v>36.4</v>
      </c>
      <c r="D119" s="36">
        <v>2041.0</v>
      </c>
      <c r="E119" s="36">
        <v>2248.0</v>
      </c>
      <c r="F119" s="36">
        <v>1.1</v>
      </c>
      <c r="G119" s="36">
        <v>55.0</v>
      </c>
      <c r="H119" s="36">
        <v>1.23</v>
      </c>
      <c r="I119" s="36">
        <v>67.5</v>
      </c>
      <c r="J119" s="36">
        <v>46.3</v>
      </c>
      <c r="K119" s="36">
        <v>135.0</v>
      </c>
      <c r="L119" s="36">
        <v>16.3</v>
      </c>
      <c r="M119" s="36">
        <v>109.0</v>
      </c>
      <c r="N119" s="36">
        <v>42.0</v>
      </c>
      <c r="O119" s="36">
        <v>55.0</v>
      </c>
      <c r="P119" s="36">
        <v>78.0</v>
      </c>
      <c r="Q119" s="36">
        <v>0.37</v>
      </c>
      <c r="R119" s="36">
        <v>0.4</v>
      </c>
      <c r="S119" s="36">
        <v>0.69</v>
      </c>
      <c r="T119" s="36">
        <v>1.09</v>
      </c>
      <c r="U119" s="21">
        <f t="shared" si="4"/>
        <v>0.3669724771</v>
      </c>
      <c r="V119" s="21">
        <f t="shared" si="5"/>
        <v>1090</v>
      </c>
      <c r="W119" s="21">
        <f t="shared" si="6"/>
        <v>400</v>
      </c>
    </row>
    <row r="120" ht="14.25" customHeight="1">
      <c r="A120" s="38">
        <v>0.33194444444444443</v>
      </c>
      <c r="B120" s="36">
        <v>229.0</v>
      </c>
      <c r="C120" s="36">
        <v>37.1</v>
      </c>
      <c r="D120" s="36">
        <v>2077.0</v>
      </c>
      <c r="E120" s="36">
        <v>2276.0</v>
      </c>
      <c r="F120" s="36">
        <v>1.1</v>
      </c>
      <c r="G120" s="36">
        <v>54.0</v>
      </c>
      <c r="H120" s="36">
        <v>1.27</v>
      </c>
      <c r="I120" s="36">
        <v>68.3</v>
      </c>
      <c r="J120" s="36">
        <v>45.6</v>
      </c>
      <c r="K120" s="36">
        <v>134.0</v>
      </c>
      <c r="L120" s="36">
        <v>16.8</v>
      </c>
      <c r="M120" s="36">
        <v>109.0</v>
      </c>
      <c r="N120" s="36">
        <v>42.0</v>
      </c>
      <c r="O120" s="36">
        <v>54.0</v>
      </c>
      <c r="P120" s="36">
        <v>79.0</v>
      </c>
      <c r="Q120" s="36">
        <v>0.38</v>
      </c>
      <c r="R120" s="36">
        <v>0.42</v>
      </c>
      <c r="S120" s="36">
        <v>0.69</v>
      </c>
      <c r="T120" s="36">
        <v>1.11</v>
      </c>
      <c r="U120" s="21">
        <f t="shared" si="4"/>
        <v>0.3783783784</v>
      </c>
      <c r="V120" s="21">
        <f t="shared" si="5"/>
        <v>1110</v>
      </c>
      <c r="W120" s="21">
        <f t="shared" si="6"/>
        <v>100</v>
      </c>
    </row>
    <row r="121" ht="14.25" customHeight="1">
      <c r="A121" s="38">
        <v>0.3326388888888889</v>
      </c>
      <c r="B121" s="36">
        <v>229.0</v>
      </c>
      <c r="C121" s="36">
        <v>37.9</v>
      </c>
      <c r="D121" s="36">
        <v>2120.0</v>
      </c>
      <c r="E121" s="36">
        <v>2300.0</v>
      </c>
      <c r="F121" s="36">
        <v>1.08</v>
      </c>
      <c r="G121" s="36">
        <v>54.0</v>
      </c>
      <c r="H121" s="36">
        <v>1.28</v>
      </c>
      <c r="I121" s="36">
        <v>69.0</v>
      </c>
      <c r="J121" s="36">
        <v>45.1</v>
      </c>
      <c r="K121" s="36">
        <v>134.0</v>
      </c>
      <c r="L121" s="36">
        <v>16.8</v>
      </c>
      <c r="M121" s="36">
        <v>109.0</v>
      </c>
      <c r="N121" s="36">
        <v>42.0</v>
      </c>
      <c r="O121" s="36">
        <v>54.0</v>
      </c>
      <c r="P121" s="36">
        <v>81.0</v>
      </c>
      <c r="Q121" s="36">
        <v>0.39</v>
      </c>
      <c r="R121" s="36">
        <v>0.43</v>
      </c>
      <c r="S121" s="36">
        <v>0.68</v>
      </c>
      <c r="T121" s="36">
        <v>1.12</v>
      </c>
      <c r="U121" s="21">
        <f t="shared" si="4"/>
        <v>0.3839285714</v>
      </c>
      <c r="V121" s="21">
        <f t="shared" si="5"/>
        <v>1120</v>
      </c>
      <c r="W121" s="21">
        <f t="shared" si="6"/>
        <v>400</v>
      </c>
    </row>
    <row r="122" ht="14.25" customHeight="1">
      <c r="A122" s="38">
        <v>0.3333333333333333</v>
      </c>
      <c r="B122" s="36">
        <v>231.0</v>
      </c>
      <c r="C122" s="36">
        <v>38.6</v>
      </c>
      <c r="D122" s="36">
        <v>2159.0</v>
      </c>
      <c r="E122" s="36">
        <v>2337.0</v>
      </c>
      <c r="F122" s="36">
        <v>1.08</v>
      </c>
      <c r="G122" s="36">
        <v>55.0</v>
      </c>
      <c r="H122" s="36">
        <v>1.28</v>
      </c>
      <c r="I122" s="36">
        <v>69.8</v>
      </c>
      <c r="J122" s="36">
        <v>44.4</v>
      </c>
      <c r="K122" s="36">
        <v>134.0</v>
      </c>
      <c r="L122" s="36">
        <v>16.6</v>
      </c>
      <c r="M122" s="36">
        <v>109.0</v>
      </c>
      <c r="N122" s="36">
        <v>42.0</v>
      </c>
      <c r="O122" s="36">
        <v>55.0</v>
      </c>
      <c r="P122" s="36">
        <v>82.0</v>
      </c>
      <c r="Q122" s="36">
        <v>0.38</v>
      </c>
      <c r="R122" s="36">
        <v>0.42</v>
      </c>
      <c r="S122" s="36">
        <v>0.68</v>
      </c>
      <c r="T122" s="36">
        <v>1.1</v>
      </c>
      <c r="U122" s="21">
        <f t="shared" si="4"/>
        <v>0.3818181818</v>
      </c>
      <c r="V122" s="21">
        <f t="shared" si="5"/>
        <v>1100</v>
      </c>
      <c r="W122" s="21">
        <f t="shared" si="6"/>
        <v>0</v>
      </c>
    </row>
    <row r="123" ht="14.25" customHeight="1">
      <c r="A123" s="38">
        <v>0.33402777777777776</v>
      </c>
      <c r="B123" s="36">
        <v>231.0</v>
      </c>
      <c r="C123" s="36">
        <v>38.6</v>
      </c>
      <c r="D123" s="36">
        <v>2164.0</v>
      </c>
      <c r="E123" s="36">
        <v>2343.0</v>
      </c>
      <c r="F123" s="36">
        <v>1.08</v>
      </c>
      <c r="G123" s="36">
        <v>55.0</v>
      </c>
      <c r="H123" s="36">
        <v>1.31</v>
      </c>
      <c r="I123" s="36">
        <v>71.2</v>
      </c>
      <c r="J123" s="36">
        <v>43.3</v>
      </c>
      <c r="K123" s="36">
        <v>135.0</v>
      </c>
      <c r="L123" s="36">
        <v>16.3</v>
      </c>
      <c r="M123" s="36">
        <v>110.0</v>
      </c>
      <c r="N123" s="36">
        <v>41.0</v>
      </c>
      <c r="O123" s="36">
        <v>55.0</v>
      </c>
      <c r="P123" s="36">
        <v>82.0</v>
      </c>
      <c r="Q123" s="36">
        <v>0.39</v>
      </c>
      <c r="R123" s="36">
        <v>0.42</v>
      </c>
      <c r="S123" s="36">
        <v>0.68</v>
      </c>
      <c r="T123" s="36">
        <v>1.1</v>
      </c>
      <c r="U123" s="21">
        <f t="shared" si="4"/>
        <v>0.3818181818</v>
      </c>
      <c r="V123" s="21">
        <f t="shared" si="5"/>
        <v>1100</v>
      </c>
      <c r="W123" s="21">
        <f t="shared" si="6"/>
        <v>100</v>
      </c>
    </row>
    <row r="124" ht="14.25" customHeight="1">
      <c r="A124" s="38">
        <v>0.3347222222222222</v>
      </c>
      <c r="B124" s="36">
        <v>231.0</v>
      </c>
      <c r="C124" s="36">
        <v>38.3</v>
      </c>
      <c r="D124" s="36">
        <v>2145.0</v>
      </c>
      <c r="E124" s="36">
        <v>2349.0</v>
      </c>
      <c r="F124" s="36">
        <v>1.09</v>
      </c>
      <c r="G124" s="36">
        <v>54.0</v>
      </c>
      <c r="H124" s="36">
        <v>1.34</v>
      </c>
      <c r="I124" s="36">
        <v>72.4</v>
      </c>
      <c r="J124" s="36">
        <v>42.4</v>
      </c>
      <c r="K124" s="36">
        <v>136.0</v>
      </c>
      <c r="L124" s="36">
        <v>15.7</v>
      </c>
      <c r="M124" s="36">
        <v>110.0</v>
      </c>
      <c r="N124" s="36">
        <v>41.0</v>
      </c>
      <c r="O124" s="36">
        <v>54.0</v>
      </c>
      <c r="P124" s="36">
        <v>82.0</v>
      </c>
      <c r="Q124" s="36">
        <v>0.39</v>
      </c>
      <c r="R124" s="36">
        <v>0.43</v>
      </c>
      <c r="S124" s="36">
        <v>0.68</v>
      </c>
      <c r="T124" s="36">
        <v>1.11</v>
      </c>
      <c r="U124" s="21">
        <f t="shared" si="4"/>
        <v>0.3873873874</v>
      </c>
      <c r="V124" s="21">
        <f t="shared" si="5"/>
        <v>1110</v>
      </c>
      <c r="W124" s="21">
        <f t="shared" si="6"/>
        <v>400</v>
      </c>
    </row>
    <row r="125" ht="14.25" customHeight="1">
      <c r="A125" s="38">
        <v>0.33541666666666664</v>
      </c>
      <c r="B125" s="36">
        <v>233.0</v>
      </c>
      <c r="C125" s="36">
        <v>38.7</v>
      </c>
      <c r="D125" s="36">
        <v>2169.0</v>
      </c>
      <c r="E125" s="36">
        <v>2391.0</v>
      </c>
      <c r="F125" s="36">
        <v>1.1</v>
      </c>
      <c r="G125" s="36">
        <v>55.0</v>
      </c>
      <c r="H125" s="36">
        <v>1.35</v>
      </c>
      <c r="I125" s="36">
        <v>74.1</v>
      </c>
      <c r="J125" s="36">
        <v>41.0</v>
      </c>
      <c r="K125" s="36">
        <v>135.0</v>
      </c>
      <c r="L125" s="36">
        <v>15.9</v>
      </c>
      <c r="M125" s="36">
        <v>111.0</v>
      </c>
      <c r="N125" s="36">
        <v>40.0</v>
      </c>
      <c r="O125" s="36">
        <v>55.0</v>
      </c>
      <c r="P125" s="36">
        <v>82.0</v>
      </c>
      <c r="Q125" s="36">
        <v>0.38</v>
      </c>
      <c r="R125" s="36">
        <v>0.42</v>
      </c>
      <c r="S125" s="36">
        <v>0.68</v>
      </c>
      <c r="T125" s="36">
        <v>1.09</v>
      </c>
      <c r="U125" s="21">
        <f t="shared" si="4"/>
        <v>0.3853211009</v>
      </c>
      <c r="V125" s="21">
        <f t="shared" si="5"/>
        <v>1090</v>
      </c>
      <c r="W125" s="21">
        <f t="shared" si="6"/>
        <v>100</v>
      </c>
    </row>
    <row r="126" ht="14.25" customHeight="1">
      <c r="A126" s="38">
        <v>0.3375</v>
      </c>
      <c r="B126" s="36">
        <v>233.0</v>
      </c>
      <c r="C126" s="36">
        <v>39.2</v>
      </c>
      <c r="D126" s="36">
        <v>2198.0</v>
      </c>
      <c r="E126" s="36">
        <v>2429.0</v>
      </c>
      <c r="F126" s="36">
        <v>1.11</v>
      </c>
      <c r="G126" s="36">
        <v>55.0</v>
      </c>
      <c r="H126" s="36">
        <v>1.38</v>
      </c>
      <c r="I126" s="36">
        <v>75.3</v>
      </c>
      <c r="J126" s="36">
        <v>40.1</v>
      </c>
      <c r="K126" s="36">
        <v>135.0</v>
      </c>
      <c r="L126" s="36">
        <v>15.9</v>
      </c>
      <c r="M126" s="36">
        <v>111.0</v>
      </c>
      <c r="N126" s="36">
        <v>40.0</v>
      </c>
      <c r="O126" s="36">
        <v>55.0</v>
      </c>
      <c r="P126" s="36">
        <v>84.0</v>
      </c>
      <c r="Q126" s="36">
        <v>0.38</v>
      </c>
      <c r="R126" s="36">
        <v>0.42</v>
      </c>
      <c r="S126" s="36">
        <v>0.68</v>
      </c>
      <c r="T126" s="36">
        <v>1.1</v>
      </c>
      <c r="U126" s="21">
        <f t="shared" si="4"/>
        <v>0.3818181818</v>
      </c>
      <c r="V126" s="21">
        <f t="shared" si="5"/>
        <v>1100</v>
      </c>
      <c r="W126" s="21">
        <f t="shared" si="6"/>
        <v>0</v>
      </c>
    </row>
    <row r="127" ht="14.25" customHeight="1">
      <c r="A127" s="38">
        <v>0.33819444444444446</v>
      </c>
      <c r="B127" s="36">
        <v>235.0</v>
      </c>
      <c r="C127" s="36">
        <v>39.3</v>
      </c>
      <c r="D127" s="36">
        <v>2198.0</v>
      </c>
      <c r="E127" s="36">
        <v>2429.0</v>
      </c>
      <c r="F127" s="36">
        <v>1.1</v>
      </c>
      <c r="G127" s="36">
        <v>55.0</v>
      </c>
      <c r="H127" s="36">
        <v>1.38</v>
      </c>
      <c r="I127" s="36">
        <v>75.3</v>
      </c>
      <c r="J127" s="36">
        <v>40.1</v>
      </c>
      <c r="K127" s="36">
        <v>135.0</v>
      </c>
      <c r="L127" s="36">
        <v>15.9</v>
      </c>
      <c r="M127" s="36">
        <v>111.0</v>
      </c>
      <c r="N127" s="36">
        <v>40.0</v>
      </c>
      <c r="O127" s="36">
        <v>55.0</v>
      </c>
      <c r="P127" s="36">
        <v>84.0</v>
      </c>
      <c r="Q127" s="36">
        <v>0.38</v>
      </c>
      <c r="R127" s="36">
        <v>0.42</v>
      </c>
      <c r="S127" s="36">
        <v>0.68</v>
      </c>
      <c r="T127" s="36">
        <v>1.1</v>
      </c>
      <c r="U127" s="21">
        <f t="shared" si="4"/>
        <v>0.3818181818</v>
      </c>
      <c r="V127" s="21">
        <f t="shared" si="5"/>
        <v>1100</v>
      </c>
      <c r="W127" s="21">
        <f t="shared" si="6"/>
        <v>400</v>
      </c>
    </row>
    <row r="128" ht="14.25" customHeight="1">
      <c r="A128" s="38">
        <v>0.3388888888888889</v>
      </c>
      <c r="B128" s="36">
        <v>235.0</v>
      </c>
      <c r="C128" s="36">
        <v>38.4</v>
      </c>
      <c r="D128" s="36">
        <v>2150.0</v>
      </c>
      <c r="E128" s="36">
        <v>2391.0</v>
      </c>
      <c r="F128" s="36">
        <v>1.11</v>
      </c>
      <c r="G128" s="36">
        <v>54.0</v>
      </c>
      <c r="H128" s="36">
        <v>1.38</v>
      </c>
      <c r="I128" s="36">
        <v>74.3</v>
      </c>
      <c r="J128" s="36">
        <v>40.8</v>
      </c>
      <c r="K128" s="36">
        <v>136.0</v>
      </c>
      <c r="L128" s="36">
        <v>15.5</v>
      </c>
      <c r="M128" s="36">
        <v>111.0</v>
      </c>
      <c r="N128" s="36">
        <v>40.0</v>
      </c>
      <c r="O128" s="36">
        <v>54.0</v>
      </c>
      <c r="P128" s="36">
        <v>82.0</v>
      </c>
      <c r="Q128" s="36">
        <v>0.38</v>
      </c>
      <c r="R128" s="36">
        <v>0.43</v>
      </c>
      <c r="S128" s="36">
        <v>0.69</v>
      </c>
      <c r="T128" s="36">
        <v>1.12</v>
      </c>
      <c r="U128" s="21">
        <f t="shared" si="4"/>
        <v>0.3839285714</v>
      </c>
      <c r="V128" s="21">
        <f t="shared" si="5"/>
        <v>1120</v>
      </c>
      <c r="W128" s="21">
        <f t="shared" si="6"/>
        <v>48400</v>
      </c>
    </row>
    <row r="129" ht="14.25" customHeight="1">
      <c r="A129" s="38">
        <v>0.33958333333333335</v>
      </c>
      <c r="B129" s="36">
        <v>237.0</v>
      </c>
      <c r="C129" s="36">
        <v>40.7</v>
      </c>
      <c r="D129" s="36">
        <v>2278.0</v>
      </c>
      <c r="E129" s="36">
        <v>2567.0</v>
      </c>
      <c r="F129" s="36">
        <v>1.13</v>
      </c>
      <c r="G129" s="36">
        <v>45.0</v>
      </c>
      <c r="H129" s="36">
        <v>1.72</v>
      </c>
      <c r="I129" s="36">
        <v>76.7</v>
      </c>
      <c r="J129" s="36">
        <v>38.9</v>
      </c>
      <c r="K129" s="36">
        <v>137.0</v>
      </c>
      <c r="L129" s="36">
        <v>14.9</v>
      </c>
      <c r="M129" s="36">
        <v>111.0</v>
      </c>
      <c r="N129" s="36">
        <v>40.0</v>
      </c>
      <c r="O129" s="36">
        <v>45.0</v>
      </c>
      <c r="P129" s="36">
        <v>87.0</v>
      </c>
      <c r="Q129" s="36">
        <v>0.4</v>
      </c>
      <c r="R129" s="36">
        <v>0.54</v>
      </c>
      <c r="S129" s="36">
        <v>0.8</v>
      </c>
      <c r="T129" s="36">
        <v>1.34</v>
      </c>
      <c r="U129" s="21">
        <f t="shared" si="4"/>
        <v>0.4029850746</v>
      </c>
      <c r="V129" s="21">
        <f t="shared" si="5"/>
        <v>1340</v>
      </c>
      <c r="W129" s="21">
        <f t="shared" si="6"/>
        <v>100</v>
      </c>
    </row>
    <row r="130" ht="14.25" customHeight="1">
      <c r="A130" s="38">
        <v>0.3402777777777778</v>
      </c>
      <c r="B130" s="36">
        <v>237.0</v>
      </c>
      <c r="C130" s="36">
        <v>41.7</v>
      </c>
      <c r="D130" s="36">
        <v>2337.0</v>
      </c>
      <c r="E130" s="36">
        <v>2659.0</v>
      </c>
      <c r="F130" s="36">
        <v>1.14</v>
      </c>
      <c r="G130" s="36">
        <v>45.0</v>
      </c>
      <c r="H130" s="36">
        <v>1.77</v>
      </c>
      <c r="I130" s="36">
        <v>79.5</v>
      </c>
      <c r="J130" s="36">
        <v>36.7</v>
      </c>
      <c r="K130" s="36">
        <v>139.0</v>
      </c>
      <c r="L130" s="36">
        <v>13.7</v>
      </c>
      <c r="M130" s="36">
        <v>112.0</v>
      </c>
      <c r="N130" s="36">
        <v>40.0</v>
      </c>
      <c r="O130" s="36">
        <v>45.0</v>
      </c>
      <c r="P130" s="36">
        <v>89.0</v>
      </c>
      <c r="Q130" s="36">
        <v>0.41</v>
      </c>
      <c r="R130" s="36">
        <v>0.54</v>
      </c>
      <c r="S130" s="36">
        <v>0.79</v>
      </c>
      <c r="T130" s="36">
        <v>1.33</v>
      </c>
      <c r="U130" s="21">
        <f t="shared" si="4"/>
        <v>0.4060150376</v>
      </c>
      <c r="V130" s="21">
        <f t="shared" si="5"/>
        <v>1330</v>
      </c>
      <c r="W130" s="21">
        <f t="shared" si="6"/>
        <v>100</v>
      </c>
    </row>
    <row r="131" ht="14.25" customHeight="1">
      <c r="A131" s="38">
        <v>0.34097222222222223</v>
      </c>
      <c r="B131" s="36">
        <v>237.0</v>
      </c>
      <c r="C131" s="36">
        <v>42.5</v>
      </c>
      <c r="D131" s="36">
        <v>2380.0</v>
      </c>
      <c r="E131" s="36">
        <v>2719.0</v>
      </c>
      <c r="F131" s="36">
        <v>1.14</v>
      </c>
      <c r="G131" s="36">
        <v>46.0</v>
      </c>
      <c r="H131" s="36">
        <v>1.8</v>
      </c>
      <c r="I131" s="36">
        <v>81.9</v>
      </c>
      <c r="J131" s="36">
        <v>34.8</v>
      </c>
      <c r="K131" s="36">
        <v>139.0</v>
      </c>
      <c r="L131" s="36">
        <v>13.9</v>
      </c>
      <c r="M131" s="36">
        <v>112.0</v>
      </c>
      <c r="N131" s="36">
        <v>39.0</v>
      </c>
      <c r="O131" s="36">
        <v>46.0</v>
      </c>
      <c r="P131" s="36">
        <v>90.0</v>
      </c>
      <c r="Q131" s="36">
        <v>0.41</v>
      </c>
      <c r="R131" s="36">
        <v>0.54</v>
      </c>
      <c r="S131" s="36">
        <v>0.78</v>
      </c>
      <c r="T131" s="36">
        <v>1.32</v>
      </c>
      <c r="U131" s="21">
        <f t="shared" si="4"/>
        <v>0.4090909091</v>
      </c>
      <c r="V131" s="21">
        <f t="shared" si="5"/>
        <v>1320</v>
      </c>
      <c r="W131" s="21">
        <f t="shared" si="6"/>
        <v>400</v>
      </c>
    </row>
    <row r="132" ht="14.25" customHeight="1">
      <c r="A132" s="38">
        <v>0.3416666666666667</v>
      </c>
      <c r="B132" s="36">
        <v>239.0</v>
      </c>
      <c r="C132" s="36">
        <v>42.4</v>
      </c>
      <c r="D132" s="36">
        <v>2374.0</v>
      </c>
      <c r="E132" s="36">
        <v>2737.0</v>
      </c>
      <c r="F132" s="36">
        <v>1.15</v>
      </c>
      <c r="G132" s="36">
        <v>46.0</v>
      </c>
      <c r="H132" s="36">
        <v>1.81</v>
      </c>
      <c r="I132" s="36">
        <v>83.3</v>
      </c>
      <c r="J132" s="36">
        <v>33.7</v>
      </c>
      <c r="K132" s="36">
        <v>140.0</v>
      </c>
      <c r="L132" s="36">
        <v>13.3</v>
      </c>
      <c r="M132" s="36">
        <v>113.0</v>
      </c>
      <c r="N132" s="36">
        <v>39.0</v>
      </c>
      <c r="O132" s="36">
        <v>46.0</v>
      </c>
      <c r="P132" s="36">
        <v>90.0</v>
      </c>
      <c r="Q132" s="36">
        <v>0.41</v>
      </c>
      <c r="R132" s="36">
        <v>0.54</v>
      </c>
      <c r="S132" s="36">
        <v>0.77</v>
      </c>
      <c r="T132" s="36">
        <v>1.3</v>
      </c>
      <c r="U132" s="21">
        <f t="shared" si="4"/>
        <v>0.4153846154</v>
      </c>
      <c r="V132" s="21">
        <f t="shared" si="5"/>
        <v>1300</v>
      </c>
      <c r="W132" s="21">
        <f t="shared" si="6"/>
        <v>52900</v>
      </c>
    </row>
    <row r="133" ht="14.25" customHeight="1">
      <c r="A133" s="38">
        <v>0.34305555555555556</v>
      </c>
      <c r="B133" s="36">
        <v>239.0</v>
      </c>
      <c r="C133" s="36">
        <v>39.3</v>
      </c>
      <c r="D133" s="36">
        <v>2200.0</v>
      </c>
      <c r="E133" s="36">
        <v>2583.0</v>
      </c>
      <c r="F133" s="36">
        <v>1.17</v>
      </c>
      <c r="G133" s="36">
        <v>56.0</v>
      </c>
      <c r="H133" s="36">
        <v>1.49</v>
      </c>
      <c r="I133" s="36">
        <v>83.4</v>
      </c>
      <c r="J133" s="36">
        <v>33.6</v>
      </c>
      <c r="K133" s="36">
        <v>140.0</v>
      </c>
      <c r="L133" s="36">
        <v>13.3</v>
      </c>
      <c r="M133" s="36">
        <v>114.0</v>
      </c>
      <c r="N133" s="36">
        <v>38.0</v>
      </c>
      <c r="O133" s="36">
        <v>56.0</v>
      </c>
      <c r="P133" s="36">
        <v>84.0</v>
      </c>
      <c r="Q133" s="36">
        <v>0.4</v>
      </c>
      <c r="R133" s="36">
        <v>0.43</v>
      </c>
      <c r="S133" s="36">
        <v>0.64</v>
      </c>
      <c r="T133" s="36">
        <v>1.07</v>
      </c>
      <c r="U133" s="21">
        <f t="shared" si="4"/>
        <v>0.4018691589</v>
      </c>
      <c r="V133" s="21">
        <f t="shared" si="5"/>
        <v>1070</v>
      </c>
      <c r="W133" s="21">
        <f t="shared" si="6"/>
        <v>900</v>
      </c>
    </row>
    <row r="134" ht="14.25" customHeight="1">
      <c r="A134" s="38">
        <v>0.34375</v>
      </c>
      <c r="B134" s="36">
        <v>239.0</v>
      </c>
      <c r="C134" s="36">
        <v>40.4</v>
      </c>
      <c r="D134" s="36">
        <v>2265.0</v>
      </c>
      <c r="E134" s="36">
        <v>2705.0</v>
      </c>
      <c r="F134" s="36">
        <v>1.19</v>
      </c>
      <c r="G134" s="36">
        <v>58.0</v>
      </c>
      <c r="H134" s="36">
        <v>1.52</v>
      </c>
      <c r="I134" s="36">
        <v>87.8</v>
      </c>
      <c r="J134" s="36">
        <v>30.1</v>
      </c>
      <c r="K134" s="36">
        <v>139.0</v>
      </c>
      <c r="L134" s="36">
        <v>13.9</v>
      </c>
      <c r="M134" s="36">
        <v>114.0</v>
      </c>
      <c r="N134" s="36">
        <v>38.0</v>
      </c>
      <c r="O134" s="36">
        <v>58.0</v>
      </c>
      <c r="P134" s="36">
        <v>86.0</v>
      </c>
      <c r="Q134" s="36">
        <v>0.39</v>
      </c>
      <c r="R134" s="36">
        <v>0.41</v>
      </c>
      <c r="S134" s="36">
        <v>0.63</v>
      </c>
      <c r="T134" s="36">
        <v>1.04</v>
      </c>
      <c r="U134" s="21">
        <f t="shared" si="4"/>
        <v>0.3942307692</v>
      </c>
      <c r="V134" s="21">
        <f t="shared" si="5"/>
        <v>1040</v>
      </c>
      <c r="W134" s="21">
        <f t="shared" si="6"/>
        <v>100</v>
      </c>
    </row>
    <row r="135" ht="14.25" customHeight="1">
      <c r="A135" s="38">
        <v>0.34444444444444444</v>
      </c>
      <c r="B135" s="36">
        <v>241.0</v>
      </c>
      <c r="C135" s="36">
        <v>41.0</v>
      </c>
      <c r="D135" s="36">
        <v>2299.0</v>
      </c>
      <c r="E135" s="36">
        <v>2729.0</v>
      </c>
      <c r="F135" s="36">
        <v>1.19</v>
      </c>
      <c r="G135" s="36">
        <v>57.0</v>
      </c>
      <c r="H135" s="36">
        <v>1.54</v>
      </c>
      <c r="I135" s="36">
        <v>88.5</v>
      </c>
      <c r="J135" s="36">
        <v>29.6</v>
      </c>
      <c r="K135" s="36">
        <v>140.0</v>
      </c>
      <c r="L135" s="36">
        <v>12.9</v>
      </c>
      <c r="M135" s="36">
        <v>114.0</v>
      </c>
      <c r="N135" s="36">
        <v>38.0</v>
      </c>
      <c r="O135" s="36">
        <v>57.0</v>
      </c>
      <c r="P135" s="36">
        <v>87.0</v>
      </c>
      <c r="Q135" s="36">
        <v>0.39</v>
      </c>
      <c r="R135" s="36">
        <v>0.41</v>
      </c>
      <c r="S135" s="36">
        <v>0.64</v>
      </c>
      <c r="T135" s="36">
        <v>1.05</v>
      </c>
      <c r="U135" s="21">
        <f t="shared" si="4"/>
        <v>0.3904761905</v>
      </c>
      <c r="V135" s="21">
        <f t="shared" si="5"/>
        <v>1050</v>
      </c>
      <c r="W135" s="21">
        <f t="shared" si="6"/>
        <v>100</v>
      </c>
    </row>
    <row r="136" ht="14.25" customHeight="1">
      <c r="A136" s="38">
        <v>0.3451388888888889</v>
      </c>
      <c r="B136" s="36">
        <v>241.0</v>
      </c>
      <c r="C136" s="36">
        <v>41.0</v>
      </c>
      <c r="D136" s="36">
        <v>2298.0</v>
      </c>
      <c r="E136" s="36">
        <v>2737.0</v>
      </c>
      <c r="F136" s="36">
        <v>1.19</v>
      </c>
      <c r="G136" s="36">
        <v>56.0</v>
      </c>
      <c r="H136" s="36">
        <v>1.57</v>
      </c>
      <c r="I136" s="36">
        <v>88.5</v>
      </c>
      <c r="J136" s="36">
        <v>29.6</v>
      </c>
      <c r="K136" s="36">
        <v>139.0</v>
      </c>
      <c r="L136" s="36">
        <v>13.5</v>
      </c>
      <c r="M136" s="36">
        <v>114.0</v>
      </c>
      <c r="N136" s="36">
        <v>39.0</v>
      </c>
      <c r="O136" s="36">
        <v>56.0</v>
      </c>
      <c r="P136" s="36">
        <v>87.0</v>
      </c>
      <c r="Q136" s="36">
        <v>0.39</v>
      </c>
      <c r="R136" s="36">
        <v>0.41</v>
      </c>
      <c r="S136" s="36">
        <v>0.65</v>
      </c>
      <c r="T136" s="36">
        <v>1.06</v>
      </c>
      <c r="U136" s="21">
        <f t="shared" si="4"/>
        <v>0.3867924528</v>
      </c>
      <c r="V136" s="21">
        <f t="shared" si="5"/>
        <v>1060</v>
      </c>
      <c r="W136" s="21">
        <f t="shared" si="6"/>
        <v>0</v>
      </c>
    </row>
    <row r="137" ht="14.25" customHeight="1">
      <c r="A137" s="38">
        <v>0.3458333333333333</v>
      </c>
      <c r="B137" s="36">
        <v>241.0</v>
      </c>
      <c r="C137" s="36">
        <v>40.2</v>
      </c>
      <c r="D137" s="36">
        <v>2250.0</v>
      </c>
      <c r="E137" s="36">
        <v>2699.0</v>
      </c>
      <c r="F137" s="36">
        <v>1.2</v>
      </c>
      <c r="G137" s="36">
        <v>56.0</v>
      </c>
      <c r="H137" s="36">
        <v>1.56</v>
      </c>
      <c r="I137" s="36">
        <v>87.9</v>
      </c>
      <c r="J137" s="36">
        <v>30.0</v>
      </c>
      <c r="K137" s="36">
        <v>140.0</v>
      </c>
      <c r="L137" s="36">
        <v>13.0</v>
      </c>
      <c r="M137" s="36">
        <v>114.0</v>
      </c>
      <c r="N137" s="36">
        <v>38.0</v>
      </c>
      <c r="O137" s="36">
        <v>56.0</v>
      </c>
      <c r="P137" s="36">
        <v>86.0</v>
      </c>
      <c r="Q137" s="36">
        <v>0.4</v>
      </c>
      <c r="R137" s="36">
        <v>0.42</v>
      </c>
      <c r="S137" s="36">
        <v>0.64</v>
      </c>
      <c r="T137" s="36">
        <v>1.06</v>
      </c>
      <c r="U137" s="21">
        <f t="shared" si="4"/>
        <v>0.3962264151</v>
      </c>
      <c r="V137" s="21">
        <f t="shared" si="5"/>
        <v>1060</v>
      </c>
      <c r="W137" s="21">
        <f t="shared" si="6"/>
        <v>400</v>
      </c>
    </row>
    <row r="138" ht="14.25" customHeight="1">
      <c r="A138" s="38">
        <v>0.34652777777777777</v>
      </c>
      <c r="B138" s="36">
        <v>243.0</v>
      </c>
      <c r="C138" s="36">
        <v>40.9</v>
      </c>
      <c r="D138" s="36">
        <v>2292.0</v>
      </c>
      <c r="E138" s="36">
        <v>2753.0</v>
      </c>
      <c r="F138" s="36">
        <v>1.2</v>
      </c>
      <c r="G138" s="36">
        <v>56.0</v>
      </c>
      <c r="H138" s="36">
        <v>1.6</v>
      </c>
      <c r="I138" s="36">
        <v>88.8</v>
      </c>
      <c r="J138" s="36">
        <v>29.3</v>
      </c>
      <c r="K138" s="36">
        <v>140.0</v>
      </c>
      <c r="L138" s="36">
        <v>13.0</v>
      </c>
      <c r="M138" s="36">
        <v>114.0</v>
      </c>
      <c r="N138" s="36">
        <v>39.0</v>
      </c>
      <c r="O138" s="36">
        <v>56.0</v>
      </c>
      <c r="P138" s="36">
        <v>87.0</v>
      </c>
      <c r="Q138" s="36">
        <v>0.4</v>
      </c>
      <c r="R138" s="36">
        <v>0.43</v>
      </c>
      <c r="S138" s="36">
        <v>0.65</v>
      </c>
      <c r="T138" s="36">
        <v>1.08</v>
      </c>
      <c r="U138" s="21">
        <f t="shared" si="4"/>
        <v>0.3981481481</v>
      </c>
      <c r="V138" s="21">
        <f t="shared" si="5"/>
        <v>1080</v>
      </c>
      <c r="W138" s="21">
        <f t="shared" si="6"/>
        <v>1600</v>
      </c>
    </row>
    <row r="139" ht="14.25" customHeight="1">
      <c r="A139" s="38">
        <v>0.3472222222222222</v>
      </c>
      <c r="B139" s="36">
        <v>243.0</v>
      </c>
      <c r="C139" s="36">
        <v>41.4</v>
      </c>
      <c r="D139" s="36">
        <v>2318.0</v>
      </c>
      <c r="E139" s="36">
        <v>2820.0</v>
      </c>
      <c r="F139" s="36">
        <v>1.22</v>
      </c>
      <c r="G139" s="36">
        <v>53.0</v>
      </c>
      <c r="H139" s="36">
        <v>1.7</v>
      </c>
      <c r="I139" s="36">
        <v>91.0</v>
      </c>
      <c r="J139" s="36">
        <v>27.6</v>
      </c>
      <c r="K139" s="36">
        <v>140.0</v>
      </c>
      <c r="L139" s="36">
        <v>12.8</v>
      </c>
      <c r="M139" s="36">
        <v>115.0</v>
      </c>
      <c r="N139" s="36">
        <v>39.0</v>
      </c>
      <c r="O139" s="36">
        <v>53.0</v>
      </c>
      <c r="P139" s="36">
        <v>88.0</v>
      </c>
      <c r="Q139" s="36">
        <v>0.41</v>
      </c>
      <c r="R139" s="36">
        <v>0.46</v>
      </c>
      <c r="S139" s="36">
        <v>0.67</v>
      </c>
      <c r="T139" s="36">
        <v>1.12</v>
      </c>
      <c r="U139" s="21">
        <f t="shared" si="4"/>
        <v>0.4107142857</v>
      </c>
      <c r="V139" s="21">
        <f t="shared" si="5"/>
        <v>1120</v>
      </c>
      <c r="W139" s="21">
        <f t="shared" si="6"/>
        <v>400</v>
      </c>
    </row>
    <row r="140" ht="14.25" customHeight="1">
      <c r="A140" s="38">
        <v>0.34791666666666665</v>
      </c>
      <c r="B140" s="36">
        <v>245.0</v>
      </c>
      <c r="C140" s="36">
        <v>42.3</v>
      </c>
      <c r="D140" s="36">
        <v>2371.0</v>
      </c>
      <c r="E140" s="36">
        <v>2899.0</v>
      </c>
      <c r="F140" s="36">
        <v>1.22</v>
      </c>
      <c r="G140" s="36">
        <v>52.0</v>
      </c>
      <c r="H140" s="36">
        <v>1.78</v>
      </c>
      <c r="I140" s="36">
        <v>93.5</v>
      </c>
      <c r="J140" s="36">
        <v>25.6</v>
      </c>
      <c r="K140" s="36">
        <v>141.0</v>
      </c>
      <c r="L140" s="36">
        <v>12.6</v>
      </c>
      <c r="M140" s="36">
        <v>115.0</v>
      </c>
      <c r="N140" s="36">
        <v>38.0</v>
      </c>
      <c r="O140" s="36">
        <v>52.0</v>
      </c>
      <c r="P140" s="36">
        <v>90.0</v>
      </c>
      <c r="Q140" s="36">
        <v>0.41</v>
      </c>
      <c r="R140" s="36">
        <v>0.47</v>
      </c>
      <c r="S140" s="36">
        <v>0.67</v>
      </c>
      <c r="T140" s="36">
        <v>1.14</v>
      </c>
      <c r="U140" s="21">
        <f t="shared" si="4"/>
        <v>0.4122807018</v>
      </c>
      <c r="V140" s="21">
        <f t="shared" si="5"/>
        <v>1140</v>
      </c>
      <c r="W140" s="21">
        <f t="shared" si="6"/>
        <v>0</v>
      </c>
    </row>
    <row r="141" ht="14.25" customHeight="1">
      <c r="A141" s="38">
        <v>0.3486111111111111</v>
      </c>
      <c r="B141" s="36">
        <v>245.0</v>
      </c>
      <c r="C141" s="36">
        <v>42.6</v>
      </c>
      <c r="D141" s="36">
        <v>2387.0</v>
      </c>
      <c r="E141" s="36">
        <v>2951.0</v>
      </c>
      <c r="F141" s="36">
        <v>1.24</v>
      </c>
      <c r="G141" s="36">
        <v>52.0</v>
      </c>
      <c r="H141" s="36">
        <v>1.8</v>
      </c>
      <c r="I141" s="36">
        <v>94.3</v>
      </c>
      <c r="J141" s="36">
        <v>24.9</v>
      </c>
      <c r="K141" s="36">
        <v>141.0</v>
      </c>
      <c r="L141" s="36">
        <v>12.6</v>
      </c>
      <c r="M141" s="36">
        <v>115.0</v>
      </c>
      <c r="N141" s="36">
        <v>38.0</v>
      </c>
      <c r="O141" s="36">
        <v>52.0</v>
      </c>
      <c r="P141" s="36">
        <v>91.0</v>
      </c>
      <c r="Q141" s="36">
        <v>0.41</v>
      </c>
      <c r="R141" s="36">
        <v>0.47</v>
      </c>
      <c r="S141" s="36">
        <v>0.68</v>
      </c>
      <c r="T141" s="36">
        <v>1.14</v>
      </c>
      <c r="U141" s="21">
        <f t="shared" si="4"/>
        <v>0.4122807018</v>
      </c>
      <c r="V141" s="21">
        <f t="shared" si="5"/>
        <v>1140</v>
      </c>
      <c r="W141" s="21">
        <f t="shared" si="6"/>
        <v>0</v>
      </c>
    </row>
    <row r="142" ht="14.25" customHeight="1">
      <c r="A142" s="38">
        <v>0.35</v>
      </c>
      <c r="B142" s="36">
        <v>245.0</v>
      </c>
      <c r="C142" s="36">
        <v>42.6</v>
      </c>
      <c r="D142" s="36">
        <v>2386.0</v>
      </c>
      <c r="E142" s="36">
        <v>2992.0</v>
      </c>
      <c r="F142" s="36">
        <v>1.25</v>
      </c>
      <c r="G142" s="36">
        <v>52.0</v>
      </c>
      <c r="H142" s="36">
        <v>1.81</v>
      </c>
      <c r="I142" s="36">
        <v>95.0</v>
      </c>
      <c r="J142" s="36">
        <v>24.4</v>
      </c>
      <c r="K142" s="36">
        <v>141.0</v>
      </c>
      <c r="L142" s="36">
        <v>12.3</v>
      </c>
      <c r="M142" s="36">
        <v>115.0</v>
      </c>
      <c r="N142" s="36">
        <v>38.0</v>
      </c>
      <c r="O142" s="36">
        <v>52.0</v>
      </c>
      <c r="P142" s="36">
        <v>91.0</v>
      </c>
      <c r="Q142" s="36">
        <v>0.4</v>
      </c>
      <c r="R142" s="36">
        <v>0.46</v>
      </c>
      <c r="S142" s="36">
        <v>0.68</v>
      </c>
      <c r="T142" s="36">
        <v>1.14</v>
      </c>
      <c r="U142" s="21">
        <f t="shared" si="4"/>
        <v>0.4035087719</v>
      </c>
      <c r="V142" s="21">
        <f t="shared" si="5"/>
        <v>1140</v>
      </c>
      <c r="W142" s="21">
        <f t="shared" si="6"/>
        <v>100</v>
      </c>
    </row>
    <row r="143" ht="14.25" customHeight="1">
      <c r="A143" s="38">
        <v>0.3506944444444444</v>
      </c>
      <c r="B143" s="36">
        <v>247.0</v>
      </c>
      <c r="C143" s="36">
        <v>42.4</v>
      </c>
      <c r="D143" s="36">
        <v>2373.0</v>
      </c>
      <c r="E143" s="36">
        <v>3024.0</v>
      </c>
      <c r="F143" s="36">
        <v>1.27</v>
      </c>
      <c r="G143" s="36">
        <v>52.0</v>
      </c>
      <c r="H143" s="36">
        <v>1.83</v>
      </c>
      <c r="I143" s="36">
        <v>96.0</v>
      </c>
      <c r="J143" s="36">
        <v>23.6</v>
      </c>
      <c r="K143" s="36">
        <v>141.0</v>
      </c>
      <c r="L143" s="36">
        <v>12.3</v>
      </c>
      <c r="M143" s="36">
        <v>116.0</v>
      </c>
      <c r="N143" s="36">
        <v>38.0</v>
      </c>
      <c r="O143" s="36">
        <v>52.0</v>
      </c>
      <c r="P143" s="36">
        <v>90.0</v>
      </c>
      <c r="Q143" s="36">
        <v>0.41</v>
      </c>
      <c r="R143" s="36">
        <v>0.47</v>
      </c>
      <c r="S143" s="36">
        <v>0.68</v>
      </c>
      <c r="T143" s="36">
        <v>1.15</v>
      </c>
      <c r="U143" s="21">
        <f t="shared" si="4"/>
        <v>0.4086956522</v>
      </c>
      <c r="V143" s="21">
        <f t="shared" si="5"/>
        <v>1150</v>
      </c>
      <c r="W143" s="21">
        <f t="shared" si="6"/>
        <v>0</v>
      </c>
    </row>
    <row r="144" ht="14.25" customHeight="1">
      <c r="A144" s="38">
        <v>0.35138888888888886</v>
      </c>
      <c r="B144" s="36">
        <v>247.0</v>
      </c>
      <c r="C144" s="36">
        <v>43.0</v>
      </c>
      <c r="D144" s="36">
        <v>2409.0</v>
      </c>
      <c r="E144" s="36">
        <v>3050.0</v>
      </c>
      <c r="F144" s="36">
        <v>1.27</v>
      </c>
      <c r="G144" s="36">
        <v>52.0</v>
      </c>
      <c r="H144" s="36">
        <v>1.86</v>
      </c>
      <c r="I144" s="36">
        <v>97.1</v>
      </c>
      <c r="J144" s="36">
        <v>22.7</v>
      </c>
      <c r="K144" s="36">
        <v>142.0</v>
      </c>
      <c r="L144" s="36">
        <v>11.7</v>
      </c>
      <c r="M144" s="36">
        <v>117.0</v>
      </c>
      <c r="N144" s="36">
        <v>38.0</v>
      </c>
      <c r="O144" s="36">
        <v>52.0</v>
      </c>
      <c r="P144" s="36">
        <v>92.0</v>
      </c>
      <c r="Q144" s="36">
        <v>0.41</v>
      </c>
      <c r="R144" s="36">
        <v>0.47</v>
      </c>
      <c r="S144" s="36">
        <v>0.68</v>
      </c>
      <c r="T144" s="36">
        <v>1.15</v>
      </c>
      <c r="U144" s="21">
        <f t="shared" si="4"/>
        <v>0.4086956522</v>
      </c>
      <c r="V144" s="21">
        <f t="shared" si="5"/>
        <v>1150</v>
      </c>
      <c r="W144" s="21">
        <f t="shared" si="6"/>
        <v>0</v>
      </c>
    </row>
    <row r="145" ht="14.25" customHeight="1">
      <c r="A145" s="38">
        <v>0.35208333333333336</v>
      </c>
      <c r="B145" s="36">
        <v>247.0</v>
      </c>
      <c r="C145" s="36">
        <v>43.0</v>
      </c>
      <c r="D145" s="36">
        <v>2410.0</v>
      </c>
      <c r="E145" s="36">
        <v>3050.0</v>
      </c>
      <c r="F145" s="36">
        <v>1.27</v>
      </c>
      <c r="G145" s="36">
        <v>52.0</v>
      </c>
      <c r="H145" s="36">
        <v>1.86</v>
      </c>
      <c r="I145" s="36">
        <v>97.1</v>
      </c>
      <c r="J145" s="36">
        <v>22.7</v>
      </c>
      <c r="K145" s="36">
        <v>144.0</v>
      </c>
      <c r="L145" s="36">
        <v>10.4</v>
      </c>
      <c r="M145" s="36">
        <v>117.0</v>
      </c>
      <c r="N145" s="36">
        <v>38.0</v>
      </c>
      <c r="O145" s="36">
        <v>52.0</v>
      </c>
      <c r="P145" s="36">
        <v>92.0</v>
      </c>
      <c r="Q145" s="36">
        <v>0.41</v>
      </c>
      <c r="R145" s="36">
        <v>0.47</v>
      </c>
      <c r="S145" s="36">
        <v>0.68</v>
      </c>
      <c r="T145" s="36">
        <v>1.15</v>
      </c>
      <c r="U145" s="21">
        <f t="shared" si="4"/>
        <v>0.4086956522</v>
      </c>
      <c r="V145" s="21">
        <f t="shared" si="5"/>
        <v>1150</v>
      </c>
      <c r="W145" s="21">
        <f t="shared" si="6"/>
        <v>100</v>
      </c>
    </row>
    <row r="146" ht="14.25" customHeight="1">
      <c r="A146" s="38">
        <v>0.3527777777777778</v>
      </c>
      <c r="B146" s="36">
        <v>249.0</v>
      </c>
      <c r="C146" s="36">
        <v>43.2</v>
      </c>
      <c r="D146" s="36">
        <v>2418.0</v>
      </c>
      <c r="E146" s="36">
        <v>3086.0</v>
      </c>
      <c r="F146" s="36">
        <v>1.28</v>
      </c>
      <c r="G146" s="36">
        <v>53.0</v>
      </c>
      <c r="H146" s="36">
        <v>1.86</v>
      </c>
      <c r="I146" s="36">
        <v>97.9</v>
      </c>
      <c r="J146" s="36">
        <v>22.1</v>
      </c>
      <c r="K146" s="36">
        <v>145.0</v>
      </c>
      <c r="L146" s="36">
        <v>10.0</v>
      </c>
      <c r="M146" s="36">
        <v>117.0</v>
      </c>
      <c r="N146" s="36">
        <v>38.0</v>
      </c>
      <c r="O146" s="36">
        <v>53.0</v>
      </c>
      <c r="P146" s="36">
        <v>92.0</v>
      </c>
      <c r="Q146" s="36">
        <v>0.4</v>
      </c>
      <c r="R146" s="36">
        <v>0.46</v>
      </c>
      <c r="S146" s="36">
        <v>0.68</v>
      </c>
      <c r="T146" s="36">
        <v>1.14</v>
      </c>
      <c r="U146" s="21">
        <f t="shared" si="4"/>
        <v>0.4035087719</v>
      </c>
      <c r="V146" s="21">
        <f t="shared" si="5"/>
        <v>1140</v>
      </c>
    </row>
    <row r="147" ht="14.25" customHeight="1">
      <c r="A147" s="36" t="s">
        <v>81</v>
      </c>
    </row>
    <row r="148" ht="14.25" customHeight="1">
      <c r="A148" s="38">
        <v>0.35347222222222224</v>
      </c>
      <c r="B148" s="36">
        <v>249.0</v>
      </c>
      <c r="C148" s="36">
        <v>43.3</v>
      </c>
      <c r="D148" s="36">
        <v>2426.0</v>
      </c>
      <c r="E148" s="36">
        <v>3109.0</v>
      </c>
      <c r="F148" s="36">
        <v>1.28</v>
      </c>
      <c r="G148" s="36">
        <v>53.0</v>
      </c>
      <c r="H148" s="36">
        <v>1.86</v>
      </c>
      <c r="I148" s="36">
        <v>98.9</v>
      </c>
      <c r="J148" s="36">
        <v>21.3</v>
      </c>
      <c r="K148" s="36">
        <v>147.0</v>
      </c>
      <c r="L148" s="36">
        <v>8.9</v>
      </c>
      <c r="M148" s="36">
        <v>117.0</v>
      </c>
      <c r="N148" s="36">
        <v>38.0</v>
      </c>
      <c r="O148" s="36">
        <v>53.0</v>
      </c>
      <c r="P148" s="36">
        <v>92.0</v>
      </c>
      <c r="Q148" s="36">
        <v>0.4</v>
      </c>
      <c r="R148" s="36">
        <v>0.45</v>
      </c>
      <c r="S148" s="36">
        <v>0.68</v>
      </c>
      <c r="T148" s="36">
        <v>1.13</v>
      </c>
      <c r="U148" s="21">
        <f t="shared" ref="U148:U155" si="7">R148/T148</f>
        <v>0.3982300885</v>
      </c>
      <c r="V148" s="21">
        <f t="shared" ref="V148:V155" si="8">T148*1000</f>
        <v>1130</v>
      </c>
      <c r="W148" s="21">
        <f t="shared" ref="W148:W154" si="9">(V148-V149)^2</f>
        <v>100</v>
      </c>
      <c r="X148" s="21">
        <f>SQRT((AVERAGE(W148:W155)))</f>
        <v>17.32050808</v>
      </c>
      <c r="Y148" s="21">
        <f>STDEV(V148:V155)/AVERAGE(V148:V155)</f>
        <v>0.03049523215</v>
      </c>
    </row>
    <row r="149" ht="14.25" customHeight="1">
      <c r="A149" s="38">
        <v>0.3541666666666667</v>
      </c>
      <c r="B149" s="36">
        <v>250.0</v>
      </c>
      <c r="C149" s="36">
        <v>43.3</v>
      </c>
      <c r="D149" s="36">
        <v>2427.0</v>
      </c>
      <c r="E149" s="36">
        <v>3129.0</v>
      </c>
      <c r="F149" s="36">
        <v>1.29</v>
      </c>
      <c r="G149" s="36">
        <v>53.0</v>
      </c>
      <c r="H149" s="36">
        <v>1.87</v>
      </c>
      <c r="I149" s="36">
        <v>100.3</v>
      </c>
      <c r="J149" s="36">
        <v>20.2</v>
      </c>
      <c r="K149" s="36">
        <v>146.0</v>
      </c>
      <c r="L149" s="36">
        <v>9.1</v>
      </c>
      <c r="M149" s="36">
        <v>117.0</v>
      </c>
      <c r="N149" s="36">
        <v>37.0</v>
      </c>
      <c r="O149" s="36">
        <v>53.0</v>
      </c>
      <c r="P149" s="36">
        <v>92.0</v>
      </c>
      <c r="Q149" s="36">
        <v>0.4</v>
      </c>
      <c r="R149" s="36">
        <v>0.45</v>
      </c>
      <c r="S149" s="36">
        <v>0.67</v>
      </c>
      <c r="T149" s="36">
        <v>1.12</v>
      </c>
      <c r="U149" s="21">
        <f t="shared" si="7"/>
        <v>0.4017857143</v>
      </c>
      <c r="V149" s="21">
        <f t="shared" si="8"/>
        <v>1120</v>
      </c>
      <c r="W149" s="21">
        <f t="shared" si="9"/>
        <v>100</v>
      </c>
    </row>
    <row r="150" ht="14.25" customHeight="1">
      <c r="A150" s="38">
        <v>0.3548611111111111</v>
      </c>
      <c r="B150" s="36">
        <v>250.0</v>
      </c>
      <c r="C150" s="36">
        <v>43.6</v>
      </c>
      <c r="D150" s="36">
        <v>2439.0</v>
      </c>
      <c r="E150" s="36">
        <v>3151.0</v>
      </c>
      <c r="F150" s="36">
        <v>1.29</v>
      </c>
      <c r="G150" s="36">
        <v>53.0</v>
      </c>
      <c r="H150" s="36">
        <v>1.9</v>
      </c>
      <c r="I150" s="36">
        <v>101.2</v>
      </c>
      <c r="J150" s="36">
        <v>19.5</v>
      </c>
      <c r="K150" s="36">
        <v>146.0</v>
      </c>
      <c r="L150" s="36">
        <v>9.5</v>
      </c>
      <c r="M150" s="36">
        <v>118.0</v>
      </c>
      <c r="N150" s="36">
        <v>37.0</v>
      </c>
      <c r="O150" s="36">
        <v>53.0</v>
      </c>
      <c r="P150" s="36">
        <v>93.0</v>
      </c>
      <c r="Q150" s="36">
        <v>0.4</v>
      </c>
      <c r="R150" s="36">
        <v>0.45</v>
      </c>
      <c r="S150" s="36">
        <v>0.67</v>
      </c>
      <c r="T150" s="36">
        <v>1.13</v>
      </c>
      <c r="U150" s="21">
        <f t="shared" si="7"/>
        <v>0.3982300885</v>
      </c>
      <c r="V150" s="21">
        <f t="shared" si="8"/>
        <v>1130</v>
      </c>
      <c r="W150" s="21">
        <f t="shared" si="9"/>
        <v>400</v>
      </c>
    </row>
    <row r="151" ht="14.25" customHeight="1">
      <c r="A151" s="38">
        <v>0.35555555555555557</v>
      </c>
      <c r="B151" s="36">
        <v>251.0</v>
      </c>
      <c r="C151" s="36">
        <v>43.2</v>
      </c>
      <c r="D151" s="36">
        <v>2421.0</v>
      </c>
      <c r="E151" s="36">
        <v>3142.0</v>
      </c>
      <c r="F151" s="36">
        <v>1.3</v>
      </c>
      <c r="G151" s="36">
        <v>54.0</v>
      </c>
      <c r="H151" s="36">
        <v>1.9</v>
      </c>
      <c r="I151" s="36">
        <v>102.9</v>
      </c>
      <c r="J151" s="36">
        <v>18.1</v>
      </c>
      <c r="K151" s="36">
        <v>147.0</v>
      </c>
      <c r="L151" s="36">
        <v>8.6</v>
      </c>
      <c r="M151" s="36">
        <v>118.0</v>
      </c>
      <c r="N151" s="36">
        <v>37.0</v>
      </c>
      <c r="O151" s="36">
        <v>54.0</v>
      </c>
      <c r="P151" s="36">
        <v>92.0</v>
      </c>
      <c r="Q151" s="36">
        <v>0.4</v>
      </c>
      <c r="R151" s="36">
        <v>0.44</v>
      </c>
      <c r="S151" s="36">
        <v>0.67</v>
      </c>
      <c r="T151" s="36">
        <v>1.11</v>
      </c>
      <c r="U151" s="21">
        <f t="shared" si="7"/>
        <v>0.3963963964</v>
      </c>
      <c r="V151" s="21">
        <f t="shared" si="8"/>
        <v>1110</v>
      </c>
      <c r="W151" s="21">
        <f t="shared" si="9"/>
        <v>400</v>
      </c>
    </row>
    <row r="152" ht="14.25" customHeight="1">
      <c r="A152" s="38">
        <v>0.35625</v>
      </c>
      <c r="B152" s="36">
        <v>252.0</v>
      </c>
      <c r="C152" s="36">
        <v>43.6</v>
      </c>
      <c r="D152" s="36">
        <v>2442.0</v>
      </c>
      <c r="E152" s="36">
        <v>3176.0</v>
      </c>
      <c r="F152" s="36">
        <v>1.3</v>
      </c>
      <c r="G152" s="36">
        <v>55.0</v>
      </c>
      <c r="H152" s="36">
        <v>1.9</v>
      </c>
      <c r="I152" s="36">
        <v>104.3</v>
      </c>
      <c r="J152" s="36">
        <v>16.9</v>
      </c>
      <c r="K152" s="36">
        <v>144.0</v>
      </c>
      <c r="L152" s="36">
        <v>10.4</v>
      </c>
      <c r="M152" s="36">
        <v>118.0</v>
      </c>
      <c r="N152" s="36">
        <v>37.0</v>
      </c>
      <c r="O152" s="36">
        <v>55.0</v>
      </c>
      <c r="P152" s="36">
        <v>93.0</v>
      </c>
      <c r="Q152" s="36">
        <v>0.39</v>
      </c>
      <c r="R152" s="36">
        <v>0.43</v>
      </c>
      <c r="S152" s="36">
        <v>0.66</v>
      </c>
      <c r="T152" s="36">
        <v>1.09</v>
      </c>
      <c r="U152" s="21">
        <f t="shared" si="7"/>
        <v>0.3944954128</v>
      </c>
      <c r="V152" s="21">
        <f t="shared" si="8"/>
        <v>1090</v>
      </c>
      <c r="W152" s="21">
        <f t="shared" si="9"/>
        <v>900</v>
      </c>
    </row>
    <row r="153" ht="14.25" customHeight="1">
      <c r="A153" s="38">
        <v>0.35694444444444445</v>
      </c>
      <c r="B153" s="36">
        <v>252.0</v>
      </c>
      <c r="C153" s="36">
        <v>43.4</v>
      </c>
      <c r="D153" s="36">
        <v>2428.0</v>
      </c>
      <c r="E153" s="36">
        <v>3173.0</v>
      </c>
      <c r="F153" s="36">
        <v>1.31</v>
      </c>
      <c r="G153" s="36">
        <v>56.0</v>
      </c>
      <c r="H153" s="36">
        <v>1.88</v>
      </c>
      <c r="I153" s="36">
        <v>106.2</v>
      </c>
      <c r="J153" s="36">
        <v>15.4</v>
      </c>
      <c r="K153" s="36">
        <v>144.0</v>
      </c>
      <c r="L153" s="36">
        <v>10.4</v>
      </c>
      <c r="M153" s="36">
        <v>119.0</v>
      </c>
      <c r="N153" s="36">
        <v>36.0</v>
      </c>
      <c r="O153" s="36">
        <v>56.0</v>
      </c>
      <c r="P153" s="36">
        <v>92.0</v>
      </c>
      <c r="Q153" s="36">
        <v>0.39</v>
      </c>
      <c r="R153" s="36">
        <v>0.42</v>
      </c>
      <c r="S153" s="36">
        <v>0.64</v>
      </c>
      <c r="T153" s="36">
        <v>1.06</v>
      </c>
      <c r="U153" s="21">
        <f t="shared" si="7"/>
        <v>0.3962264151</v>
      </c>
      <c r="V153" s="21">
        <f t="shared" si="8"/>
        <v>1060</v>
      </c>
      <c r="W153" s="21">
        <f t="shared" si="9"/>
        <v>0</v>
      </c>
    </row>
    <row r="154" ht="14.25" customHeight="1">
      <c r="A154" s="38">
        <v>0.3576388888888889</v>
      </c>
      <c r="B154" s="36">
        <v>254.0</v>
      </c>
      <c r="C154" s="36">
        <v>43.4</v>
      </c>
      <c r="D154" s="36">
        <v>2428.0</v>
      </c>
      <c r="E154" s="36">
        <v>3199.0</v>
      </c>
      <c r="F154" s="36">
        <v>1.32</v>
      </c>
      <c r="G154" s="36">
        <v>56.0</v>
      </c>
      <c r="H154" s="36">
        <v>1.91</v>
      </c>
      <c r="I154" s="36">
        <v>107.8</v>
      </c>
      <c r="J154" s="36">
        <v>14.1</v>
      </c>
      <c r="K154" s="36">
        <v>145.0</v>
      </c>
      <c r="L154" s="36">
        <v>10.1</v>
      </c>
      <c r="M154" s="36">
        <v>120.0</v>
      </c>
      <c r="N154" s="36">
        <v>36.0</v>
      </c>
      <c r="O154" s="36">
        <v>56.0</v>
      </c>
      <c r="P154" s="36">
        <v>92.0</v>
      </c>
      <c r="Q154" s="36">
        <v>0.39</v>
      </c>
      <c r="R154" s="36">
        <v>0.42</v>
      </c>
      <c r="S154" s="36">
        <v>0.65</v>
      </c>
      <c r="T154" s="36">
        <v>1.06</v>
      </c>
      <c r="U154" s="21">
        <f t="shared" si="7"/>
        <v>0.3962264151</v>
      </c>
      <c r="V154" s="21">
        <f t="shared" si="8"/>
        <v>1060</v>
      </c>
      <c r="W154" s="21">
        <f t="shared" si="9"/>
        <v>100</v>
      </c>
    </row>
    <row r="155" ht="14.25" customHeight="1">
      <c r="A155" s="38">
        <v>0.35833333333333334</v>
      </c>
      <c r="B155" s="36">
        <v>255.0</v>
      </c>
      <c r="C155" s="36">
        <v>43.1</v>
      </c>
      <c r="D155" s="36">
        <v>2411.0</v>
      </c>
      <c r="E155" s="36">
        <v>3183.0</v>
      </c>
      <c r="F155" s="36">
        <v>1.32</v>
      </c>
      <c r="G155" s="36">
        <v>57.0</v>
      </c>
      <c r="H155" s="36">
        <v>1.88</v>
      </c>
      <c r="I155" s="36">
        <v>107.1</v>
      </c>
      <c r="J155" s="36">
        <v>14.7</v>
      </c>
      <c r="K155" s="36">
        <v>144.0</v>
      </c>
      <c r="L155" s="36">
        <v>10.6</v>
      </c>
      <c r="M155" s="36">
        <v>120.0</v>
      </c>
      <c r="N155" s="36">
        <v>35.0</v>
      </c>
      <c r="O155" s="36">
        <v>57.0</v>
      </c>
      <c r="P155" s="36">
        <v>92.0</v>
      </c>
      <c r="Q155" s="36">
        <v>0.39</v>
      </c>
      <c r="R155" s="36">
        <v>0.41</v>
      </c>
      <c r="S155" s="36">
        <v>0.65</v>
      </c>
      <c r="T155" s="36">
        <v>1.05</v>
      </c>
      <c r="U155" s="21">
        <f t="shared" si="7"/>
        <v>0.3904761905</v>
      </c>
      <c r="V155" s="21">
        <f t="shared" si="8"/>
        <v>1050</v>
      </c>
      <c r="W155" s="21">
        <f>(V155-V157)^2</f>
        <v>400</v>
      </c>
    </row>
    <row r="156" ht="14.25" customHeight="1">
      <c r="A156" s="36" t="s">
        <v>82</v>
      </c>
    </row>
    <row r="157" ht="14.25" customHeight="1">
      <c r="A157" s="38">
        <v>0.3590277777777778</v>
      </c>
      <c r="B157" s="36">
        <v>255.0</v>
      </c>
      <c r="C157" s="36">
        <v>44.4</v>
      </c>
      <c r="D157" s="36">
        <v>2489.0</v>
      </c>
      <c r="E157" s="36">
        <v>3296.0</v>
      </c>
      <c r="F157" s="36">
        <v>1.32</v>
      </c>
      <c r="G157" s="36">
        <v>56.0</v>
      </c>
      <c r="H157" s="36">
        <v>1.93</v>
      </c>
      <c r="I157" s="36">
        <v>108.1</v>
      </c>
      <c r="J157" s="36">
        <v>13.9</v>
      </c>
      <c r="K157" s="36">
        <v>143.0</v>
      </c>
      <c r="L157" s="36">
        <v>11.0</v>
      </c>
      <c r="M157" s="36">
        <v>119.0</v>
      </c>
      <c r="N157" s="36">
        <v>37.0</v>
      </c>
      <c r="O157" s="36">
        <v>56.0</v>
      </c>
      <c r="P157" s="36">
        <v>95.0</v>
      </c>
      <c r="Q157" s="36">
        <v>0.36</v>
      </c>
      <c r="R157" s="36">
        <v>0.38</v>
      </c>
      <c r="S157" s="36">
        <v>0.69</v>
      </c>
      <c r="T157" s="36">
        <v>1.07</v>
      </c>
      <c r="U157" s="21">
        <f>R157/T157</f>
        <v>0.3551401869</v>
      </c>
      <c r="V157" s="21">
        <f>T157*1000</f>
        <v>1070</v>
      </c>
    </row>
    <row r="158" ht="14.25" customHeight="1">
      <c r="A158" s="36" t="s">
        <v>88</v>
      </c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11.13"/>
    <col customWidth="1" min="21" max="21" width="6.63"/>
    <col customWidth="1" min="22" max="22" width="8.0"/>
    <col customWidth="1" min="23" max="48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89</v>
      </c>
      <c r="V2" s="8" t="s">
        <v>90</v>
      </c>
      <c r="W2" s="8" t="s">
        <v>52</v>
      </c>
      <c r="X2" s="8" t="s">
        <v>86</v>
      </c>
      <c r="AB2" s="37">
        <v>29232.0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0.11319444444444444</v>
      </c>
      <c r="B6" s="36">
        <v>0.0</v>
      </c>
      <c r="C6" s="36">
        <v>5.5</v>
      </c>
      <c r="D6" s="36">
        <v>348.0</v>
      </c>
      <c r="E6" s="36">
        <v>303.0</v>
      </c>
      <c r="F6" s="36">
        <v>0.87</v>
      </c>
      <c r="G6" s="36">
        <v>14.0</v>
      </c>
      <c r="H6" s="36">
        <v>0.79</v>
      </c>
      <c r="I6" s="36">
        <v>10.9</v>
      </c>
      <c r="J6" s="36">
        <v>93.1</v>
      </c>
      <c r="K6" s="36">
        <v>81.0</v>
      </c>
      <c r="L6" s="36">
        <v>56.7</v>
      </c>
      <c r="M6" s="36">
        <v>108.0</v>
      </c>
      <c r="N6" s="36">
        <v>35.0</v>
      </c>
      <c r="O6" s="36">
        <v>14.0</v>
      </c>
      <c r="P6" s="36">
        <v>15.0</v>
      </c>
      <c r="Q6" s="36">
        <v>0.39</v>
      </c>
      <c r="R6" s="36">
        <v>1.72</v>
      </c>
      <c r="S6" s="36">
        <v>2.65</v>
      </c>
      <c r="T6" s="36">
        <v>4.37</v>
      </c>
      <c r="U6" s="8">
        <f t="shared" ref="U6:U84" si="1">T7*1000</f>
        <v>4400</v>
      </c>
      <c r="V6" s="21">
        <f t="shared" ref="V6:V83" si="2">(U6-U7)^2</f>
        <v>900</v>
      </c>
      <c r="W6" s="21">
        <f>SQRT(AVERAGE(V6:V83))</f>
        <v>429.9045809</v>
      </c>
      <c r="X6" s="21">
        <f>STDEV(U6:U84)/AVERAGE(U6:U84)</f>
        <v>0.1473585284</v>
      </c>
    </row>
    <row r="7" ht="14.25" customHeight="1">
      <c r="A7" s="38">
        <v>0.11736111111111111</v>
      </c>
      <c r="B7" s="36">
        <v>2.0</v>
      </c>
      <c r="C7" s="36">
        <v>5.9</v>
      </c>
      <c r="D7" s="36">
        <v>374.0</v>
      </c>
      <c r="E7" s="36">
        <v>323.0</v>
      </c>
      <c r="F7" s="36">
        <v>0.86</v>
      </c>
      <c r="G7" s="36">
        <v>14.0</v>
      </c>
      <c r="H7" s="36">
        <v>0.83</v>
      </c>
      <c r="I7" s="36">
        <v>11.4</v>
      </c>
      <c r="J7" s="36">
        <v>92.8</v>
      </c>
      <c r="K7" s="36">
        <v>82.0</v>
      </c>
      <c r="L7" s="36">
        <v>56.0</v>
      </c>
      <c r="M7" s="36">
        <v>108.0</v>
      </c>
      <c r="N7" s="36">
        <v>36.0</v>
      </c>
      <c r="O7" s="36">
        <v>14.0</v>
      </c>
      <c r="P7" s="36">
        <v>16.0</v>
      </c>
      <c r="Q7" s="36">
        <v>0.38</v>
      </c>
      <c r="R7" s="36">
        <v>1.66</v>
      </c>
      <c r="S7" s="36">
        <v>2.73</v>
      </c>
      <c r="T7" s="36">
        <v>4.4</v>
      </c>
      <c r="U7" s="8">
        <f t="shared" si="1"/>
        <v>4370</v>
      </c>
      <c r="V7" s="21">
        <f t="shared" si="2"/>
        <v>144400</v>
      </c>
      <c r="AE7" s="4" t="s">
        <v>91</v>
      </c>
    </row>
    <row r="8" ht="14.25" customHeight="1">
      <c r="A8" s="38">
        <v>0.12013888888888889</v>
      </c>
      <c r="B8" s="36">
        <v>5.0</v>
      </c>
      <c r="C8" s="36">
        <v>6.3</v>
      </c>
      <c r="D8" s="36">
        <v>399.0</v>
      </c>
      <c r="E8" s="36">
        <v>347.0</v>
      </c>
      <c r="F8" s="36">
        <v>0.87</v>
      </c>
      <c r="G8" s="36">
        <v>14.0</v>
      </c>
      <c r="H8" s="36">
        <v>0.88</v>
      </c>
      <c r="I8" s="36">
        <v>12.0</v>
      </c>
      <c r="J8" s="36">
        <v>92.4</v>
      </c>
      <c r="K8" s="36">
        <v>81.0</v>
      </c>
      <c r="L8" s="36">
        <v>56.6</v>
      </c>
      <c r="M8" s="36">
        <v>107.0</v>
      </c>
      <c r="N8" s="36">
        <v>36.0</v>
      </c>
      <c r="O8" s="36">
        <v>14.0</v>
      </c>
      <c r="P8" s="36">
        <v>17.0</v>
      </c>
      <c r="Q8" s="36">
        <v>0.37</v>
      </c>
      <c r="R8" s="36">
        <v>1.63</v>
      </c>
      <c r="S8" s="36">
        <v>2.75</v>
      </c>
      <c r="T8" s="36">
        <v>4.37</v>
      </c>
      <c r="U8" s="8">
        <f t="shared" si="1"/>
        <v>4750</v>
      </c>
      <c r="V8" s="21">
        <f t="shared" si="2"/>
        <v>40000</v>
      </c>
    </row>
    <row r="9" ht="14.25" customHeight="1">
      <c r="A9" s="38">
        <v>0.12430555555555556</v>
      </c>
      <c r="B9" s="36">
        <v>8.0</v>
      </c>
      <c r="C9" s="36">
        <v>6.5</v>
      </c>
      <c r="D9" s="36">
        <v>412.0</v>
      </c>
      <c r="E9" s="36">
        <v>363.0</v>
      </c>
      <c r="F9" s="36">
        <v>0.88</v>
      </c>
      <c r="G9" s="36">
        <v>13.0</v>
      </c>
      <c r="H9" s="36">
        <v>0.99</v>
      </c>
      <c r="I9" s="36">
        <v>12.5</v>
      </c>
      <c r="J9" s="36">
        <v>92.1</v>
      </c>
      <c r="K9" s="36">
        <v>88.0</v>
      </c>
      <c r="L9" s="36">
        <v>52.9</v>
      </c>
      <c r="M9" s="36">
        <v>107.0</v>
      </c>
      <c r="N9" s="36">
        <v>37.0</v>
      </c>
      <c r="O9" s="36">
        <v>13.0</v>
      </c>
      <c r="P9" s="36">
        <v>17.0</v>
      </c>
      <c r="Q9" s="36">
        <v>0.36</v>
      </c>
      <c r="R9" s="36">
        <v>1.73</v>
      </c>
      <c r="S9" s="36">
        <v>3.02</v>
      </c>
      <c r="T9" s="36">
        <v>4.75</v>
      </c>
      <c r="U9" s="8">
        <f t="shared" si="1"/>
        <v>4950</v>
      </c>
      <c r="V9" s="21">
        <f t="shared" si="2"/>
        <v>4900</v>
      </c>
    </row>
    <row r="10" ht="14.25" customHeight="1">
      <c r="A10" s="38">
        <v>0.1284722222222222</v>
      </c>
      <c r="B10" s="36">
        <v>10.0</v>
      </c>
      <c r="C10" s="36">
        <v>6.7</v>
      </c>
      <c r="D10" s="36">
        <v>421.0</v>
      </c>
      <c r="E10" s="36">
        <v>377.0</v>
      </c>
      <c r="F10" s="36">
        <v>0.89</v>
      </c>
      <c r="G10" s="36">
        <v>12.0</v>
      </c>
      <c r="H10" s="36">
        <v>1.04</v>
      </c>
      <c r="I10" s="36">
        <v>12.6</v>
      </c>
      <c r="J10" s="36">
        <v>92.0</v>
      </c>
      <c r="K10" s="36">
        <v>86.0</v>
      </c>
      <c r="L10" s="36">
        <v>53.5</v>
      </c>
      <c r="M10" s="36">
        <v>107.0</v>
      </c>
      <c r="N10" s="36">
        <v>37.0</v>
      </c>
      <c r="O10" s="36">
        <v>12.0</v>
      </c>
      <c r="P10" s="36">
        <v>18.0</v>
      </c>
      <c r="Q10" s="36">
        <v>0.37</v>
      </c>
      <c r="R10" s="36">
        <v>1.84</v>
      </c>
      <c r="S10" s="36">
        <v>3.11</v>
      </c>
      <c r="T10" s="36">
        <v>4.95</v>
      </c>
      <c r="U10" s="8">
        <f t="shared" si="1"/>
        <v>5020</v>
      </c>
      <c r="V10" s="21">
        <f t="shared" si="2"/>
        <v>19600</v>
      </c>
    </row>
    <row r="11" ht="14.25" customHeight="1">
      <c r="A11" s="38">
        <v>0.13194444444444445</v>
      </c>
      <c r="B11" s="36">
        <v>13.0</v>
      </c>
      <c r="C11" s="36">
        <v>6.8</v>
      </c>
      <c r="D11" s="36">
        <v>427.0</v>
      </c>
      <c r="E11" s="36">
        <v>389.0</v>
      </c>
      <c r="F11" s="36">
        <v>0.91</v>
      </c>
      <c r="G11" s="36">
        <v>12.0</v>
      </c>
      <c r="H11" s="36">
        <v>1.08</v>
      </c>
      <c r="I11" s="36">
        <v>12.9</v>
      </c>
      <c r="J11" s="36">
        <v>91.8</v>
      </c>
      <c r="K11" s="36">
        <v>89.0</v>
      </c>
      <c r="L11" s="36">
        <v>52.3</v>
      </c>
      <c r="M11" s="36">
        <v>108.0</v>
      </c>
      <c r="N11" s="36">
        <v>37.0</v>
      </c>
      <c r="O11" s="36">
        <v>12.0</v>
      </c>
      <c r="P11" s="36">
        <v>18.0</v>
      </c>
      <c r="Q11" s="36">
        <v>0.39</v>
      </c>
      <c r="R11" s="36">
        <v>1.98</v>
      </c>
      <c r="S11" s="36">
        <v>3.04</v>
      </c>
      <c r="T11" s="36">
        <v>5.02</v>
      </c>
      <c r="U11" s="8">
        <f t="shared" si="1"/>
        <v>5160</v>
      </c>
      <c r="V11" s="21">
        <f t="shared" si="2"/>
        <v>19600</v>
      </c>
    </row>
    <row r="12" ht="14.25" customHeight="1">
      <c r="A12" s="38">
        <v>0.13541666666666666</v>
      </c>
      <c r="B12" s="36">
        <v>15.0</v>
      </c>
      <c r="C12" s="36">
        <v>7.1</v>
      </c>
      <c r="D12" s="36">
        <v>445.0</v>
      </c>
      <c r="E12" s="36">
        <v>408.0</v>
      </c>
      <c r="F12" s="36">
        <v>0.92</v>
      </c>
      <c r="G12" s="36">
        <v>12.0</v>
      </c>
      <c r="H12" s="36">
        <v>1.14</v>
      </c>
      <c r="I12" s="36">
        <v>13.3</v>
      </c>
      <c r="J12" s="36">
        <v>91.6</v>
      </c>
      <c r="K12" s="36">
        <v>89.0</v>
      </c>
      <c r="L12" s="36">
        <v>52.0</v>
      </c>
      <c r="M12" s="36">
        <v>108.0</v>
      </c>
      <c r="N12" s="36">
        <v>37.0</v>
      </c>
      <c r="O12" s="36">
        <v>12.0</v>
      </c>
      <c r="P12" s="36">
        <v>19.0</v>
      </c>
      <c r="Q12" s="36">
        <v>0.39</v>
      </c>
      <c r="R12" s="36">
        <v>1.99</v>
      </c>
      <c r="S12" s="36">
        <v>3.17</v>
      </c>
      <c r="T12" s="36">
        <v>5.16</v>
      </c>
      <c r="U12" s="8">
        <f t="shared" si="1"/>
        <v>5300</v>
      </c>
      <c r="V12" s="21">
        <f t="shared" si="2"/>
        <v>0</v>
      </c>
    </row>
    <row r="13" ht="14.25" customHeight="1">
      <c r="A13" s="38">
        <v>0.1388888888888889</v>
      </c>
      <c r="B13" s="36">
        <v>18.0</v>
      </c>
      <c r="C13" s="36">
        <v>7.1</v>
      </c>
      <c r="D13" s="36">
        <v>444.0</v>
      </c>
      <c r="E13" s="36">
        <v>414.0</v>
      </c>
      <c r="F13" s="36">
        <v>0.93</v>
      </c>
      <c r="G13" s="36">
        <v>11.0</v>
      </c>
      <c r="H13" s="36">
        <v>1.18</v>
      </c>
      <c r="I13" s="36">
        <v>13.3</v>
      </c>
      <c r="J13" s="36">
        <v>91.5</v>
      </c>
      <c r="K13" s="36">
        <v>89.0</v>
      </c>
      <c r="L13" s="36">
        <v>52.3</v>
      </c>
      <c r="M13" s="36">
        <v>108.0</v>
      </c>
      <c r="N13" s="36">
        <v>38.0</v>
      </c>
      <c r="O13" s="36">
        <v>11.0</v>
      </c>
      <c r="P13" s="36">
        <v>19.0</v>
      </c>
      <c r="Q13" s="36">
        <v>0.39</v>
      </c>
      <c r="R13" s="36">
        <v>2.06</v>
      </c>
      <c r="S13" s="36">
        <v>3.25</v>
      </c>
      <c r="T13" s="36">
        <v>5.3</v>
      </c>
      <c r="U13" s="8">
        <f t="shared" si="1"/>
        <v>5300</v>
      </c>
      <c r="V13" s="21">
        <f t="shared" si="2"/>
        <v>400</v>
      </c>
    </row>
    <row r="14" ht="14.25" customHeight="1">
      <c r="A14" s="38">
        <v>0.14166666666666666</v>
      </c>
      <c r="B14" s="36">
        <v>20.0</v>
      </c>
      <c r="C14" s="36">
        <v>7.1</v>
      </c>
      <c r="D14" s="36">
        <v>444.0</v>
      </c>
      <c r="E14" s="36">
        <v>414.0</v>
      </c>
      <c r="F14" s="36">
        <v>0.93</v>
      </c>
      <c r="G14" s="36">
        <v>11.0</v>
      </c>
      <c r="H14" s="36">
        <v>1.18</v>
      </c>
      <c r="I14" s="36">
        <v>13.3</v>
      </c>
      <c r="J14" s="36">
        <v>91.5</v>
      </c>
      <c r="K14" s="36">
        <v>88.0</v>
      </c>
      <c r="L14" s="36">
        <v>52.6</v>
      </c>
      <c r="M14" s="36">
        <v>108.0</v>
      </c>
      <c r="N14" s="36">
        <v>38.0</v>
      </c>
      <c r="O14" s="36">
        <v>11.0</v>
      </c>
      <c r="P14" s="36">
        <v>19.0</v>
      </c>
      <c r="Q14" s="36">
        <v>0.39</v>
      </c>
      <c r="R14" s="36">
        <v>2.06</v>
      </c>
      <c r="S14" s="36">
        <v>3.25</v>
      </c>
      <c r="T14" s="36">
        <v>5.3</v>
      </c>
      <c r="U14" s="8">
        <f t="shared" si="1"/>
        <v>5280</v>
      </c>
      <c r="V14" s="21">
        <f t="shared" si="2"/>
        <v>6400</v>
      </c>
    </row>
    <row r="15" ht="14.25" customHeight="1">
      <c r="A15" s="38">
        <v>0.1451388888888889</v>
      </c>
      <c r="B15" s="36">
        <v>22.0</v>
      </c>
      <c r="C15" s="36">
        <v>7.2</v>
      </c>
      <c r="D15" s="36">
        <v>456.0</v>
      </c>
      <c r="E15" s="36">
        <v>421.0</v>
      </c>
      <c r="F15" s="36">
        <v>0.92</v>
      </c>
      <c r="G15" s="36">
        <v>11.0</v>
      </c>
      <c r="H15" s="36">
        <v>1.19</v>
      </c>
      <c r="I15" s="36">
        <v>13.5</v>
      </c>
      <c r="J15" s="36">
        <v>91.4</v>
      </c>
      <c r="K15" s="36">
        <v>87.0</v>
      </c>
      <c r="L15" s="36">
        <v>53.2</v>
      </c>
      <c r="M15" s="36">
        <v>108.0</v>
      </c>
      <c r="N15" s="36">
        <v>38.0</v>
      </c>
      <c r="O15" s="36">
        <v>11.0</v>
      </c>
      <c r="P15" s="36">
        <v>19.0</v>
      </c>
      <c r="Q15" s="36">
        <v>0.37</v>
      </c>
      <c r="R15" s="36">
        <v>1.98</v>
      </c>
      <c r="S15" s="36">
        <v>3.3</v>
      </c>
      <c r="T15" s="36">
        <v>5.28</v>
      </c>
      <c r="U15" s="8">
        <f t="shared" si="1"/>
        <v>5200</v>
      </c>
      <c r="V15" s="21">
        <f t="shared" si="2"/>
        <v>129600</v>
      </c>
    </row>
    <row r="16" ht="14.25" customHeight="1">
      <c r="A16" s="38">
        <v>0.1486111111111111</v>
      </c>
      <c r="B16" s="36">
        <v>25.0</v>
      </c>
      <c r="C16" s="36">
        <v>7.1</v>
      </c>
      <c r="D16" s="36">
        <v>450.0</v>
      </c>
      <c r="E16" s="36">
        <v>421.0</v>
      </c>
      <c r="F16" s="36">
        <v>0.94</v>
      </c>
      <c r="G16" s="36">
        <v>12.0</v>
      </c>
      <c r="H16" s="36">
        <v>1.15</v>
      </c>
      <c r="I16" s="36">
        <v>13.3</v>
      </c>
      <c r="J16" s="36">
        <v>91.6</v>
      </c>
      <c r="K16" s="36">
        <v>86.0</v>
      </c>
      <c r="L16" s="36">
        <v>53.8</v>
      </c>
      <c r="M16" s="36">
        <v>108.0</v>
      </c>
      <c r="N16" s="36">
        <v>38.0</v>
      </c>
      <c r="O16" s="36">
        <v>12.0</v>
      </c>
      <c r="P16" s="36">
        <v>19.0</v>
      </c>
      <c r="Q16" s="36">
        <v>0.4</v>
      </c>
      <c r="R16" s="36">
        <v>2.09</v>
      </c>
      <c r="S16" s="36">
        <v>3.12</v>
      </c>
      <c r="T16" s="36">
        <v>5.2</v>
      </c>
      <c r="U16" s="8">
        <f t="shared" si="1"/>
        <v>4840</v>
      </c>
      <c r="V16" s="21">
        <f t="shared" si="2"/>
        <v>90000</v>
      </c>
    </row>
    <row r="17" ht="14.25" customHeight="1">
      <c r="A17" s="38">
        <v>0.15138888888888888</v>
      </c>
      <c r="B17" s="36">
        <v>27.0</v>
      </c>
      <c r="C17" s="36">
        <v>7.1</v>
      </c>
      <c r="D17" s="36">
        <v>448.0</v>
      </c>
      <c r="E17" s="36">
        <v>422.0</v>
      </c>
      <c r="F17" s="36">
        <v>0.94</v>
      </c>
      <c r="G17" s="36">
        <v>12.0</v>
      </c>
      <c r="H17" s="36">
        <v>1.08</v>
      </c>
      <c r="I17" s="36">
        <v>13.4</v>
      </c>
      <c r="J17" s="36">
        <v>91.5</v>
      </c>
      <c r="K17" s="36">
        <v>85.0</v>
      </c>
      <c r="L17" s="36">
        <v>54.2</v>
      </c>
      <c r="M17" s="36">
        <v>109.0</v>
      </c>
      <c r="N17" s="36">
        <v>38.0</v>
      </c>
      <c r="O17" s="36">
        <v>12.0</v>
      </c>
      <c r="P17" s="36">
        <v>19.0</v>
      </c>
      <c r="Q17" s="36">
        <v>0.39</v>
      </c>
      <c r="R17" s="36">
        <v>1.9</v>
      </c>
      <c r="S17" s="36">
        <v>2.94</v>
      </c>
      <c r="T17" s="36">
        <v>4.84</v>
      </c>
      <c r="U17" s="8">
        <f t="shared" si="1"/>
        <v>4540</v>
      </c>
      <c r="V17" s="21">
        <f t="shared" si="2"/>
        <v>2500</v>
      </c>
    </row>
    <row r="18" ht="14.25" customHeight="1">
      <c r="A18" s="38">
        <v>0.15416666666666667</v>
      </c>
      <c r="B18" s="36">
        <v>29.0</v>
      </c>
      <c r="C18" s="36">
        <v>7.1</v>
      </c>
      <c r="D18" s="36">
        <v>446.0</v>
      </c>
      <c r="E18" s="36">
        <v>422.0</v>
      </c>
      <c r="F18" s="36">
        <v>0.95</v>
      </c>
      <c r="G18" s="36">
        <v>13.0</v>
      </c>
      <c r="H18" s="36">
        <v>1.02</v>
      </c>
      <c r="I18" s="36">
        <v>13.5</v>
      </c>
      <c r="J18" s="36">
        <v>91.4</v>
      </c>
      <c r="K18" s="36">
        <v>87.0</v>
      </c>
      <c r="L18" s="36">
        <v>53.4</v>
      </c>
      <c r="M18" s="36">
        <v>108.0</v>
      </c>
      <c r="N18" s="36">
        <v>38.0</v>
      </c>
      <c r="O18" s="36">
        <v>13.0</v>
      </c>
      <c r="P18" s="36">
        <v>19.0</v>
      </c>
      <c r="Q18" s="36">
        <v>0.39</v>
      </c>
      <c r="R18" s="36">
        <v>1.75</v>
      </c>
      <c r="S18" s="36">
        <v>2.79</v>
      </c>
      <c r="T18" s="36">
        <v>4.54</v>
      </c>
      <c r="U18" s="8">
        <f t="shared" si="1"/>
        <v>4490</v>
      </c>
      <c r="V18" s="21">
        <f t="shared" si="2"/>
        <v>4900</v>
      </c>
    </row>
    <row r="19" ht="14.25" customHeight="1">
      <c r="A19" s="38">
        <v>0.15694444444444444</v>
      </c>
      <c r="B19" s="36">
        <v>31.0</v>
      </c>
      <c r="C19" s="36">
        <v>7.1</v>
      </c>
      <c r="D19" s="36">
        <v>448.0</v>
      </c>
      <c r="E19" s="36">
        <v>425.0</v>
      </c>
      <c r="F19" s="36">
        <v>0.95</v>
      </c>
      <c r="G19" s="36">
        <v>13.0</v>
      </c>
      <c r="H19" s="36">
        <v>1.02</v>
      </c>
      <c r="I19" s="36">
        <v>13.6</v>
      </c>
      <c r="J19" s="36">
        <v>91.3</v>
      </c>
      <c r="K19" s="36">
        <v>84.0</v>
      </c>
      <c r="L19" s="36">
        <v>54.7</v>
      </c>
      <c r="M19" s="36">
        <v>108.0</v>
      </c>
      <c r="N19" s="36">
        <v>38.0</v>
      </c>
      <c r="O19" s="36">
        <v>13.0</v>
      </c>
      <c r="P19" s="36">
        <v>19.0</v>
      </c>
      <c r="Q19" s="36">
        <v>0.38</v>
      </c>
      <c r="R19" s="36">
        <v>1.72</v>
      </c>
      <c r="S19" s="36">
        <v>2.78</v>
      </c>
      <c r="T19" s="36">
        <v>4.49</v>
      </c>
      <c r="U19" s="8">
        <f t="shared" si="1"/>
        <v>4420</v>
      </c>
      <c r="V19" s="21">
        <f t="shared" si="2"/>
        <v>1600</v>
      </c>
    </row>
    <row r="20" ht="14.25" customHeight="1">
      <c r="A20" s="38">
        <v>0.16041666666666668</v>
      </c>
      <c r="B20" s="36">
        <v>34.0</v>
      </c>
      <c r="C20" s="36">
        <v>7.3</v>
      </c>
      <c r="D20" s="36">
        <v>460.0</v>
      </c>
      <c r="E20" s="36">
        <v>431.0</v>
      </c>
      <c r="F20" s="36">
        <v>0.94</v>
      </c>
      <c r="G20" s="36">
        <v>14.0</v>
      </c>
      <c r="H20" s="36">
        <v>1.01</v>
      </c>
      <c r="I20" s="36">
        <v>13.8</v>
      </c>
      <c r="J20" s="36">
        <v>91.2</v>
      </c>
      <c r="K20" s="36">
        <v>84.0</v>
      </c>
      <c r="L20" s="36">
        <v>54.9</v>
      </c>
      <c r="M20" s="36">
        <v>108.0</v>
      </c>
      <c r="N20" s="36">
        <v>38.0</v>
      </c>
      <c r="O20" s="36">
        <v>14.0</v>
      </c>
      <c r="P20" s="36">
        <v>19.0</v>
      </c>
      <c r="Q20" s="36">
        <v>0.37</v>
      </c>
      <c r="R20" s="36">
        <v>1.64</v>
      </c>
      <c r="S20" s="36">
        <v>2.78</v>
      </c>
      <c r="T20" s="36">
        <v>4.42</v>
      </c>
      <c r="U20" s="8">
        <f t="shared" si="1"/>
        <v>4380</v>
      </c>
      <c r="V20" s="21">
        <f t="shared" si="2"/>
        <v>1600</v>
      </c>
    </row>
    <row r="21" ht="14.25" customHeight="1">
      <c r="A21" s="38">
        <v>0.16319444444444445</v>
      </c>
      <c r="B21" s="36">
        <v>35.0</v>
      </c>
      <c r="C21" s="36">
        <v>7.1</v>
      </c>
      <c r="D21" s="36">
        <v>450.0</v>
      </c>
      <c r="E21" s="36">
        <v>422.0</v>
      </c>
      <c r="F21" s="36">
        <v>0.94</v>
      </c>
      <c r="G21" s="36">
        <v>14.0</v>
      </c>
      <c r="H21" s="36">
        <v>0.99</v>
      </c>
      <c r="I21" s="36">
        <v>13.5</v>
      </c>
      <c r="J21" s="36">
        <v>91.4</v>
      </c>
      <c r="K21" s="36">
        <v>84.0</v>
      </c>
      <c r="L21" s="36">
        <v>54.9</v>
      </c>
      <c r="M21" s="36">
        <v>108.0</v>
      </c>
      <c r="N21" s="36">
        <v>38.0</v>
      </c>
      <c r="O21" s="36">
        <v>14.0</v>
      </c>
      <c r="P21" s="36">
        <v>19.0</v>
      </c>
      <c r="Q21" s="36">
        <v>0.38</v>
      </c>
      <c r="R21" s="36">
        <v>1.67</v>
      </c>
      <c r="S21" s="36">
        <v>2.71</v>
      </c>
      <c r="T21" s="36">
        <v>4.38</v>
      </c>
      <c r="U21" s="8">
        <f t="shared" si="1"/>
        <v>4340</v>
      </c>
      <c r="V21" s="21">
        <f t="shared" si="2"/>
        <v>900</v>
      </c>
    </row>
    <row r="22" ht="14.25" customHeight="1">
      <c r="A22" s="38">
        <v>0.16666666666666666</v>
      </c>
      <c r="B22" s="36">
        <v>38.0</v>
      </c>
      <c r="C22" s="36">
        <v>7.0</v>
      </c>
      <c r="D22" s="36">
        <v>441.0</v>
      </c>
      <c r="E22" s="36">
        <v>415.0</v>
      </c>
      <c r="F22" s="36">
        <v>0.94</v>
      </c>
      <c r="G22" s="36">
        <v>14.0</v>
      </c>
      <c r="H22" s="36">
        <v>0.97</v>
      </c>
      <c r="I22" s="36">
        <v>13.4</v>
      </c>
      <c r="J22" s="36">
        <v>91.5</v>
      </c>
      <c r="K22" s="36">
        <v>85.0</v>
      </c>
      <c r="L22" s="36">
        <v>54.2</v>
      </c>
      <c r="M22" s="36">
        <v>108.0</v>
      </c>
      <c r="N22" s="36">
        <v>38.0</v>
      </c>
      <c r="O22" s="36">
        <v>14.0</v>
      </c>
      <c r="P22" s="36">
        <v>18.0</v>
      </c>
      <c r="Q22" s="36">
        <v>0.39</v>
      </c>
      <c r="R22" s="36">
        <v>1.7</v>
      </c>
      <c r="S22" s="36">
        <v>2.63</v>
      </c>
      <c r="T22" s="36">
        <v>4.34</v>
      </c>
      <c r="U22" s="8">
        <f t="shared" si="1"/>
        <v>4310</v>
      </c>
      <c r="V22" s="21">
        <f t="shared" si="2"/>
        <v>900</v>
      </c>
    </row>
    <row r="23" ht="14.25" customHeight="1">
      <c r="A23" s="38">
        <v>0.16944444444444445</v>
      </c>
      <c r="B23" s="36">
        <v>40.0</v>
      </c>
      <c r="C23" s="36">
        <v>7.0</v>
      </c>
      <c r="D23" s="36">
        <v>444.0</v>
      </c>
      <c r="E23" s="36">
        <v>418.0</v>
      </c>
      <c r="F23" s="36">
        <v>0.94</v>
      </c>
      <c r="G23" s="36">
        <v>14.0</v>
      </c>
      <c r="H23" s="36">
        <v>0.97</v>
      </c>
      <c r="I23" s="36">
        <v>13.5</v>
      </c>
      <c r="J23" s="36">
        <v>91.4</v>
      </c>
      <c r="K23" s="36">
        <v>87.0</v>
      </c>
      <c r="L23" s="36">
        <v>53.3</v>
      </c>
      <c r="M23" s="36">
        <v>108.0</v>
      </c>
      <c r="N23" s="36">
        <v>38.0</v>
      </c>
      <c r="O23" s="36">
        <v>14.0</v>
      </c>
      <c r="P23" s="36">
        <v>19.0</v>
      </c>
      <c r="Q23" s="36">
        <v>0.38</v>
      </c>
      <c r="R23" s="36">
        <v>1.65</v>
      </c>
      <c r="S23" s="36">
        <v>2.65</v>
      </c>
      <c r="T23" s="36">
        <v>4.31</v>
      </c>
      <c r="U23" s="8">
        <f t="shared" si="1"/>
        <v>4340</v>
      </c>
      <c r="V23" s="21">
        <f t="shared" si="2"/>
        <v>28900</v>
      </c>
    </row>
    <row r="24" ht="14.25" customHeight="1">
      <c r="A24" s="38">
        <v>0.17222222222222222</v>
      </c>
      <c r="B24" s="36">
        <v>42.0</v>
      </c>
      <c r="C24" s="36">
        <v>7.1</v>
      </c>
      <c r="D24" s="36">
        <v>447.0</v>
      </c>
      <c r="E24" s="36">
        <v>419.0</v>
      </c>
      <c r="F24" s="36">
        <v>0.94</v>
      </c>
      <c r="G24" s="36">
        <v>14.0</v>
      </c>
      <c r="H24" s="36">
        <v>0.97</v>
      </c>
      <c r="I24" s="36">
        <v>13.5</v>
      </c>
      <c r="J24" s="36">
        <v>91.4</v>
      </c>
      <c r="K24" s="36">
        <v>85.0</v>
      </c>
      <c r="L24" s="36">
        <v>54.3</v>
      </c>
      <c r="M24" s="36">
        <v>108.0</v>
      </c>
      <c r="N24" s="36">
        <v>38.0</v>
      </c>
      <c r="O24" s="36">
        <v>14.0</v>
      </c>
      <c r="P24" s="36">
        <v>19.0</v>
      </c>
      <c r="Q24" s="36">
        <v>0.38</v>
      </c>
      <c r="R24" s="36">
        <v>1.66</v>
      </c>
      <c r="S24" s="36">
        <v>2.68</v>
      </c>
      <c r="T24" s="36">
        <v>4.34</v>
      </c>
      <c r="U24" s="8">
        <f t="shared" si="1"/>
        <v>4510</v>
      </c>
      <c r="V24" s="21">
        <f t="shared" si="2"/>
        <v>8100</v>
      </c>
    </row>
    <row r="25" ht="14.25" customHeight="1">
      <c r="A25" s="38">
        <v>0.17569444444444443</v>
      </c>
      <c r="B25" s="36">
        <v>44.0</v>
      </c>
      <c r="C25" s="36">
        <v>7.2</v>
      </c>
      <c r="D25" s="36">
        <v>453.0</v>
      </c>
      <c r="E25" s="36">
        <v>422.0</v>
      </c>
      <c r="F25" s="36">
        <v>0.93</v>
      </c>
      <c r="G25" s="36">
        <v>13.0</v>
      </c>
      <c r="H25" s="36">
        <v>1.0</v>
      </c>
      <c r="I25" s="36">
        <v>13.3</v>
      </c>
      <c r="J25" s="36">
        <v>91.5</v>
      </c>
      <c r="K25" s="36">
        <v>87.0</v>
      </c>
      <c r="L25" s="36">
        <v>53.1</v>
      </c>
      <c r="M25" s="36">
        <v>107.0</v>
      </c>
      <c r="N25" s="36">
        <v>39.0</v>
      </c>
      <c r="O25" s="36">
        <v>13.0</v>
      </c>
      <c r="P25" s="36">
        <v>19.0</v>
      </c>
      <c r="Q25" s="36">
        <v>0.38</v>
      </c>
      <c r="R25" s="36">
        <v>1.73</v>
      </c>
      <c r="S25" s="36">
        <v>2.77</v>
      </c>
      <c r="T25" s="36">
        <v>4.51</v>
      </c>
      <c r="U25" s="8">
        <f t="shared" si="1"/>
        <v>4420</v>
      </c>
      <c r="V25" s="21">
        <f t="shared" si="2"/>
        <v>0</v>
      </c>
    </row>
    <row r="26" ht="14.25" customHeight="1">
      <c r="A26" s="38">
        <v>0.17916666666666667</v>
      </c>
      <c r="B26" s="36">
        <v>46.0</v>
      </c>
      <c r="C26" s="36">
        <v>7.0</v>
      </c>
      <c r="D26" s="36">
        <v>443.0</v>
      </c>
      <c r="E26" s="36">
        <v>413.0</v>
      </c>
      <c r="F26" s="36">
        <v>0.93</v>
      </c>
      <c r="G26" s="36">
        <v>14.0</v>
      </c>
      <c r="H26" s="36">
        <v>0.97</v>
      </c>
      <c r="I26" s="36">
        <v>13.1</v>
      </c>
      <c r="J26" s="36">
        <v>91.6</v>
      </c>
      <c r="K26" s="36">
        <v>88.0</v>
      </c>
      <c r="L26" s="36">
        <v>52.8</v>
      </c>
      <c r="M26" s="36">
        <v>107.0</v>
      </c>
      <c r="N26" s="36">
        <v>38.0</v>
      </c>
      <c r="O26" s="36">
        <v>14.0</v>
      </c>
      <c r="P26" s="36">
        <v>18.0</v>
      </c>
      <c r="Q26" s="36">
        <v>0.39</v>
      </c>
      <c r="R26" s="36">
        <v>1.72</v>
      </c>
      <c r="S26" s="36">
        <v>2.7</v>
      </c>
      <c r="T26" s="36">
        <v>4.42</v>
      </c>
      <c r="U26" s="8">
        <f t="shared" si="1"/>
        <v>4420</v>
      </c>
      <c r="V26" s="21">
        <f t="shared" si="2"/>
        <v>6400</v>
      </c>
    </row>
    <row r="27" ht="14.25" customHeight="1">
      <c r="A27" s="38">
        <v>0.18263888888888888</v>
      </c>
      <c r="B27" s="36">
        <v>49.0</v>
      </c>
      <c r="C27" s="36">
        <v>7.0</v>
      </c>
      <c r="D27" s="36">
        <v>438.0</v>
      </c>
      <c r="E27" s="36">
        <v>407.0</v>
      </c>
      <c r="F27" s="36">
        <v>0.93</v>
      </c>
      <c r="G27" s="36">
        <v>14.0</v>
      </c>
      <c r="H27" s="36">
        <v>0.96</v>
      </c>
      <c r="I27" s="36">
        <v>13.0</v>
      </c>
      <c r="J27" s="36">
        <v>91.7</v>
      </c>
      <c r="K27" s="36">
        <v>88.0</v>
      </c>
      <c r="L27" s="36">
        <v>52.6</v>
      </c>
      <c r="M27" s="36">
        <v>107.0</v>
      </c>
      <c r="N27" s="36">
        <v>38.0</v>
      </c>
      <c r="O27" s="36">
        <v>14.0</v>
      </c>
      <c r="P27" s="36">
        <v>18.0</v>
      </c>
      <c r="Q27" s="36">
        <v>0.4</v>
      </c>
      <c r="R27" s="36">
        <v>1.75</v>
      </c>
      <c r="S27" s="36">
        <v>2.66</v>
      </c>
      <c r="T27" s="36">
        <v>4.42</v>
      </c>
      <c r="U27" s="8">
        <f t="shared" si="1"/>
        <v>4500</v>
      </c>
      <c r="V27" s="21">
        <f t="shared" si="2"/>
        <v>0</v>
      </c>
    </row>
    <row r="28" ht="14.25" customHeight="1">
      <c r="A28" s="38">
        <v>0.18541666666666667</v>
      </c>
      <c r="B28" s="36">
        <v>52.0</v>
      </c>
      <c r="C28" s="36">
        <v>7.0</v>
      </c>
      <c r="D28" s="36">
        <v>439.0</v>
      </c>
      <c r="E28" s="36">
        <v>409.0</v>
      </c>
      <c r="F28" s="36">
        <v>0.93</v>
      </c>
      <c r="G28" s="36">
        <v>13.0</v>
      </c>
      <c r="H28" s="36">
        <v>0.97</v>
      </c>
      <c r="I28" s="36">
        <v>12.9</v>
      </c>
      <c r="J28" s="36">
        <v>91.8</v>
      </c>
      <c r="K28" s="36">
        <v>88.0</v>
      </c>
      <c r="L28" s="36">
        <v>52.9</v>
      </c>
      <c r="M28" s="36">
        <v>107.0</v>
      </c>
      <c r="N28" s="36">
        <v>39.0</v>
      </c>
      <c r="O28" s="36">
        <v>13.0</v>
      </c>
      <c r="P28" s="36">
        <v>18.0</v>
      </c>
      <c r="Q28" s="36">
        <v>0.4</v>
      </c>
      <c r="R28" s="36">
        <v>1.8</v>
      </c>
      <c r="S28" s="36">
        <v>2.71</v>
      </c>
      <c r="T28" s="36">
        <v>4.5</v>
      </c>
      <c r="U28" s="8">
        <f t="shared" si="1"/>
        <v>4500</v>
      </c>
      <c r="V28" s="21">
        <f t="shared" si="2"/>
        <v>1600</v>
      </c>
    </row>
    <row r="29" ht="14.25" customHeight="1">
      <c r="A29" s="38">
        <v>0.18888888888888888</v>
      </c>
      <c r="B29" s="36">
        <v>54.0</v>
      </c>
      <c r="C29" s="36">
        <v>7.1</v>
      </c>
      <c r="D29" s="36">
        <v>446.0</v>
      </c>
      <c r="E29" s="36">
        <v>412.0</v>
      </c>
      <c r="F29" s="36">
        <v>0.92</v>
      </c>
      <c r="G29" s="36">
        <v>13.0</v>
      </c>
      <c r="H29" s="36">
        <v>0.96</v>
      </c>
      <c r="I29" s="36">
        <v>12.8</v>
      </c>
      <c r="J29" s="36">
        <v>91.8</v>
      </c>
      <c r="K29" s="36">
        <v>88.0</v>
      </c>
      <c r="L29" s="36">
        <v>52.7</v>
      </c>
      <c r="M29" s="36">
        <v>106.0</v>
      </c>
      <c r="N29" s="36">
        <v>39.0</v>
      </c>
      <c r="O29" s="36">
        <v>13.0</v>
      </c>
      <c r="P29" s="36">
        <v>19.0</v>
      </c>
      <c r="Q29" s="36">
        <v>0.39</v>
      </c>
      <c r="R29" s="36">
        <v>1.76</v>
      </c>
      <c r="S29" s="36">
        <v>2.74</v>
      </c>
      <c r="T29" s="36">
        <v>4.5</v>
      </c>
      <c r="U29" s="8">
        <f t="shared" si="1"/>
        <v>4540</v>
      </c>
      <c r="V29" s="21">
        <f t="shared" si="2"/>
        <v>32400</v>
      </c>
    </row>
    <row r="30" ht="14.25" customHeight="1">
      <c r="A30" s="38">
        <v>0.19166666666666668</v>
      </c>
      <c r="B30" s="36">
        <v>55.0</v>
      </c>
      <c r="C30" s="36">
        <v>7.0</v>
      </c>
      <c r="D30" s="36">
        <v>444.0</v>
      </c>
      <c r="E30" s="36">
        <v>406.0</v>
      </c>
      <c r="F30" s="36">
        <v>0.92</v>
      </c>
      <c r="G30" s="36">
        <v>13.0</v>
      </c>
      <c r="H30" s="36">
        <v>0.95</v>
      </c>
      <c r="I30" s="36">
        <v>12.6</v>
      </c>
      <c r="J30" s="36">
        <v>92.0</v>
      </c>
      <c r="K30" s="36">
        <v>88.0</v>
      </c>
      <c r="L30" s="36">
        <v>52.7</v>
      </c>
      <c r="M30" s="36">
        <v>105.0</v>
      </c>
      <c r="N30" s="36">
        <v>39.0</v>
      </c>
      <c r="O30" s="36">
        <v>13.0</v>
      </c>
      <c r="P30" s="36">
        <v>19.0</v>
      </c>
      <c r="Q30" s="36">
        <v>0.4</v>
      </c>
      <c r="R30" s="36">
        <v>1.83</v>
      </c>
      <c r="S30" s="36">
        <v>2.71</v>
      </c>
      <c r="T30" s="36">
        <v>4.54</v>
      </c>
      <c r="U30" s="8">
        <f t="shared" si="1"/>
        <v>4360</v>
      </c>
      <c r="V30" s="21">
        <f t="shared" si="2"/>
        <v>1600</v>
      </c>
    </row>
    <row r="31" ht="14.25" customHeight="1">
      <c r="A31" s="38">
        <v>0.19375</v>
      </c>
      <c r="B31" s="36">
        <v>58.0</v>
      </c>
      <c r="C31" s="36">
        <v>6.9</v>
      </c>
      <c r="D31" s="36">
        <v>436.0</v>
      </c>
      <c r="E31" s="36">
        <v>396.0</v>
      </c>
      <c r="F31" s="36">
        <v>0.91</v>
      </c>
      <c r="G31" s="36">
        <v>14.0</v>
      </c>
      <c r="H31" s="36">
        <v>0.9</v>
      </c>
      <c r="I31" s="36">
        <v>12.4</v>
      </c>
      <c r="J31" s="36">
        <v>92.1</v>
      </c>
      <c r="K31" s="36">
        <v>88.0</v>
      </c>
      <c r="L31" s="36">
        <v>52.7</v>
      </c>
      <c r="M31" s="36">
        <v>105.0</v>
      </c>
      <c r="N31" s="36">
        <v>40.0</v>
      </c>
      <c r="O31" s="36">
        <v>14.0</v>
      </c>
      <c r="P31" s="36">
        <v>18.0</v>
      </c>
      <c r="Q31" s="36">
        <v>0.39</v>
      </c>
      <c r="R31" s="36">
        <v>1.72</v>
      </c>
      <c r="S31" s="36">
        <v>2.64</v>
      </c>
      <c r="T31" s="36">
        <v>4.36</v>
      </c>
      <c r="U31" s="8">
        <f t="shared" si="1"/>
        <v>4320</v>
      </c>
      <c r="V31" s="21">
        <f t="shared" si="2"/>
        <v>6400</v>
      </c>
    </row>
    <row r="32" ht="14.25" customHeight="1">
      <c r="A32" s="38">
        <v>0.19722222222222222</v>
      </c>
      <c r="B32" s="36">
        <v>60.0</v>
      </c>
      <c r="C32" s="36">
        <v>7.0</v>
      </c>
      <c r="D32" s="36">
        <v>442.0</v>
      </c>
      <c r="E32" s="36">
        <v>400.0</v>
      </c>
      <c r="F32" s="36">
        <v>0.9</v>
      </c>
      <c r="G32" s="36">
        <v>14.0</v>
      </c>
      <c r="H32" s="36">
        <v>0.9</v>
      </c>
      <c r="I32" s="36">
        <v>12.5</v>
      </c>
      <c r="J32" s="36">
        <v>92.0</v>
      </c>
      <c r="K32" s="36">
        <v>87.0</v>
      </c>
      <c r="L32" s="36">
        <v>53.5</v>
      </c>
      <c r="M32" s="36">
        <v>105.0</v>
      </c>
      <c r="N32" s="36">
        <v>39.0</v>
      </c>
      <c r="O32" s="36">
        <v>14.0</v>
      </c>
      <c r="P32" s="36">
        <v>18.0</v>
      </c>
      <c r="Q32" s="36">
        <v>0.4</v>
      </c>
      <c r="R32" s="36">
        <v>1.75</v>
      </c>
      <c r="S32" s="36">
        <v>2.57</v>
      </c>
      <c r="T32" s="36">
        <v>4.32</v>
      </c>
      <c r="U32" s="8">
        <f t="shared" si="1"/>
        <v>4240</v>
      </c>
      <c r="V32" s="21">
        <f t="shared" si="2"/>
        <v>10000</v>
      </c>
    </row>
    <row r="33" ht="14.25" customHeight="1">
      <c r="A33" s="38">
        <v>0.2</v>
      </c>
      <c r="B33" s="36">
        <v>61.0</v>
      </c>
      <c r="C33" s="36">
        <v>6.9</v>
      </c>
      <c r="D33" s="36">
        <v>434.0</v>
      </c>
      <c r="E33" s="36">
        <v>392.0</v>
      </c>
      <c r="F33" s="36">
        <v>0.9</v>
      </c>
      <c r="G33" s="36">
        <v>14.0</v>
      </c>
      <c r="H33" s="36">
        <v>0.87</v>
      </c>
      <c r="I33" s="36">
        <v>12.3</v>
      </c>
      <c r="J33" s="36">
        <v>92.2</v>
      </c>
      <c r="K33" s="36">
        <v>85.0</v>
      </c>
      <c r="L33" s="36">
        <v>54.5</v>
      </c>
      <c r="M33" s="36">
        <v>105.0</v>
      </c>
      <c r="N33" s="36">
        <v>40.0</v>
      </c>
      <c r="O33" s="36">
        <v>14.0</v>
      </c>
      <c r="P33" s="36">
        <v>18.0</v>
      </c>
      <c r="Q33" s="36">
        <v>0.41</v>
      </c>
      <c r="R33" s="36">
        <v>1.73</v>
      </c>
      <c r="S33" s="36">
        <v>2.51</v>
      </c>
      <c r="T33" s="36">
        <v>4.24</v>
      </c>
      <c r="U33" s="8">
        <f t="shared" si="1"/>
        <v>4340</v>
      </c>
      <c r="V33" s="21">
        <f t="shared" si="2"/>
        <v>90000</v>
      </c>
    </row>
    <row r="34" ht="14.25" customHeight="1">
      <c r="A34" s="38">
        <v>0.20347222222222222</v>
      </c>
      <c r="B34" s="36">
        <v>65.0</v>
      </c>
      <c r="C34" s="36">
        <v>7.2</v>
      </c>
      <c r="D34" s="36">
        <v>455.0</v>
      </c>
      <c r="E34" s="36">
        <v>405.0</v>
      </c>
      <c r="F34" s="36">
        <v>0.89</v>
      </c>
      <c r="G34" s="36">
        <v>14.0</v>
      </c>
      <c r="H34" s="36">
        <v>0.91</v>
      </c>
      <c r="I34" s="36">
        <v>12.6</v>
      </c>
      <c r="J34" s="36">
        <v>92.0</v>
      </c>
      <c r="K34" s="36">
        <v>82.0</v>
      </c>
      <c r="L34" s="36">
        <v>55.7</v>
      </c>
      <c r="M34" s="36">
        <v>104.0</v>
      </c>
      <c r="N34" s="36">
        <v>40.0</v>
      </c>
      <c r="O34" s="36">
        <v>14.0</v>
      </c>
      <c r="P34" s="36">
        <v>19.0</v>
      </c>
      <c r="Q34" s="36">
        <v>0.39</v>
      </c>
      <c r="R34" s="36">
        <v>1.7</v>
      </c>
      <c r="S34" s="36">
        <v>2.64</v>
      </c>
      <c r="T34" s="36">
        <v>4.34</v>
      </c>
      <c r="U34" s="8">
        <f t="shared" si="1"/>
        <v>4640</v>
      </c>
      <c r="V34" s="21">
        <f t="shared" si="2"/>
        <v>40000</v>
      </c>
    </row>
    <row r="35" ht="14.25" customHeight="1">
      <c r="A35" s="38">
        <v>0.2076388888888889</v>
      </c>
      <c r="B35" s="36">
        <v>68.0</v>
      </c>
      <c r="C35" s="36">
        <v>7.6</v>
      </c>
      <c r="D35" s="36">
        <v>476.0</v>
      </c>
      <c r="E35" s="36">
        <v>419.0</v>
      </c>
      <c r="F35" s="36">
        <v>0.88</v>
      </c>
      <c r="G35" s="36">
        <v>13.0</v>
      </c>
      <c r="H35" s="36">
        <v>0.98</v>
      </c>
      <c r="I35" s="36">
        <v>12.7</v>
      </c>
      <c r="J35" s="36">
        <v>91.9</v>
      </c>
      <c r="K35" s="36">
        <v>82.0</v>
      </c>
      <c r="L35" s="36">
        <v>55.9</v>
      </c>
      <c r="M35" s="36">
        <v>103.0</v>
      </c>
      <c r="N35" s="36">
        <v>40.0</v>
      </c>
      <c r="O35" s="36">
        <v>13.0</v>
      </c>
      <c r="P35" s="36">
        <v>20.0</v>
      </c>
      <c r="Q35" s="36">
        <v>0.39</v>
      </c>
      <c r="R35" s="36">
        <v>1.8</v>
      </c>
      <c r="S35" s="36">
        <v>2.84</v>
      </c>
      <c r="T35" s="36">
        <v>4.64</v>
      </c>
      <c r="U35" s="8">
        <f t="shared" si="1"/>
        <v>4840</v>
      </c>
      <c r="V35" s="21">
        <f t="shared" si="2"/>
        <v>96100</v>
      </c>
    </row>
    <row r="36" ht="14.25" customHeight="1">
      <c r="A36" s="38">
        <v>0.21180555555555555</v>
      </c>
      <c r="B36" s="36">
        <v>71.0</v>
      </c>
      <c r="C36" s="36">
        <v>7.6</v>
      </c>
      <c r="D36" s="36">
        <v>479.0</v>
      </c>
      <c r="E36" s="36">
        <v>416.0</v>
      </c>
      <c r="F36" s="36">
        <v>0.87</v>
      </c>
      <c r="G36" s="36">
        <v>12.0</v>
      </c>
      <c r="H36" s="36">
        <v>1.0</v>
      </c>
      <c r="I36" s="36">
        <v>12.4</v>
      </c>
      <c r="J36" s="36">
        <v>92.1</v>
      </c>
      <c r="K36" s="36">
        <v>81.0</v>
      </c>
      <c r="L36" s="36">
        <v>56.4</v>
      </c>
      <c r="M36" s="36">
        <v>102.0</v>
      </c>
      <c r="N36" s="36">
        <v>41.0</v>
      </c>
      <c r="O36" s="36">
        <v>12.0</v>
      </c>
      <c r="P36" s="36">
        <v>20.0</v>
      </c>
      <c r="Q36" s="36">
        <v>0.38</v>
      </c>
      <c r="R36" s="36">
        <v>1.86</v>
      </c>
      <c r="S36" s="36">
        <v>2.98</v>
      </c>
      <c r="T36" s="36">
        <v>4.84</v>
      </c>
      <c r="U36" s="8">
        <f t="shared" si="1"/>
        <v>5150</v>
      </c>
      <c r="V36" s="21">
        <f t="shared" si="2"/>
        <v>1600</v>
      </c>
    </row>
    <row r="37" ht="14.25" customHeight="1">
      <c r="A37" s="38">
        <v>0.21458333333333332</v>
      </c>
      <c r="B37" s="36">
        <v>73.0</v>
      </c>
      <c r="C37" s="36">
        <v>8.0</v>
      </c>
      <c r="D37" s="36">
        <v>503.0</v>
      </c>
      <c r="E37" s="36">
        <v>433.0</v>
      </c>
      <c r="F37" s="36">
        <v>0.86</v>
      </c>
      <c r="G37" s="36">
        <v>12.0</v>
      </c>
      <c r="H37" s="36">
        <v>1.09</v>
      </c>
      <c r="I37" s="36">
        <v>12.7</v>
      </c>
      <c r="J37" s="36">
        <v>91.9</v>
      </c>
      <c r="K37" s="36">
        <v>80.0</v>
      </c>
      <c r="L37" s="36">
        <v>57.0</v>
      </c>
      <c r="M37" s="36">
        <v>101.0</v>
      </c>
      <c r="N37" s="36">
        <v>41.0</v>
      </c>
      <c r="O37" s="36">
        <v>12.0</v>
      </c>
      <c r="P37" s="36">
        <v>21.0</v>
      </c>
      <c r="Q37" s="36">
        <v>0.39</v>
      </c>
      <c r="R37" s="36">
        <v>2.03</v>
      </c>
      <c r="S37" s="36">
        <v>3.12</v>
      </c>
      <c r="T37" s="36">
        <v>5.15</v>
      </c>
      <c r="U37" s="8">
        <f t="shared" si="1"/>
        <v>5190</v>
      </c>
      <c r="V37" s="21">
        <f t="shared" si="2"/>
        <v>48400</v>
      </c>
    </row>
    <row r="38" ht="14.25" customHeight="1">
      <c r="A38" s="38">
        <v>0.21805555555555556</v>
      </c>
      <c r="B38" s="36">
        <v>75.0</v>
      </c>
      <c r="C38" s="36">
        <v>8.3</v>
      </c>
      <c r="D38" s="36">
        <v>521.0</v>
      </c>
      <c r="E38" s="36">
        <v>445.0</v>
      </c>
      <c r="F38" s="36">
        <v>0.85</v>
      </c>
      <c r="G38" s="36">
        <v>12.0</v>
      </c>
      <c r="H38" s="36">
        <v>1.12</v>
      </c>
      <c r="I38" s="36">
        <v>12.9</v>
      </c>
      <c r="J38" s="36">
        <v>91.8</v>
      </c>
      <c r="K38" s="36">
        <v>81.0</v>
      </c>
      <c r="L38" s="36">
        <v>56.4</v>
      </c>
      <c r="M38" s="36">
        <v>101.0</v>
      </c>
      <c r="N38" s="36">
        <v>41.0</v>
      </c>
      <c r="O38" s="36">
        <v>12.0</v>
      </c>
      <c r="P38" s="36">
        <v>22.0</v>
      </c>
      <c r="Q38" s="36">
        <v>0.39</v>
      </c>
      <c r="R38" s="36">
        <v>2.04</v>
      </c>
      <c r="S38" s="36">
        <v>3.15</v>
      </c>
      <c r="T38" s="36">
        <v>5.19</v>
      </c>
      <c r="U38" s="8">
        <f t="shared" si="1"/>
        <v>4970</v>
      </c>
      <c r="V38" s="21">
        <f t="shared" si="2"/>
        <v>48400</v>
      </c>
    </row>
    <row r="39" ht="14.25" customHeight="1">
      <c r="A39" s="38">
        <v>0.22083333333333333</v>
      </c>
      <c r="B39" s="36">
        <v>77.0</v>
      </c>
      <c r="C39" s="36">
        <v>8.1</v>
      </c>
      <c r="D39" s="36">
        <v>510.0</v>
      </c>
      <c r="E39" s="36">
        <v>435.0</v>
      </c>
      <c r="F39" s="36">
        <v>0.85</v>
      </c>
      <c r="G39" s="36">
        <v>12.0</v>
      </c>
      <c r="H39" s="36">
        <v>1.06</v>
      </c>
      <c r="I39" s="36">
        <v>12.7</v>
      </c>
      <c r="J39" s="36">
        <v>91.9</v>
      </c>
      <c r="K39" s="36">
        <v>84.0</v>
      </c>
      <c r="L39" s="36">
        <v>54.6</v>
      </c>
      <c r="M39" s="36">
        <v>100.0</v>
      </c>
      <c r="N39" s="36">
        <v>41.0</v>
      </c>
      <c r="O39" s="36">
        <v>12.0</v>
      </c>
      <c r="P39" s="36">
        <v>21.0</v>
      </c>
      <c r="Q39" s="36">
        <v>0.39</v>
      </c>
      <c r="R39" s="36">
        <v>1.94</v>
      </c>
      <c r="S39" s="36">
        <v>3.03</v>
      </c>
      <c r="T39" s="36">
        <v>4.97</v>
      </c>
      <c r="U39" s="8">
        <f t="shared" si="1"/>
        <v>5190</v>
      </c>
      <c r="V39" s="21">
        <f t="shared" si="2"/>
        <v>2500</v>
      </c>
    </row>
    <row r="40" ht="14.25" customHeight="1">
      <c r="A40" s="38">
        <v>0.22361111111111112</v>
      </c>
      <c r="B40" s="36">
        <v>79.0</v>
      </c>
      <c r="C40" s="36">
        <v>8.3</v>
      </c>
      <c r="D40" s="36">
        <v>521.0</v>
      </c>
      <c r="E40" s="36">
        <v>445.0</v>
      </c>
      <c r="F40" s="36">
        <v>0.85</v>
      </c>
      <c r="G40" s="36">
        <v>12.0</v>
      </c>
      <c r="H40" s="36">
        <v>1.12</v>
      </c>
      <c r="I40" s="36">
        <v>12.9</v>
      </c>
      <c r="J40" s="36">
        <v>91.8</v>
      </c>
      <c r="K40" s="36">
        <v>88.0</v>
      </c>
      <c r="L40" s="36">
        <v>52.5</v>
      </c>
      <c r="M40" s="36">
        <v>101.0</v>
      </c>
      <c r="N40" s="36">
        <v>41.0</v>
      </c>
      <c r="O40" s="36">
        <v>12.0</v>
      </c>
      <c r="P40" s="36">
        <v>22.0</v>
      </c>
      <c r="Q40" s="36">
        <v>0.39</v>
      </c>
      <c r="R40" s="36">
        <v>2.04</v>
      </c>
      <c r="S40" s="36">
        <v>3.15</v>
      </c>
      <c r="T40" s="36">
        <v>5.19</v>
      </c>
      <c r="U40" s="8">
        <f t="shared" si="1"/>
        <v>5140</v>
      </c>
      <c r="V40" s="21">
        <f t="shared" si="2"/>
        <v>32400</v>
      </c>
    </row>
    <row r="41" ht="14.25" customHeight="1">
      <c r="A41" s="38">
        <v>0.22708333333333333</v>
      </c>
      <c r="B41" s="36">
        <v>82.0</v>
      </c>
      <c r="C41" s="36">
        <v>8.5</v>
      </c>
      <c r="D41" s="36">
        <v>538.0</v>
      </c>
      <c r="E41" s="36">
        <v>453.0</v>
      </c>
      <c r="F41" s="36">
        <v>0.84</v>
      </c>
      <c r="G41" s="36">
        <v>12.0</v>
      </c>
      <c r="H41" s="36">
        <v>1.11</v>
      </c>
      <c r="I41" s="36">
        <v>13.0</v>
      </c>
      <c r="J41" s="36">
        <v>91.7</v>
      </c>
      <c r="K41" s="36">
        <v>91.0</v>
      </c>
      <c r="L41" s="36">
        <v>50.9</v>
      </c>
      <c r="M41" s="36">
        <v>100.0</v>
      </c>
      <c r="N41" s="36">
        <v>42.0</v>
      </c>
      <c r="O41" s="36">
        <v>12.0</v>
      </c>
      <c r="P41" s="36">
        <v>22.0</v>
      </c>
      <c r="Q41" s="36">
        <v>0.41</v>
      </c>
      <c r="R41" s="36">
        <v>2.1</v>
      </c>
      <c r="S41" s="36">
        <v>3.03</v>
      </c>
      <c r="T41" s="36">
        <v>5.14</v>
      </c>
      <c r="U41" s="8">
        <f t="shared" si="1"/>
        <v>4960</v>
      </c>
      <c r="V41" s="21">
        <f t="shared" si="2"/>
        <v>12100</v>
      </c>
    </row>
    <row r="42" ht="14.25" customHeight="1">
      <c r="A42" s="38">
        <v>0.23055555555555557</v>
      </c>
      <c r="B42" s="36">
        <v>84.0</v>
      </c>
      <c r="C42" s="36">
        <v>8.9</v>
      </c>
      <c r="D42" s="36">
        <v>562.0</v>
      </c>
      <c r="E42" s="36">
        <v>465.0</v>
      </c>
      <c r="F42" s="36">
        <v>0.83</v>
      </c>
      <c r="G42" s="36">
        <v>12.0</v>
      </c>
      <c r="H42" s="36">
        <v>1.09</v>
      </c>
      <c r="I42" s="36">
        <v>13.2</v>
      </c>
      <c r="J42" s="36">
        <v>91.6</v>
      </c>
      <c r="K42" s="36">
        <v>94.0</v>
      </c>
      <c r="L42" s="36">
        <v>49.3</v>
      </c>
      <c r="M42" s="36">
        <v>99.0</v>
      </c>
      <c r="N42" s="36">
        <v>42.0</v>
      </c>
      <c r="O42" s="36">
        <v>12.0</v>
      </c>
      <c r="P42" s="36">
        <v>23.0</v>
      </c>
      <c r="Q42" s="36">
        <v>0.4</v>
      </c>
      <c r="R42" s="36">
        <v>2.0</v>
      </c>
      <c r="S42" s="36">
        <v>2.96</v>
      </c>
      <c r="T42" s="36">
        <v>4.96</v>
      </c>
      <c r="U42" s="8">
        <f t="shared" si="1"/>
        <v>5070</v>
      </c>
      <c r="V42" s="21">
        <f t="shared" si="2"/>
        <v>1600</v>
      </c>
    </row>
    <row r="43" ht="14.25" customHeight="1">
      <c r="A43" s="38">
        <v>0.23472222222222222</v>
      </c>
      <c r="B43" s="36">
        <v>87.0</v>
      </c>
      <c r="C43" s="36">
        <v>9.5</v>
      </c>
      <c r="D43" s="36">
        <v>600.0</v>
      </c>
      <c r="E43" s="36">
        <v>489.0</v>
      </c>
      <c r="F43" s="36">
        <v>0.82</v>
      </c>
      <c r="G43" s="36">
        <v>12.0</v>
      </c>
      <c r="H43" s="36">
        <v>1.14</v>
      </c>
      <c r="I43" s="36">
        <v>13.5</v>
      </c>
      <c r="J43" s="36">
        <v>91.4</v>
      </c>
      <c r="K43" s="36">
        <v>95.0</v>
      </c>
      <c r="L43" s="36">
        <v>49.0</v>
      </c>
      <c r="M43" s="36">
        <v>98.0</v>
      </c>
      <c r="N43" s="36">
        <v>43.0</v>
      </c>
      <c r="O43" s="36">
        <v>12.0</v>
      </c>
      <c r="P43" s="36">
        <v>25.0</v>
      </c>
      <c r="Q43" s="36">
        <v>0.41</v>
      </c>
      <c r="R43" s="36">
        <v>2.08</v>
      </c>
      <c r="S43" s="36">
        <v>2.99</v>
      </c>
      <c r="T43" s="36">
        <v>5.07</v>
      </c>
      <c r="U43" s="8">
        <f t="shared" si="1"/>
        <v>5110</v>
      </c>
      <c r="V43" s="21">
        <f t="shared" si="2"/>
        <v>100</v>
      </c>
    </row>
    <row r="44" ht="14.25" customHeight="1">
      <c r="A44" s="38">
        <v>0.23819444444444443</v>
      </c>
      <c r="B44" s="36">
        <v>89.0</v>
      </c>
      <c r="C44" s="36">
        <v>9.5</v>
      </c>
      <c r="D44" s="36">
        <v>601.0</v>
      </c>
      <c r="E44" s="36">
        <v>486.0</v>
      </c>
      <c r="F44" s="36">
        <v>0.81</v>
      </c>
      <c r="G44" s="36">
        <v>12.0</v>
      </c>
      <c r="H44" s="36">
        <v>1.14</v>
      </c>
      <c r="I44" s="36">
        <v>13.3</v>
      </c>
      <c r="J44" s="36">
        <v>91.5</v>
      </c>
      <c r="K44" s="36">
        <v>97.0</v>
      </c>
      <c r="L44" s="36">
        <v>48.0</v>
      </c>
      <c r="M44" s="36">
        <v>97.0</v>
      </c>
      <c r="N44" s="36">
        <v>43.0</v>
      </c>
      <c r="O44" s="36">
        <v>12.0</v>
      </c>
      <c r="P44" s="36">
        <v>25.0</v>
      </c>
      <c r="Q44" s="36">
        <v>0.39</v>
      </c>
      <c r="R44" s="36">
        <v>2.01</v>
      </c>
      <c r="S44" s="36">
        <v>3.11</v>
      </c>
      <c r="T44" s="36">
        <v>5.11</v>
      </c>
      <c r="U44" s="8">
        <f t="shared" si="1"/>
        <v>5100</v>
      </c>
      <c r="V44" s="21">
        <f t="shared" si="2"/>
        <v>0</v>
      </c>
    </row>
    <row r="45" ht="14.25" customHeight="1">
      <c r="A45" s="38">
        <v>0.24166666666666667</v>
      </c>
      <c r="B45" s="36">
        <v>92.0</v>
      </c>
      <c r="C45" s="36">
        <v>10.1</v>
      </c>
      <c r="D45" s="36">
        <v>635.0</v>
      </c>
      <c r="E45" s="36">
        <v>507.0</v>
      </c>
      <c r="F45" s="36">
        <v>0.8</v>
      </c>
      <c r="G45" s="36">
        <v>12.0</v>
      </c>
      <c r="H45" s="36">
        <v>1.17</v>
      </c>
      <c r="I45" s="36">
        <v>13.7</v>
      </c>
      <c r="J45" s="36">
        <v>91.3</v>
      </c>
      <c r="K45" s="36">
        <v>97.0</v>
      </c>
      <c r="L45" s="36">
        <v>48.0</v>
      </c>
      <c r="M45" s="36">
        <v>96.0</v>
      </c>
      <c r="N45" s="36">
        <v>43.0</v>
      </c>
      <c r="O45" s="36">
        <v>12.0</v>
      </c>
      <c r="P45" s="36">
        <v>26.0</v>
      </c>
      <c r="Q45" s="36">
        <v>0.39</v>
      </c>
      <c r="R45" s="36">
        <v>1.97</v>
      </c>
      <c r="S45" s="36">
        <v>3.14</v>
      </c>
      <c r="T45" s="36">
        <v>5.1</v>
      </c>
      <c r="U45" s="8">
        <f t="shared" si="1"/>
        <v>5100</v>
      </c>
      <c r="V45" s="21">
        <f t="shared" si="2"/>
        <v>4900</v>
      </c>
    </row>
    <row r="46" ht="14.25" customHeight="1">
      <c r="A46" s="38">
        <v>0.24513888888888888</v>
      </c>
      <c r="B46" s="36">
        <v>94.0</v>
      </c>
      <c r="C46" s="36">
        <v>10.6</v>
      </c>
      <c r="D46" s="36">
        <v>667.0</v>
      </c>
      <c r="E46" s="36">
        <v>532.0</v>
      </c>
      <c r="F46" s="36">
        <v>0.8</v>
      </c>
      <c r="G46" s="36">
        <v>12.0</v>
      </c>
      <c r="H46" s="36">
        <v>1.21</v>
      </c>
      <c r="I46" s="36">
        <v>14.3</v>
      </c>
      <c r="J46" s="36">
        <v>90.9</v>
      </c>
      <c r="K46" s="36">
        <v>96.0</v>
      </c>
      <c r="L46" s="36">
        <v>48.2</v>
      </c>
      <c r="M46" s="36">
        <v>96.0</v>
      </c>
      <c r="N46" s="36">
        <v>44.0</v>
      </c>
      <c r="O46" s="36">
        <v>12.0</v>
      </c>
      <c r="P46" s="36">
        <v>28.0</v>
      </c>
      <c r="Q46" s="36">
        <v>0.4</v>
      </c>
      <c r="R46" s="36">
        <v>2.03</v>
      </c>
      <c r="S46" s="36">
        <v>3.07</v>
      </c>
      <c r="T46" s="36">
        <v>5.1</v>
      </c>
      <c r="U46" s="8">
        <f t="shared" si="1"/>
        <v>5170</v>
      </c>
      <c r="V46" s="21">
        <f t="shared" si="2"/>
        <v>4900</v>
      </c>
    </row>
    <row r="47" ht="14.25" customHeight="1">
      <c r="A47" s="38">
        <v>0.24861111111111112</v>
      </c>
      <c r="B47" s="36">
        <v>97.0</v>
      </c>
      <c r="C47" s="36">
        <v>10.5</v>
      </c>
      <c r="D47" s="36">
        <v>663.0</v>
      </c>
      <c r="E47" s="36">
        <v>526.0</v>
      </c>
      <c r="F47" s="36">
        <v>0.79</v>
      </c>
      <c r="G47" s="36">
        <v>12.0</v>
      </c>
      <c r="H47" s="36">
        <v>1.21</v>
      </c>
      <c r="I47" s="36">
        <v>14.0</v>
      </c>
      <c r="J47" s="36">
        <v>91.1</v>
      </c>
      <c r="K47" s="36">
        <v>94.0</v>
      </c>
      <c r="L47" s="36">
        <v>49.3</v>
      </c>
      <c r="M47" s="36">
        <v>95.0</v>
      </c>
      <c r="N47" s="36">
        <v>44.0</v>
      </c>
      <c r="O47" s="36">
        <v>12.0</v>
      </c>
      <c r="P47" s="36">
        <v>28.0</v>
      </c>
      <c r="Q47" s="36">
        <v>0.4</v>
      </c>
      <c r="R47" s="36">
        <v>2.08</v>
      </c>
      <c r="S47" s="36">
        <v>3.08</v>
      </c>
      <c r="T47" s="36">
        <v>5.17</v>
      </c>
      <c r="U47" s="8">
        <f t="shared" si="1"/>
        <v>5240</v>
      </c>
      <c r="V47" s="21">
        <f t="shared" si="2"/>
        <v>0</v>
      </c>
    </row>
    <row r="48" ht="14.25" customHeight="1">
      <c r="A48" s="38">
        <v>0.2520833333333333</v>
      </c>
      <c r="B48" s="36">
        <v>100.0</v>
      </c>
      <c r="C48" s="36">
        <v>10.8</v>
      </c>
      <c r="D48" s="36">
        <v>681.0</v>
      </c>
      <c r="E48" s="36">
        <v>541.0</v>
      </c>
      <c r="F48" s="36">
        <v>0.79</v>
      </c>
      <c r="G48" s="36">
        <v>11.0</v>
      </c>
      <c r="H48" s="36">
        <v>1.25</v>
      </c>
      <c r="I48" s="36">
        <v>14.3</v>
      </c>
      <c r="J48" s="36">
        <v>90.9</v>
      </c>
      <c r="K48" s="36">
        <v>92.0</v>
      </c>
      <c r="L48" s="36">
        <v>50.5</v>
      </c>
      <c r="M48" s="36">
        <v>95.0</v>
      </c>
      <c r="N48" s="36">
        <v>44.0</v>
      </c>
      <c r="O48" s="36">
        <v>11.0</v>
      </c>
      <c r="P48" s="36">
        <v>28.0</v>
      </c>
      <c r="Q48" s="36">
        <v>0.4</v>
      </c>
      <c r="R48" s="36">
        <v>2.1</v>
      </c>
      <c r="S48" s="36">
        <v>3.13</v>
      </c>
      <c r="T48" s="36">
        <v>5.24</v>
      </c>
      <c r="U48" s="8">
        <f t="shared" si="1"/>
        <v>5240</v>
      </c>
      <c r="V48" s="21">
        <f t="shared" si="2"/>
        <v>52900</v>
      </c>
    </row>
    <row r="49" ht="14.25" customHeight="1">
      <c r="A49" s="38">
        <v>0.25625</v>
      </c>
      <c r="B49" s="36">
        <v>103.0</v>
      </c>
      <c r="C49" s="36">
        <v>11.1</v>
      </c>
      <c r="D49" s="36">
        <v>699.0</v>
      </c>
      <c r="E49" s="36">
        <v>554.0</v>
      </c>
      <c r="F49" s="36">
        <v>0.79</v>
      </c>
      <c r="G49" s="36">
        <v>11.0</v>
      </c>
      <c r="H49" s="36">
        <v>1.28</v>
      </c>
      <c r="I49" s="36">
        <v>14.6</v>
      </c>
      <c r="J49" s="36">
        <v>90.7</v>
      </c>
      <c r="K49" s="36">
        <v>90.0</v>
      </c>
      <c r="L49" s="36">
        <v>51.5</v>
      </c>
      <c r="M49" s="36">
        <v>95.0</v>
      </c>
      <c r="N49" s="36">
        <v>44.0</v>
      </c>
      <c r="O49" s="36">
        <v>11.0</v>
      </c>
      <c r="P49" s="36">
        <v>29.0</v>
      </c>
      <c r="Q49" s="36">
        <v>0.41</v>
      </c>
      <c r="R49" s="36">
        <v>2.17</v>
      </c>
      <c r="S49" s="36">
        <v>3.08</v>
      </c>
      <c r="T49" s="36">
        <v>5.24</v>
      </c>
      <c r="U49" s="8">
        <f t="shared" si="1"/>
        <v>5010</v>
      </c>
      <c r="V49" s="21">
        <f t="shared" si="2"/>
        <v>62500</v>
      </c>
    </row>
    <row r="50" ht="14.25" customHeight="1">
      <c r="A50" s="38">
        <v>0.25972222222222224</v>
      </c>
      <c r="B50" s="36">
        <v>105.0</v>
      </c>
      <c r="C50" s="36">
        <v>11.0</v>
      </c>
      <c r="D50" s="36">
        <v>694.0</v>
      </c>
      <c r="E50" s="36">
        <v>550.0</v>
      </c>
      <c r="F50" s="36">
        <v>0.79</v>
      </c>
      <c r="G50" s="36">
        <v>12.0</v>
      </c>
      <c r="H50" s="36">
        <v>1.21</v>
      </c>
      <c r="I50" s="36">
        <v>14.5</v>
      </c>
      <c r="J50" s="36">
        <v>90.8</v>
      </c>
      <c r="K50" s="36">
        <v>91.0</v>
      </c>
      <c r="L50" s="36">
        <v>51.0</v>
      </c>
      <c r="M50" s="36">
        <v>94.0</v>
      </c>
      <c r="N50" s="36">
        <v>44.0</v>
      </c>
      <c r="O50" s="36">
        <v>12.0</v>
      </c>
      <c r="P50" s="36">
        <v>29.0</v>
      </c>
      <c r="Q50" s="36">
        <v>0.43</v>
      </c>
      <c r="R50" s="36">
        <v>2.14</v>
      </c>
      <c r="S50" s="36">
        <v>2.87</v>
      </c>
      <c r="T50" s="36">
        <v>5.01</v>
      </c>
      <c r="U50" s="8">
        <f t="shared" si="1"/>
        <v>5260</v>
      </c>
      <c r="V50" s="21">
        <f t="shared" si="2"/>
        <v>40000</v>
      </c>
    </row>
    <row r="51" ht="14.25" customHeight="1">
      <c r="A51" s="38">
        <v>0.2625</v>
      </c>
      <c r="B51" s="36">
        <v>107.0</v>
      </c>
      <c r="C51" s="36">
        <v>11.6</v>
      </c>
      <c r="D51" s="36">
        <v>729.0</v>
      </c>
      <c r="E51" s="36">
        <v>577.0</v>
      </c>
      <c r="F51" s="36">
        <v>0.79</v>
      </c>
      <c r="G51" s="36">
        <v>11.0</v>
      </c>
      <c r="H51" s="36">
        <v>1.31</v>
      </c>
      <c r="I51" s="36">
        <v>15.0</v>
      </c>
      <c r="J51" s="36">
        <v>90.5</v>
      </c>
      <c r="K51" s="36">
        <v>91.0</v>
      </c>
      <c r="L51" s="36">
        <v>51.0</v>
      </c>
      <c r="M51" s="36">
        <v>94.0</v>
      </c>
      <c r="N51" s="36">
        <v>44.0</v>
      </c>
      <c r="O51" s="36">
        <v>11.0</v>
      </c>
      <c r="P51" s="36">
        <v>30.0</v>
      </c>
      <c r="Q51" s="36">
        <v>0.4</v>
      </c>
      <c r="R51" s="36">
        <v>2.1</v>
      </c>
      <c r="S51" s="36">
        <v>3.15</v>
      </c>
      <c r="T51" s="36">
        <v>5.26</v>
      </c>
      <c r="U51" s="8">
        <f t="shared" si="1"/>
        <v>5060</v>
      </c>
      <c r="V51" s="21">
        <f t="shared" si="2"/>
        <v>36100</v>
      </c>
    </row>
    <row r="52" ht="14.25" customHeight="1">
      <c r="A52" s="38">
        <v>0.2659722222222222</v>
      </c>
      <c r="B52" s="36">
        <v>110.0</v>
      </c>
      <c r="C52" s="36">
        <v>11.7</v>
      </c>
      <c r="D52" s="36">
        <v>735.0</v>
      </c>
      <c r="E52" s="36">
        <v>583.0</v>
      </c>
      <c r="F52" s="36">
        <v>0.79</v>
      </c>
      <c r="G52" s="36">
        <v>12.0</v>
      </c>
      <c r="H52" s="36">
        <v>1.28</v>
      </c>
      <c r="I52" s="36">
        <v>15.2</v>
      </c>
      <c r="J52" s="36">
        <v>90.4</v>
      </c>
      <c r="K52" s="36">
        <v>92.0</v>
      </c>
      <c r="L52" s="36">
        <v>50.4</v>
      </c>
      <c r="M52" s="36">
        <v>94.0</v>
      </c>
      <c r="N52" s="36">
        <v>45.0</v>
      </c>
      <c r="O52" s="36">
        <v>12.0</v>
      </c>
      <c r="P52" s="36">
        <v>31.0</v>
      </c>
      <c r="Q52" s="36">
        <v>0.4</v>
      </c>
      <c r="R52" s="36">
        <v>2.01</v>
      </c>
      <c r="S52" s="36">
        <v>3.05</v>
      </c>
      <c r="T52" s="36">
        <v>5.06</v>
      </c>
      <c r="U52" s="8">
        <f t="shared" si="1"/>
        <v>4870</v>
      </c>
      <c r="V52" s="21">
        <f t="shared" si="2"/>
        <v>1600</v>
      </c>
    </row>
    <row r="53" ht="14.25" customHeight="1">
      <c r="A53" s="38">
        <v>0.26875</v>
      </c>
      <c r="B53" s="36">
        <v>111.0</v>
      </c>
      <c r="C53" s="36">
        <v>12.0</v>
      </c>
      <c r="D53" s="36">
        <v>758.0</v>
      </c>
      <c r="E53" s="36">
        <v>602.0</v>
      </c>
      <c r="F53" s="36">
        <v>0.79</v>
      </c>
      <c r="G53" s="36">
        <v>12.0</v>
      </c>
      <c r="H53" s="36">
        <v>1.27</v>
      </c>
      <c r="I53" s="36">
        <v>15.6</v>
      </c>
      <c r="J53" s="36">
        <v>90.1</v>
      </c>
      <c r="K53" s="36">
        <v>95.0</v>
      </c>
      <c r="L53" s="36">
        <v>49.0</v>
      </c>
      <c r="M53" s="36">
        <v>94.0</v>
      </c>
      <c r="N53" s="36">
        <v>45.0</v>
      </c>
      <c r="O53" s="36">
        <v>12.0</v>
      </c>
      <c r="P53" s="36">
        <v>32.0</v>
      </c>
      <c r="Q53" s="36">
        <v>0.41</v>
      </c>
      <c r="R53" s="36">
        <v>1.98</v>
      </c>
      <c r="S53" s="36">
        <v>2.89</v>
      </c>
      <c r="T53" s="36">
        <v>4.87</v>
      </c>
      <c r="U53" s="8">
        <f t="shared" si="1"/>
        <v>4830</v>
      </c>
      <c r="V53" s="21">
        <f t="shared" si="2"/>
        <v>32400</v>
      </c>
    </row>
    <row r="54" ht="14.25" customHeight="1">
      <c r="A54" s="38">
        <v>0.2722222222222222</v>
      </c>
      <c r="B54" s="36">
        <v>114.0</v>
      </c>
      <c r="C54" s="36">
        <v>12.9</v>
      </c>
      <c r="D54" s="36">
        <v>813.0</v>
      </c>
      <c r="E54" s="36">
        <v>647.0</v>
      </c>
      <c r="F54" s="36">
        <v>0.8</v>
      </c>
      <c r="G54" s="36">
        <v>12.0</v>
      </c>
      <c r="H54" s="36">
        <v>1.33</v>
      </c>
      <c r="I54" s="36">
        <v>16.5</v>
      </c>
      <c r="J54" s="36">
        <v>89.5</v>
      </c>
      <c r="K54" s="36">
        <v>102.0</v>
      </c>
      <c r="L54" s="36">
        <v>45.3</v>
      </c>
      <c r="M54" s="36">
        <v>94.0</v>
      </c>
      <c r="N54" s="36">
        <v>45.0</v>
      </c>
      <c r="O54" s="36">
        <v>12.0</v>
      </c>
      <c r="P54" s="36">
        <v>34.0</v>
      </c>
      <c r="Q54" s="36">
        <v>0.4</v>
      </c>
      <c r="R54" s="36">
        <v>1.93</v>
      </c>
      <c r="S54" s="36">
        <v>2.9</v>
      </c>
      <c r="T54" s="36">
        <v>4.83</v>
      </c>
      <c r="U54" s="8">
        <f t="shared" si="1"/>
        <v>4650</v>
      </c>
      <c r="V54" s="21">
        <f t="shared" si="2"/>
        <v>62500</v>
      </c>
    </row>
    <row r="55" ht="14.25" customHeight="1">
      <c r="A55" s="38">
        <v>0.275</v>
      </c>
      <c r="B55" s="36">
        <v>116.0</v>
      </c>
      <c r="C55" s="36">
        <v>13.6</v>
      </c>
      <c r="D55" s="36">
        <v>855.0</v>
      </c>
      <c r="E55" s="36">
        <v>683.0</v>
      </c>
      <c r="F55" s="36">
        <v>0.8</v>
      </c>
      <c r="G55" s="36">
        <v>13.0</v>
      </c>
      <c r="H55" s="36">
        <v>1.34</v>
      </c>
      <c r="I55" s="36">
        <v>17.4</v>
      </c>
      <c r="J55" s="36">
        <v>89.0</v>
      </c>
      <c r="K55" s="36">
        <v>102.0</v>
      </c>
      <c r="L55" s="36">
        <v>45.4</v>
      </c>
      <c r="M55" s="36">
        <v>94.0</v>
      </c>
      <c r="N55" s="36">
        <v>45.0</v>
      </c>
      <c r="O55" s="36">
        <v>13.0</v>
      </c>
      <c r="P55" s="36">
        <v>36.0</v>
      </c>
      <c r="Q55" s="36">
        <v>0.4</v>
      </c>
      <c r="R55" s="36">
        <v>1.87</v>
      </c>
      <c r="S55" s="36">
        <v>2.78</v>
      </c>
      <c r="T55" s="36">
        <v>4.65</v>
      </c>
      <c r="U55" s="8">
        <f t="shared" si="1"/>
        <v>4400</v>
      </c>
      <c r="V55" s="21">
        <f t="shared" si="2"/>
        <v>8100</v>
      </c>
    </row>
    <row r="56" ht="14.25" customHeight="1">
      <c r="A56" s="38">
        <v>0.2777777777777778</v>
      </c>
      <c r="B56" s="36">
        <v>118.0</v>
      </c>
      <c r="C56" s="36">
        <v>14.3</v>
      </c>
      <c r="D56" s="36">
        <v>899.0</v>
      </c>
      <c r="E56" s="36">
        <v>722.0</v>
      </c>
      <c r="F56" s="36">
        <v>0.8</v>
      </c>
      <c r="G56" s="36">
        <v>14.0</v>
      </c>
      <c r="H56" s="36">
        <v>1.34</v>
      </c>
      <c r="I56" s="36">
        <v>18.3</v>
      </c>
      <c r="J56" s="36">
        <v>88.4</v>
      </c>
      <c r="K56" s="36">
        <v>105.0</v>
      </c>
      <c r="L56" s="36">
        <v>43.5</v>
      </c>
      <c r="M56" s="36">
        <v>94.0</v>
      </c>
      <c r="N56" s="36">
        <v>45.0</v>
      </c>
      <c r="O56" s="36">
        <v>14.0</v>
      </c>
      <c r="P56" s="36">
        <v>37.0</v>
      </c>
      <c r="Q56" s="36">
        <v>0.42</v>
      </c>
      <c r="R56" s="36">
        <v>1.85</v>
      </c>
      <c r="S56" s="36">
        <v>2.55</v>
      </c>
      <c r="T56" s="36">
        <v>4.4</v>
      </c>
      <c r="U56" s="8">
        <f t="shared" si="1"/>
        <v>4310</v>
      </c>
      <c r="V56" s="21">
        <f t="shared" si="2"/>
        <v>32400</v>
      </c>
    </row>
    <row r="57" ht="14.25" customHeight="1">
      <c r="A57" s="38">
        <v>0.28055555555555556</v>
      </c>
      <c r="B57" s="36">
        <v>120.0</v>
      </c>
      <c r="C57" s="36">
        <v>14.9</v>
      </c>
      <c r="D57" s="36">
        <v>937.0</v>
      </c>
      <c r="E57" s="36">
        <v>758.0</v>
      </c>
      <c r="F57" s="36">
        <v>0.81</v>
      </c>
      <c r="G57" s="36">
        <v>14.0</v>
      </c>
      <c r="H57" s="36">
        <v>1.37</v>
      </c>
      <c r="I57" s="36">
        <v>19.1</v>
      </c>
      <c r="J57" s="36">
        <v>87.9</v>
      </c>
      <c r="K57" s="36">
        <v>105.0</v>
      </c>
      <c r="L57" s="36">
        <v>43.5</v>
      </c>
      <c r="M57" s="36">
        <v>94.0</v>
      </c>
      <c r="N57" s="36">
        <v>46.0</v>
      </c>
      <c r="O57" s="36">
        <v>14.0</v>
      </c>
      <c r="P57" s="36">
        <v>39.0</v>
      </c>
      <c r="Q57" s="36">
        <v>0.42</v>
      </c>
      <c r="R57" s="36">
        <v>1.79</v>
      </c>
      <c r="S57" s="36">
        <v>2.52</v>
      </c>
      <c r="T57" s="36">
        <v>4.31</v>
      </c>
      <c r="U57" s="8">
        <f t="shared" si="1"/>
        <v>4490</v>
      </c>
      <c r="V57" s="21">
        <f t="shared" si="2"/>
        <v>400</v>
      </c>
    </row>
    <row r="58" ht="14.25" customHeight="1">
      <c r="A58" s="38">
        <v>0.28402777777777777</v>
      </c>
      <c r="B58" s="36">
        <v>122.0</v>
      </c>
      <c r="C58" s="36">
        <v>14.9</v>
      </c>
      <c r="D58" s="36">
        <v>938.0</v>
      </c>
      <c r="E58" s="36">
        <v>766.0</v>
      </c>
      <c r="F58" s="36">
        <v>0.82</v>
      </c>
      <c r="G58" s="36">
        <v>13.0</v>
      </c>
      <c r="H58" s="36">
        <v>1.43</v>
      </c>
      <c r="I58" s="36">
        <v>19.1</v>
      </c>
      <c r="J58" s="36">
        <v>87.9</v>
      </c>
      <c r="K58" s="36">
        <v>105.0</v>
      </c>
      <c r="L58" s="36">
        <v>43.3</v>
      </c>
      <c r="M58" s="36">
        <v>94.0</v>
      </c>
      <c r="N58" s="36">
        <v>46.0</v>
      </c>
      <c r="O58" s="36">
        <v>13.0</v>
      </c>
      <c r="P58" s="36">
        <v>39.0</v>
      </c>
      <c r="Q58" s="36">
        <v>0.43</v>
      </c>
      <c r="R58" s="36">
        <v>1.93</v>
      </c>
      <c r="S58" s="36">
        <v>2.56</v>
      </c>
      <c r="T58" s="36">
        <v>4.49</v>
      </c>
      <c r="U58" s="8">
        <f t="shared" si="1"/>
        <v>4470</v>
      </c>
      <c r="V58" s="21">
        <f t="shared" si="2"/>
        <v>4900</v>
      </c>
    </row>
    <row r="59" ht="14.25" customHeight="1">
      <c r="A59" s="38">
        <v>0.2875</v>
      </c>
      <c r="B59" s="36">
        <v>124.0</v>
      </c>
      <c r="C59" s="36">
        <v>14.8</v>
      </c>
      <c r="D59" s="36">
        <v>934.0</v>
      </c>
      <c r="E59" s="36">
        <v>774.0</v>
      </c>
      <c r="F59" s="36">
        <v>0.83</v>
      </c>
      <c r="G59" s="36">
        <v>13.0</v>
      </c>
      <c r="H59" s="36">
        <v>1.43</v>
      </c>
      <c r="I59" s="36">
        <v>19.2</v>
      </c>
      <c r="J59" s="36">
        <v>87.8</v>
      </c>
      <c r="K59" s="36">
        <v>106.0</v>
      </c>
      <c r="L59" s="36">
        <v>43.0</v>
      </c>
      <c r="M59" s="36">
        <v>94.0</v>
      </c>
      <c r="N59" s="36">
        <v>46.0</v>
      </c>
      <c r="O59" s="36">
        <v>13.0</v>
      </c>
      <c r="P59" s="36">
        <v>39.0</v>
      </c>
      <c r="Q59" s="36">
        <v>0.44</v>
      </c>
      <c r="R59" s="36">
        <v>1.95</v>
      </c>
      <c r="S59" s="36">
        <v>2.52</v>
      </c>
      <c r="T59" s="36">
        <v>4.47</v>
      </c>
      <c r="U59" s="8">
        <f t="shared" si="1"/>
        <v>4400</v>
      </c>
      <c r="V59" s="21">
        <f t="shared" si="2"/>
        <v>2500</v>
      </c>
    </row>
    <row r="60" ht="14.25" customHeight="1">
      <c r="A60" s="38">
        <v>0.2902777777777778</v>
      </c>
      <c r="B60" s="36">
        <v>127.0</v>
      </c>
      <c r="C60" s="36">
        <v>15.2</v>
      </c>
      <c r="D60" s="36">
        <v>955.0</v>
      </c>
      <c r="E60" s="36">
        <v>791.0</v>
      </c>
      <c r="F60" s="36">
        <v>0.83</v>
      </c>
      <c r="G60" s="36">
        <v>14.0</v>
      </c>
      <c r="H60" s="36">
        <v>1.43</v>
      </c>
      <c r="I60" s="36">
        <v>19.5</v>
      </c>
      <c r="J60" s="36">
        <v>87.6</v>
      </c>
      <c r="K60" s="36">
        <v>106.0</v>
      </c>
      <c r="L60" s="36">
        <v>42.9</v>
      </c>
      <c r="M60" s="36">
        <v>93.0</v>
      </c>
      <c r="N60" s="36">
        <v>47.0</v>
      </c>
      <c r="O60" s="36">
        <v>14.0</v>
      </c>
      <c r="P60" s="36">
        <v>40.0</v>
      </c>
      <c r="Q60" s="36">
        <v>0.42</v>
      </c>
      <c r="R60" s="36">
        <v>1.85</v>
      </c>
      <c r="S60" s="36">
        <v>2.55</v>
      </c>
      <c r="T60" s="36">
        <v>4.4</v>
      </c>
      <c r="U60" s="8">
        <f t="shared" si="1"/>
        <v>4350</v>
      </c>
      <c r="V60" s="21">
        <f t="shared" si="2"/>
        <v>6400</v>
      </c>
    </row>
    <row r="61" ht="14.25" customHeight="1">
      <c r="A61" s="38">
        <v>0.29375</v>
      </c>
      <c r="B61" s="36">
        <v>130.0</v>
      </c>
      <c r="C61" s="36">
        <v>15.3</v>
      </c>
      <c r="D61" s="36">
        <v>965.0</v>
      </c>
      <c r="E61" s="36">
        <v>809.0</v>
      </c>
      <c r="F61" s="36">
        <v>0.84</v>
      </c>
      <c r="G61" s="36">
        <v>14.0</v>
      </c>
      <c r="H61" s="36">
        <v>1.43</v>
      </c>
      <c r="I61" s="36">
        <v>19.7</v>
      </c>
      <c r="J61" s="36">
        <v>87.5</v>
      </c>
      <c r="K61" s="36">
        <v>107.0</v>
      </c>
      <c r="L61" s="36">
        <v>42.7</v>
      </c>
      <c r="M61" s="36">
        <v>93.0</v>
      </c>
      <c r="N61" s="36">
        <v>47.0</v>
      </c>
      <c r="O61" s="36">
        <v>14.0</v>
      </c>
      <c r="P61" s="36">
        <v>40.0</v>
      </c>
      <c r="Q61" s="36">
        <v>0.42</v>
      </c>
      <c r="R61" s="36">
        <v>1.82</v>
      </c>
      <c r="S61" s="36">
        <v>2.54</v>
      </c>
      <c r="T61" s="36">
        <v>4.35</v>
      </c>
      <c r="U61" s="8">
        <f t="shared" si="1"/>
        <v>4430</v>
      </c>
      <c r="V61" s="21">
        <f t="shared" si="2"/>
        <v>176400</v>
      </c>
    </row>
    <row r="62" ht="14.25" customHeight="1">
      <c r="A62" s="38">
        <v>0.2972222222222222</v>
      </c>
      <c r="B62" s="36">
        <v>132.0</v>
      </c>
      <c r="C62" s="36">
        <v>16.0</v>
      </c>
      <c r="D62" s="36">
        <v>1008.0</v>
      </c>
      <c r="E62" s="36">
        <v>846.0</v>
      </c>
      <c r="F62" s="36">
        <v>0.84</v>
      </c>
      <c r="G62" s="36">
        <v>14.0</v>
      </c>
      <c r="H62" s="36">
        <v>1.48</v>
      </c>
      <c r="I62" s="36">
        <v>20.1</v>
      </c>
      <c r="J62" s="36">
        <v>87.2</v>
      </c>
      <c r="K62" s="36">
        <v>108.0</v>
      </c>
      <c r="L62" s="36">
        <v>42.2</v>
      </c>
      <c r="M62" s="36">
        <v>93.0</v>
      </c>
      <c r="N62" s="36">
        <v>48.0</v>
      </c>
      <c r="O62" s="36">
        <v>14.0</v>
      </c>
      <c r="P62" s="36">
        <v>42.0</v>
      </c>
      <c r="Q62" s="36">
        <v>0.41</v>
      </c>
      <c r="R62" s="36">
        <v>1.81</v>
      </c>
      <c r="S62" s="36">
        <v>2.62</v>
      </c>
      <c r="T62" s="36">
        <v>4.43</v>
      </c>
      <c r="U62" s="8">
        <f t="shared" si="1"/>
        <v>4850</v>
      </c>
      <c r="V62" s="21">
        <f t="shared" si="2"/>
        <v>0</v>
      </c>
    </row>
    <row r="63" ht="14.25" customHeight="1">
      <c r="A63" s="38">
        <v>0.3013888888888889</v>
      </c>
      <c r="B63" s="36">
        <v>135.0</v>
      </c>
      <c r="C63" s="36">
        <v>16.4</v>
      </c>
      <c r="D63" s="36">
        <v>1030.0</v>
      </c>
      <c r="E63" s="36">
        <v>865.0</v>
      </c>
      <c r="F63" s="36">
        <v>0.84</v>
      </c>
      <c r="G63" s="36">
        <v>12.0</v>
      </c>
      <c r="H63" s="36">
        <v>1.62</v>
      </c>
      <c r="I63" s="36">
        <v>20.0</v>
      </c>
      <c r="J63" s="36">
        <v>87.3</v>
      </c>
      <c r="K63" s="36">
        <v>108.0</v>
      </c>
      <c r="L63" s="36">
        <v>41.8</v>
      </c>
      <c r="M63" s="36">
        <v>91.0</v>
      </c>
      <c r="N63" s="36">
        <v>49.0</v>
      </c>
      <c r="O63" s="36">
        <v>12.0</v>
      </c>
      <c r="P63" s="36">
        <v>43.0</v>
      </c>
      <c r="Q63" s="36">
        <v>0.42</v>
      </c>
      <c r="R63" s="36">
        <v>2.04</v>
      </c>
      <c r="S63" s="36">
        <v>2.81</v>
      </c>
      <c r="T63" s="36">
        <v>4.85</v>
      </c>
      <c r="U63" s="8">
        <f t="shared" si="1"/>
        <v>4850</v>
      </c>
      <c r="V63" s="21">
        <f t="shared" si="2"/>
        <v>72900</v>
      </c>
    </row>
    <row r="64" ht="14.25" customHeight="1">
      <c r="A64" s="38">
        <v>0.30486111111111114</v>
      </c>
      <c r="B64" s="36">
        <v>137.0</v>
      </c>
      <c r="C64" s="36">
        <v>16.3</v>
      </c>
      <c r="D64" s="36">
        <v>1030.0</v>
      </c>
      <c r="E64" s="36">
        <v>864.0</v>
      </c>
      <c r="F64" s="36">
        <v>0.84</v>
      </c>
      <c r="G64" s="36">
        <v>12.0</v>
      </c>
      <c r="H64" s="36">
        <v>1.62</v>
      </c>
      <c r="I64" s="36">
        <v>20.0</v>
      </c>
      <c r="J64" s="36">
        <v>87.3</v>
      </c>
      <c r="K64" s="36">
        <v>108.0</v>
      </c>
      <c r="L64" s="36">
        <v>41.8</v>
      </c>
      <c r="M64" s="36">
        <v>91.0</v>
      </c>
      <c r="N64" s="36">
        <v>49.0</v>
      </c>
      <c r="O64" s="36">
        <v>12.0</v>
      </c>
      <c r="P64" s="36">
        <v>43.0</v>
      </c>
      <c r="Q64" s="36">
        <v>0.42</v>
      </c>
      <c r="R64" s="36">
        <v>2.04</v>
      </c>
      <c r="S64" s="36">
        <v>2.81</v>
      </c>
      <c r="T64" s="36">
        <v>4.85</v>
      </c>
      <c r="U64" s="8">
        <f t="shared" si="1"/>
        <v>5120</v>
      </c>
      <c r="V64" s="21">
        <f t="shared" si="2"/>
        <v>14400</v>
      </c>
    </row>
    <row r="65" ht="14.25" customHeight="1">
      <c r="A65" s="38">
        <v>0.3090277777777778</v>
      </c>
      <c r="B65" s="36">
        <v>140.0</v>
      </c>
      <c r="C65" s="36">
        <v>17.1</v>
      </c>
      <c r="D65" s="36">
        <v>1078.0</v>
      </c>
      <c r="E65" s="36">
        <v>901.0</v>
      </c>
      <c r="F65" s="36">
        <v>0.84</v>
      </c>
      <c r="G65" s="36">
        <v>12.0</v>
      </c>
      <c r="H65" s="36">
        <v>1.73</v>
      </c>
      <c r="I65" s="36">
        <v>20.3</v>
      </c>
      <c r="J65" s="36">
        <v>87.1</v>
      </c>
      <c r="K65" s="36">
        <v>110.0</v>
      </c>
      <c r="L65" s="36">
        <v>41.1</v>
      </c>
      <c r="M65" s="36">
        <v>90.0</v>
      </c>
      <c r="N65" s="36">
        <v>50.0</v>
      </c>
      <c r="O65" s="36">
        <v>12.0</v>
      </c>
      <c r="P65" s="36">
        <v>45.0</v>
      </c>
      <c r="Q65" s="36">
        <v>0.42</v>
      </c>
      <c r="R65" s="36">
        <v>2.16</v>
      </c>
      <c r="S65" s="36">
        <v>2.95</v>
      </c>
      <c r="T65" s="36">
        <v>5.12</v>
      </c>
      <c r="U65" s="8">
        <f t="shared" si="1"/>
        <v>5240</v>
      </c>
      <c r="V65" s="21">
        <f t="shared" si="2"/>
        <v>25600</v>
      </c>
    </row>
    <row r="66" ht="14.25" customHeight="1">
      <c r="A66" s="38">
        <v>0.3125</v>
      </c>
      <c r="B66" s="36">
        <v>143.0</v>
      </c>
      <c r="C66" s="36">
        <v>17.7</v>
      </c>
      <c r="D66" s="36">
        <v>1117.0</v>
      </c>
      <c r="E66" s="36">
        <v>938.0</v>
      </c>
      <c r="F66" s="36">
        <v>0.84</v>
      </c>
      <c r="G66" s="36">
        <v>11.0</v>
      </c>
      <c r="H66" s="36">
        <v>1.82</v>
      </c>
      <c r="I66" s="36">
        <v>20.8</v>
      </c>
      <c r="J66" s="36">
        <v>86.7</v>
      </c>
      <c r="K66" s="36">
        <v>111.0</v>
      </c>
      <c r="L66" s="36">
        <v>40.2</v>
      </c>
      <c r="M66" s="36">
        <v>89.0</v>
      </c>
      <c r="N66" s="36">
        <v>50.0</v>
      </c>
      <c r="O66" s="36">
        <v>11.0</v>
      </c>
      <c r="P66" s="36">
        <v>47.0</v>
      </c>
      <c r="Q66" s="36">
        <v>0.43</v>
      </c>
      <c r="R66" s="36">
        <v>2.27</v>
      </c>
      <c r="S66" s="36">
        <v>2.97</v>
      </c>
      <c r="T66" s="36">
        <v>5.24</v>
      </c>
      <c r="U66" s="8">
        <f t="shared" si="1"/>
        <v>5400</v>
      </c>
      <c r="V66" s="21">
        <f t="shared" si="2"/>
        <v>67600</v>
      </c>
    </row>
    <row r="67" ht="14.25" customHeight="1">
      <c r="A67" s="38">
        <v>0.31527777777777777</v>
      </c>
      <c r="B67" s="36">
        <v>145.0</v>
      </c>
      <c r="C67" s="36">
        <v>18.3</v>
      </c>
      <c r="D67" s="36">
        <v>1153.0</v>
      </c>
      <c r="E67" s="36">
        <v>968.0</v>
      </c>
      <c r="F67" s="36">
        <v>0.84</v>
      </c>
      <c r="G67" s="36">
        <v>11.0</v>
      </c>
      <c r="H67" s="36">
        <v>1.91</v>
      </c>
      <c r="I67" s="36">
        <v>21.2</v>
      </c>
      <c r="J67" s="36">
        <v>86.5</v>
      </c>
      <c r="K67" s="36">
        <v>113.0</v>
      </c>
      <c r="L67" s="36">
        <v>39.5</v>
      </c>
      <c r="M67" s="36">
        <v>89.0</v>
      </c>
      <c r="N67" s="36">
        <v>51.0</v>
      </c>
      <c r="O67" s="36">
        <v>11.0</v>
      </c>
      <c r="P67" s="36">
        <v>48.0</v>
      </c>
      <c r="Q67" s="36">
        <v>0.43</v>
      </c>
      <c r="R67" s="36">
        <v>2.32</v>
      </c>
      <c r="S67" s="36">
        <v>3.08</v>
      </c>
      <c r="T67" s="36">
        <v>5.4</v>
      </c>
      <c r="U67" s="8">
        <f t="shared" si="1"/>
        <v>5140</v>
      </c>
      <c r="V67" s="21">
        <f t="shared" si="2"/>
        <v>1600</v>
      </c>
    </row>
    <row r="68" ht="14.25" customHeight="1">
      <c r="A68" s="38">
        <v>0.3194444444444444</v>
      </c>
      <c r="B68" s="36">
        <v>148.0</v>
      </c>
      <c r="C68" s="36">
        <v>18.9</v>
      </c>
      <c r="D68" s="36">
        <v>1193.0</v>
      </c>
      <c r="E68" s="36">
        <v>1010.0</v>
      </c>
      <c r="F68" s="36">
        <v>0.85</v>
      </c>
      <c r="G68" s="36">
        <v>12.0</v>
      </c>
      <c r="H68" s="36">
        <v>1.88</v>
      </c>
      <c r="I68" s="36">
        <v>22.0</v>
      </c>
      <c r="J68" s="36">
        <v>86.0</v>
      </c>
      <c r="K68" s="36">
        <v>114.0</v>
      </c>
      <c r="L68" s="36">
        <v>38.8</v>
      </c>
      <c r="M68" s="36">
        <v>89.0</v>
      </c>
      <c r="N68" s="36">
        <v>51.0</v>
      </c>
      <c r="O68" s="36">
        <v>12.0</v>
      </c>
      <c r="P68" s="36">
        <v>50.0</v>
      </c>
      <c r="Q68" s="36">
        <v>0.42</v>
      </c>
      <c r="R68" s="36">
        <v>2.15</v>
      </c>
      <c r="S68" s="36">
        <v>2.98</v>
      </c>
      <c r="T68" s="36">
        <v>5.14</v>
      </c>
      <c r="U68" s="8">
        <f t="shared" si="1"/>
        <v>5180</v>
      </c>
      <c r="V68" s="21">
        <f t="shared" si="2"/>
        <v>12100</v>
      </c>
    </row>
    <row r="69" ht="14.25" customHeight="1">
      <c r="A69" s="38">
        <v>0.3229166666666667</v>
      </c>
      <c r="B69" s="36">
        <v>150.0</v>
      </c>
      <c r="C69" s="36">
        <v>19.5</v>
      </c>
      <c r="D69" s="36">
        <v>1226.0</v>
      </c>
      <c r="E69" s="36">
        <v>1053.0</v>
      </c>
      <c r="F69" s="36">
        <v>0.86</v>
      </c>
      <c r="G69" s="36">
        <v>12.0</v>
      </c>
      <c r="H69" s="36">
        <v>1.96</v>
      </c>
      <c r="I69" s="36">
        <v>22.7</v>
      </c>
      <c r="J69" s="36">
        <v>85.5</v>
      </c>
      <c r="K69" s="36">
        <v>116.0</v>
      </c>
      <c r="L69" s="36">
        <v>37.8</v>
      </c>
      <c r="M69" s="36">
        <v>89.0</v>
      </c>
      <c r="N69" s="36">
        <v>52.0</v>
      </c>
      <c r="O69" s="36">
        <v>12.0</v>
      </c>
      <c r="P69" s="36">
        <v>51.0</v>
      </c>
      <c r="Q69" s="36">
        <v>0.43</v>
      </c>
      <c r="R69" s="36">
        <v>2.2</v>
      </c>
      <c r="S69" s="36">
        <v>2.98</v>
      </c>
      <c r="T69" s="36">
        <v>5.18</v>
      </c>
      <c r="U69" s="8">
        <f t="shared" si="1"/>
        <v>5070</v>
      </c>
      <c r="V69" s="21">
        <f t="shared" si="2"/>
        <v>3600</v>
      </c>
    </row>
    <row r="70" ht="14.25" customHeight="1">
      <c r="A70" s="38">
        <v>0.3263888888888889</v>
      </c>
      <c r="B70" s="36">
        <v>153.0</v>
      </c>
      <c r="C70" s="36">
        <v>20.0</v>
      </c>
      <c r="D70" s="36">
        <v>1259.0</v>
      </c>
      <c r="E70" s="36">
        <v>1094.0</v>
      </c>
      <c r="F70" s="36">
        <v>0.87</v>
      </c>
      <c r="G70" s="36">
        <v>12.0</v>
      </c>
      <c r="H70" s="36">
        <v>2.0</v>
      </c>
      <c r="I70" s="36">
        <v>23.7</v>
      </c>
      <c r="J70" s="36">
        <v>84.9</v>
      </c>
      <c r="K70" s="36">
        <v>117.0</v>
      </c>
      <c r="L70" s="36">
        <v>37.1</v>
      </c>
      <c r="M70" s="36">
        <v>90.0</v>
      </c>
      <c r="N70" s="36">
        <v>52.0</v>
      </c>
      <c r="O70" s="36">
        <v>12.0</v>
      </c>
      <c r="P70" s="36">
        <v>52.0</v>
      </c>
      <c r="Q70" s="36">
        <v>0.43</v>
      </c>
      <c r="R70" s="36">
        <v>2.17</v>
      </c>
      <c r="S70" s="36">
        <v>2.9</v>
      </c>
      <c r="T70" s="36">
        <v>5.07</v>
      </c>
      <c r="U70" s="8">
        <f t="shared" si="1"/>
        <v>5010</v>
      </c>
      <c r="V70" s="21">
        <f t="shared" si="2"/>
        <v>122500</v>
      </c>
    </row>
    <row r="71" ht="14.25" customHeight="1">
      <c r="A71" s="38">
        <v>0.3284722222222222</v>
      </c>
      <c r="B71" s="36">
        <v>154.0</v>
      </c>
      <c r="C71" s="36">
        <v>20.5</v>
      </c>
      <c r="D71" s="36">
        <v>1290.0</v>
      </c>
      <c r="E71" s="36">
        <v>1132.0</v>
      </c>
      <c r="F71" s="36">
        <v>0.88</v>
      </c>
      <c r="G71" s="36">
        <v>12.0</v>
      </c>
      <c r="H71" s="36">
        <v>2.04</v>
      </c>
      <c r="I71" s="36">
        <v>24.4</v>
      </c>
      <c r="J71" s="36">
        <v>84.5</v>
      </c>
      <c r="K71" s="36">
        <v>118.0</v>
      </c>
      <c r="L71" s="36">
        <v>36.5</v>
      </c>
      <c r="M71" s="36">
        <v>90.0</v>
      </c>
      <c r="N71" s="36">
        <v>52.0</v>
      </c>
      <c r="O71" s="36">
        <v>12.0</v>
      </c>
      <c r="P71" s="36">
        <v>54.0</v>
      </c>
      <c r="Q71" s="36">
        <v>0.42</v>
      </c>
      <c r="R71" s="36">
        <v>2.13</v>
      </c>
      <c r="S71" s="36">
        <v>2.89</v>
      </c>
      <c r="T71" s="36">
        <v>5.01</v>
      </c>
      <c r="U71" s="8">
        <f t="shared" si="1"/>
        <v>4660</v>
      </c>
      <c r="V71" s="21">
        <f t="shared" si="2"/>
        <v>96100</v>
      </c>
    </row>
    <row r="72" ht="14.25" customHeight="1">
      <c r="A72" s="38">
        <v>0.33194444444444443</v>
      </c>
      <c r="B72" s="36">
        <v>157.0</v>
      </c>
      <c r="C72" s="36">
        <v>20.9</v>
      </c>
      <c r="D72" s="36">
        <v>1318.0</v>
      </c>
      <c r="E72" s="36">
        <v>1174.0</v>
      </c>
      <c r="F72" s="36">
        <v>0.89</v>
      </c>
      <c r="G72" s="36">
        <v>13.0</v>
      </c>
      <c r="H72" s="36">
        <v>1.97</v>
      </c>
      <c r="I72" s="36">
        <v>25.4</v>
      </c>
      <c r="J72" s="36">
        <v>83.9</v>
      </c>
      <c r="K72" s="36">
        <v>119.0</v>
      </c>
      <c r="L72" s="36">
        <v>36.0</v>
      </c>
      <c r="M72" s="36">
        <v>90.0</v>
      </c>
      <c r="N72" s="36">
        <v>52.0</v>
      </c>
      <c r="O72" s="36">
        <v>13.0</v>
      </c>
      <c r="P72" s="36">
        <v>55.0</v>
      </c>
      <c r="Q72" s="36">
        <v>0.41</v>
      </c>
      <c r="R72" s="36">
        <v>1.92</v>
      </c>
      <c r="S72" s="36">
        <v>2.74</v>
      </c>
      <c r="T72" s="36">
        <v>4.66</v>
      </c>
      <c r="U72" s="8">
        <f t="shared" si="1"/>
        <v>4350</v>
      </c>
      <c r="V72" s="21">
        <f t="shared" si="2"/>
        <v>4900</v>
      </c>
    </row>
    <row r="73" ht="14.25" customHeight="1">
      <c r="A73" s="38">
        <v>0.3347222222222222</v>
      </c>
      <c r="B73" s="36">
        <v>159.0</v>
      </c>
      <c r="C73" s="36">
        <v>21.0</v>
      </c>
      <c r="D73" s="36">
        <v>1321.0</v>
      </c>
      <c r="E73" s="36">
        <v>1184.0</v>
      </c>
      <c r="F73" s="36">
        <v>0.9</v>
      </c>
      <c r="G73" s="36">
        <v>14.0</v>
      </c>
      <c r="H73" s="36">
        <v>1.87</v>
      </c>
      <c r="I73" s="36">
        <v>25.8</v>
      </c>
      <c r="J73" s="36">
        <v>83.6</v>
      </c>
      <c r="K73" s="36">
        <v>120.0</v>
      </c>
      <c r="L73" s="36">
        <v>35.5</v>
      </c>
      <c r="M73" s="36">
        <v>91.0</v>
      </c>
      <c r="N73" s="36">
        <v>52.0</v>
      </c>
      <c r="O73" s="36">
        <v>14.0</v>
      </c>
      <c r="P73" s="36">
        <v>55.0</v>
      </c>
      <c r="Q73" s="36">
        <v>0.41</v>
      </c>
      <c r="R73" s="36">
        <v>1.79</v>
      </c>
      <c r="S73" s="36">
        <v>2.56</v>
      </c>
      <c r="T73" s="36">
        <v>4.35</v>
      </c>
      <c r="U73" s="8">
        <f t="shared" si="1"/>
        <v>4420</v>
      </c>
      <c r="V73" s="21">
        <f t="shared" si="2"/>
        <v>78400</v>
      </c>
    </row>
    <row r="74" ht="14.25" customHeight="1">
      <c r="A74" s="38">
        <v>0.3375</v>
      </c>
      <c r="B74" s="36">
        <v>161.0</v>
      </c>
      <c r="C74" s="36">
        <v>21.6</v>
      </c>
      <c r="D74" s="36">
        <v>1361.0</v>
      </c>
      <c r="E74" s="36">
        <v>1232.0</v>
      </c>
      <c r="F74" s="36">
        <v>0.91</v>
      </c>
      <c r="G74" s="36">
        <v>14.0</v>
      </c>
      <c r="H74" s="36">
        <v>1.96</v>
      </c>
      <c r="I74" s="36">
        <v>26.7</v>
      </c>
      <c r="J74" s="36">
        <v>83.0</v>
      </c>
      <c r="K74" s="36">
        <v>121.0</v>
      </c>
      <c r="L74" s="36">
        <v>35.0</v>
      </c>
      <c r="M74" s="36">
        <v>91.0</v>
      </c>
      <c r="N74" s="36">
        <v>52.0</v>
      </c>
      <c r="O74" s="36">
        <v>14.0</v>
      </c>
      <c r="P74" s="36">
        <v>57.0</v>
      </c>
      <c r="Q74" s="36">
        <v>0.42</v>
      </c>
      <c r="R74" s="36">
        <v>1.84</v>
      </c>
      <c r="S74" s="36">
        <v>2.57</v>
      </c>
      <c r="T74" s="36">
        <v>4.42</v>
      </c>
      <c r="U74" s="8">
        <f t="shared" si="1"/>
        <v>4140</v>
      </c>
      <c r="V74" s="21">
        <f t="shared" si="2"/>
        <v>1600</v>
      </c>
    </row>
    <row r="75" ht="14.25" customHeight="1">
      <c r="A75" s="38">
        <v>0.3402777777777778</v>
      </c>
      <c r="B75" s="36">
        <v>163.0</v>
      </c>
      <c r="C75" s="36">
        <v>21.9</v>
      </c>
      <c r="D75" s="36">
        <v>1380.0</v>
      </c>
      <c r="E75" s="36">
        <v>1269.0</v>
      </c>
      <c r="F75" s="36">
        <v>0.92</v>
      </c>
      <c r="G75" s="36">
        <v>14.0</v>
      </c>
      <c r="H75" s="36">
        <v>1.9</v>
      </c>
      <c r="I75" s="36">
        <v>27.4</v>
      </c>
      <c r="J75" s="36">
        <v>82.5</v>
      </c>
      <c r="K75" s="36">
        <v>121.0</v>
      </c>
      <c r="L75" s="36">
        <v>35.0</v>
      </c>
      <c r="M75" s="36">
        <v>92.0</v>
      </c>
      <c r="N75" s="36">
        <v>52.0</v>
      </c>
      <c r="O75" s="36">
        <v>14.0</v>
      </c>
      <c r="P75" s="36">
        <v>58.0</v>
      </c>
      <c r="Q75" s="36">
        <v>0.41</v>
      </c>
      <c r="R75" s="36">
        <v>1.69</v>
      </c>
      <c r="S75" s="36">
        <v>2.45</v>
      </c>
      <c r="T75" s="36">
        <v>4.14</v>
      </c>
      <c r="U75" s="8">
        <f t="shared" si="1"/>
        <v>4100</v>
      </c>
      <c r="V75" s="21">
        <f t="shared" si="2"/>
        <v>72900</v>
      </c>
    </row>
    <row r="76" ht="14.25" customHeight="1">
      <c r="A76" s="38">
        <v>0.3423611111111111</v>
      </c>
      <c r="B76" s="36">
        <v>164.0</v>
      </c>
      <c r="C76" s="36">
        <v>22.4</v>
      </c>
      <c r="D76" s="36">
        <v>1413.0</v>
      </c>
      <c r="E76" s="36">
        <v>1317.0</v>
      </c>
      <c r="F76" s="36">
        <v>0.93</v>
      </c>
      <c r="G76" s="36">
        <v>15.0</v>
      </c>
      <c r="H76" s="36">
        <v>1.94</v>
      </c>
      <c r="I76" s="36">
        <v>28.3</v>
      </c>
      <c r="J76" s="36">
        <v>82.0</v>
      </c>
      <c r="K76" s="36">
        <v>123.0</v>
      </c>
      <c r="L76" s="36">
        <v>33.9</v>
      </c>
      <c r="M76" s="36">
        <v>92.0</v>
      </c>
      <c r="N76" s="36">
        <v>52.0</v>
      </c>
      <c r="O76" s="36">
        <v>15.0</v>
      </c>
      <c r="P76" s="36">
        <v>59.0</v>
      </c>
      <c r="Q76" s="36">
        <v>0.4</v>
      </c>
      <c r="R76" s="36">
        <v>1.62</v>
      </c>
      <c r="S76" s="36">
        <v>2.48</v>
      </c>
      <c r="T76" s="36">
        <v>4.1</v>
      </c>
      <c r="U76" s="8">
        <f t="shared" si="1"/>
        <v>4370</v>
      </c>
      <c r="V76" s="21">
        <f t="shared" si="2"/>
        <v>4900</v>
      </c>
    </row>
    <row r="77" ht="14.25" customHeight="1">
      <c r="A77" s="38">
        <v>0.3458333333333333</v>
      </c>
      <c r="B77" s="36">
        <v>166.0</v>
      </c>
      <c r="C77" s="36">
        <v>22.9</v>
      </c>
      <c r="D77" s="36">
        <v>1443.0</v>
      </c>
      <c r="E77" s="36">
        <v>1359.0</v>
      </c>
      <c r="F77" s="36">
        <v>0.94</v>
      </c>
      <c r="G77" s="36">
        <v>14.0</v>
      </c>
      <c r="H77" s="36">
        <v>2.11</v>
      </c>
      <c r="I77" s="36">
        <v>28.9</v>
      </c>
      <c r="J77" s="36">
        <v>81.6</v>
      </c>
      <c r="K77" s="36">
        <v>124.0</v>
      </c>
      <c r="L77" s="36">
        <v>33.5</v>
      </c>
      <c r="M77" s="36">
        <v>92.0</v>
      </c>
      <c r="N77" s="36">
        <v>53.0</v>
      </c>
      <c r="O77" s="36">
        <v>14.0</v>
      </c>
      <c r="P77" s="36">
        <v>60.0</v>
      </c>
      <c r="Q77" s="36">
        <v>0.4</v>
      </c>
      <c r="R77" s="36">
        <v>1.76</v>
      </c>
      <c r="S77" s="36">
        <v>2.61</v>
      </c>
      <c r="T77" s="36">
        <v>4.37</v>
      </c>
      <c r="U77" s="8">
        <f t="shared" si="1"/>
        <v>4300</v>
      </c>
      <c r="V77" s="21">
        <f t="shared" si="2"/>
        <v>115600</v>
      </c>
    </row>
    <row r="78" ht="14.25" customHeight="1">
      <c r="A78" s="38">
        <v>0.3486111111111111</v>
      </c>
      <c r="B78" s="36">
        <v>169.0</v>
      </c>
      <c r="C78" s="36">
        <v>22.8</v>
      </c>
      <c r="D78" s="36">
        <v>1436.0</v>
      </c>
      <c r="E78" s="36">
        <v>1357.0</v>
      </c>
      <c r="F78" s="36">
        <v>0.94</v>
      </c>
      <c r="G78" s="36">
        <v>14.0</v>
      </c>
      <c r="H78" s="36">
        <v>2.08</v>
      </c>
      <c r="I78" s="36">
        <v>29.0</v>
      </c>
      <c r="J78" s="36">
        <v>81.6</v>
      </c>
      <c r="K78" s="36">
        <v>125.0</v>
      </c>
      <c r="L78" s="36">
        <v>32.8</v>
      </c>
      <c r="M78" s="36">
        <v>93.0</v>
      </c>
      <c r="N78" s="36">
        <v>52.0</v>
      </c>
      <c r="O78" s="36">
        <v>14.0</v>
      </c>
      <c r="P78" s="36">
        <v>60.0</v>
      </c>
      <c r="Q78" s="36">
        <v>0.41</v>
      </c>
      <c r="R78" s="36">
        <v>1.78</v>
      </c>
      <c r="S78" s="36">
        <v>2.52</v>
      </c>
      <c r="T78" s="36">
        <v>4.3</v>
      </c>
      <c r="U78" s="8">
        <f t="shared" si="1"/>
        <v>3960</v>
      </c>
      <c r="V78" s="21">
        <f t="shared" si="2"/>
        <v>10000</v>
      </c>
    </row>
    <row r="79" ht="14.25" customHeight="1">
      <c r="A79" s="38">
        <v>0.35138888888888886</v>
      </c>
      <c r="B79" s="36">
        <v>171.0</v>
      </c>
      <c r="C79" s="36">
        <v>23.2</v>
      </c>
      <c r="D79" s="36">
        <v>1463.0</v>
      </c>
      <c r="E79" s="36">
        <v>1388.0</v>
      </c>
      <c r="F79" s="36">
        <v>0.95</v>
      </c>
      <c r="G79" s="36">
        <v>15.0</v>
      </c>
      <c r="H79" s="36">
        <v>1.95</v>
      </c>
      <c r="I79" s="36">
        <v>29.6</v>
      </c>
      <c r="J79" s="36">
        <v>81.2</v>
      </c>
      <c r="K79" s="36">
        <v>125.0</v>
      </c>
      <c r="L79" s="36">
        <v>32.9</v>
      </c>
      <c r="M79" s="36">
        <v>93.0</v>
      </c>
      <c r="N79" s="36">
        <v>53.0</v>
      </c>
      <c r="O79" s="36">
        <v>15.0</v>
      </c>
      <c r="P79" s="36">
        <v>61.0</v>
      </c>
      <c r="Q79" s="36">
        <v>0.39</v>
      </c>
      <c r="R79" s="36">
        <v>1.54</v>
      </c>
      <c r="S79" s="36">
        <v>2.43</v>
      </c>
      <c r="T79" s="36">
        <v>3.96</v>
      </c>
      <c r="U79" s="8">
        <f t="shared" si="1"/>
        <v>4060</v>
      </c>
      <c r="V79" s="21">
        <f t="shared" si="2"/>
        <v>32400</v>
      </c>
    </row>
    <row r="80" ht="14.25" customHeight="1">
      <c r="A80" s="38">
        <v>0.3541666666666667</v>
      </c>
      <c r="B80" s="36">
        <v>173.0</v>
      </c>
      <c r="C80" s="36">
        <v>23.6</v>
      </c>
      <c r="D80" s="36">
        <v>1485.0</v>
      </c>
      <c r="E80" s="36">
        <v>1426.0</v>
      </c>
      <c r="F80" s="36">
        <v>0.96</v>
      </c>
      <c r="G80" s="36">
        <v>15.0</v>
      </c>
      <c r="H80" s="36">
        <v>2.04</v>
      </c>
      <c r="I80" s="36">
        <v>30.2</v>
      </c>
      <c r="J80" s="36">
        <v>80.8</v>
      </c>
      <c r="K80" s="36">
        <v>126.0</v>
      </c>
      <c r="L80" s="36">
        <v>32.2</v>
      </c>
      <c r="M80" s="36">
        <v>93.0</v>
      </c>
      <c r="N80" s="36">
        <v>53.0</v>
      </c>
      <c r="O80" s="36">
        <v>15.0</v>
      </c>
      <c r="P80" s="36">
        <v>62.0</v>
      </c>
      <c r="Q80" s="36">
        <v>0.4</v>
      </c>
      <c r="R80" s="36">
        <v>1.63</v>
      </c>
      <c r="S80" s="36">
        <v>2.43</v>
      </c>
      <c r="T80" s="36">
        <v>4.06</v>
      </c>
      <c r="U80" s="8">
        <f t="shared" si="1"/>
        <v>3880</v>
      </c>
      <c r="V80" s="21">
        <f t="shared" si="2"/>
        <v>100</v>
      </c>
    </row>
    <row r="81" ht="14.25" customHeight="1">
      <c r="A81" s="38">
        <v>0.35625</v>
      </c>
      <c r="B81" s="36">
        <v>174.0</v>
      </c>
      <c r="C81" s="36">
        <v>24.7</v>
      </c>
      <c r="D81" s="36">
        <v>1554.0</v>
      </c>
      <c r="E81" s="36">
        <v>1501.0</v>
      </c>
      <c r="F81" s="36">
        <v>0.97</v>
      </c>
      <c r="G81" s="36">
        <v>15.0</v>
      </c>
      <c r="H81" s="36">
        <v>2.04</v>
      </c>
      <c r="I81" s="36">
        <v>31.6</v>
      </c>
      <c r="J81" s="36">
        <v>79.9</v>
      </c>
      <c r="K81" s="36">
        <v>127.0</v>
      </c>
      <c r="L81" s="36">
        <v>32.0</v>
      </c>
      <c r="M81" s="36">
        <v>92.0</v>
      </c>
      <c r="N81" s="36">
        <v>54.0</v>
      </c>
      <c r="O81" s="36">
        <v>15.0</v>
      </c>
      <c r="P81" s="36">
        <v>65.0</v>
      </c>
      <c r="Q81" s="36">
        <v>0.38</v>
      </c>
      <c r="R81" s="36">
        <v>1.46</v>
      </c>
      <c r="S81" s="36">
        <v>2.43</v>
      </c>
      <c r="T81" s="36">
        <v>3.88</v>
      </c>
      <c r="U81" s="8">
        <f t="shared" si="1"/>
        <v>3870</v>
      </c>
      <c r="V81" s="21">
        <f t="shared" si="2"/>
        <v>6400</v>
      </c>
    </row>
    <row r="82" ht="14.25" customHeight="1">
      <c r="A82" s="38">
        <v>0.35833333333333334</v>
      </c>
      <c r="B82" s="36">
        <v>176.0</v>
      </c>
      <c r="C82" s="36">
        <v>25.0</v>
      </c>
      <c r="D82" s="36">
        <v>1574.0</v>
      </c>
      <c r="E82" s="36">
        <v>1544.0</v>
      </c>
      <c r="F82" s="36">
        <v>0.98</v>
      </c>
      <c r="G82" s="36">
        <v>15.0</v>
      </c>
      <c r="H82" s="36">
        <v>2.09</v>
      </c>
      <c r="I82" s="36">
        <v>32.4</v>
      </c>
      <c r="J82" s="36">
        <v>79.4</v>
      </c>
      <c r="K82" s="36">
        <v>127.0</v>
      </c>
      <c r="L82" s="36">
        <v>31.7</v>
      </c>
      <c r="M82" s="36">
        <v>93.0</v>
      </c>
      <c r="N82" s="36">
        <v>54.0</v>
      </c>
      <c r="O82" s="36">
        <v>15.0</v>
      </c>
      <c r="P82" s="36">
        <v>66.0</v>
      </c>
      <c r="Q82" s="36">
        <v>0.39</v>
      </c>
      <c r="R82" s="36">
        <v>1.53</v>
      </c>
      <c r="S82" s="36">
        <v>2.34</v>
      </c>
      <c r="T82" s="36">
        <v>3.87</v>
      </c>
      <c r="U82" s="8">
        <f t="shared" si="1"/>
        <v>3790</v>
      </c>
      <c r="V82" s="21">
        <f t="shared" si="2"/>
        <v>96100</v>
      </c>
    </row>
    <row r="83" ht="14.25" customHeight="1">
      <c r="A83" s="38">
        <v>0.36041666666666666</v>
      </c>
      <c r="B83" s="36">
        <v>178.0</v>
      </c>
      <c r="C83" s="36">
        <v>25.1</v>
      </c>
      <c r="D83" s="36">
        <v>1579.0</v>
      </c>
      <c r="E83" s="36">
        <v>1576.0</v>
      </c>
      <c r="F83" s="36">
        <v>1.0</v>
      </c>
      <c r="G83" s="36">
        <v>16.0</v>
      </c>
      <c r="H83" s="36">
        <v>2.1</v>
      </c>
      <c r="I83" s="36">
        <v>33.2</v>
      </c>
      <c r="J83" s="36">
        <v>78.9</v>
      </c>
      <c r="K83" s="36">
        <v>128.0</v>
      </c>
      <c r="L83" s="36">
        <v>30.9</v>
      </c>
      <c r="M83" s="36">
        <v>95.0</v>
      </c>
      <c r="N83" s="36">
        <v>53.0</v>
      </c>
      <c r="O83" s="36">
        <v>16.0</v>
      </c>
      <c r="P83" s="36">
        <v>66.0</v>
      </c>
      <c r="Q83" s="36">
        <v>0.41</v>
      </c>
      <c r="R83" s="36">
        <v>1.57</v>
      </c>
      <c r="S83" s="36">
        <v>2.22</v>
      </c>
      <c r="T83" s="36">
        <v>3.79</v>
      </c>
      <c r="U83" s="8">
        <f t="shared" si="1"/>
        <v>3480</v>
      </c>
      <c r="V83" s="21">
        <f t="shared" si="2"/>
        <v>12110400</v>
      </c>
    </row>
    <row r="84" ht="14.25" customHeight="1">
      <c r="A84" s="38">
        <v>0.3625</v>
      </c>
      <c r="B84" s="36">
        <v>179.0</v>
      </c>
      <c r="C84" s="36">
        <v>26.5</v>
      </c>
      <c r="D84" s="36">
        <v>1669.0</v>
      </c>
      <c r="E84" s="36">
        <v>1694.0</v>
      </c>
      <c r="F84" s="36">
        <v>1.02</v>
      </c>
      <c r="G84" s="36">
        <v>17.0</v>
      </c>
      <c r="H84" s="36">
        <v>2.07</v>
      </c>
      <c r="I84" s="36">
        <v>35.8</v>
      </c>
      <c r="J84" s="36">
        <v>77.2</v>
      </c>
      <c r="K84" s="36">
        <v>130.0</v>
      </c>
      <c r="L84" s="36">
        <v>30.2</v>
      </c>
      <c r="M84" s="36">
        <v>95.0</v>
      </c>
      <c r="N84" s="36">
        <v>53.0</v>
      </c>
      <c r="O84" s="36">
        <v>17.0</v>
      </c>
      <c r="P84" s="36">
        <v>70.0</v>
      </c>
      <c r="Q84" s="36">
        <v>0.4</v>
      </c>
      <c r="R84" s="36">
        <v>1.39</v>
      </c>
      <c r="S84" s="36">
        <v>2.09</v>
      </c>
      <c r="T84" s="36">
        <v>3.48</v>
      </c>
      <c r="U84" s="8">
        <f t="shared" si="1"/>
        <v>0</v>
      </c>
    </row>
    <row r="85" ht="14.25" customHeight="1">
      <c r="A85" s="36" t="s">
        <v>80</v>
      </c>
      <c r="U85" s="8"/>
    </row>
    <row r="86" ht="14.25" customHeight="1">
      <c r="A86" s="38">
        <v>0.36527777777777776</v>
      </c>
      <c r="B86" s="36">
        <v>181.0</v>
      </c>
      <c r="C86" s="36">
        <v>27.0</v>
      </c>
      <c r="D86" s="36">
        <v>1700.0</v>
      </c>
      <c r="E86" s="36">
        <v>1755.0</v>
      </c>
      <c r="F86" s="36">
        <v>1.03</v>
      </c>
      <c r="G86" s="36">
        <v>17.0</v>
      </c>
      <c r="H86" s="36">
        <v>2.12</v>
      </c>
      <c r="I86" s="36">
        <v>37.0</v>
      </c>
      <c r="J86" s="36">
        <v>76.5</v>
      </c>
      <c r="K86" s="36">
        <v>131.0</v>
      </c>
      <c r="L86" s="36">
        <v>29.4</v>
      </c>
      <c r="M86" s="36">
        <v>96.0</v>
      </c>
      <c r="N86" s="36">
        <v>53.0</v>
      </c>
      <c r="O86" s="36">
        <v>17.0</v>
      </c>
      <c r="P86" s="36">
        <v>71.0</v>
      </c>
      <c r="Q86" s="36">
        <v>0.39</v>
      </c>
      <c r="R86" s="36">
        <v>1.35</v>
      </c>
      <c r="S86" s="36">
        <v>2.09</v>
      </c>
      <c r="T86" s="36">
        <v>3.44</v>
      </c>
      <c r="U86" s="8">
        <f t="shared" ref="U86:U100" si="3">T87*1000</f>
        <v>3080</v>
      </c>
      <c r="V86" s="21">
        <f t="shared" ref="V86:V97" si="4">(U86-U87)^2</f>
        <v>1600</v>
      </c>
      <c r="W86" s="21">
        <f>SQRT(AVERAGE(V87:V98))</f>
        <v>182.30843</v>
      </c>
      <c r="X86" s="21">
        <f>STDEV(U86:U99)/AVERAGE(U86:U99)</f>
        <v>0.3048922869</v>
      </c>
    </row>
    <row r="87" ht="14.25" customHeight="1">
      <c r="A87" s="38">
        <v>0.36666666666666664</v>
      </c>
      <c r="B87" s="36">
        <v>182.0</v>
      </c>
      <c r="C87" s="36">
        <v>26.6</v>
      </c>
      <c r="D87" s="36">
        <v>1678.0</v>
      </c>
      <c r="E87" s="36">
        <v>1764.0</v>
      </c>
      <c r="F87" s="36">
        <v>1.05</v>
      </c>
      <c r="G87" s="36">
        <v>19.0</v>
      </c>
      <c r="H87" s="36">
        <v>1.93</v>
      </c>
      <c r="I87" s="36">
        <v>37.5</v>
      </c>
      <c r="J87" s="36">
        <v>76.1</v>
      </c>
      <c r="K87" s="36">
        <v>134.0</v>
      </c>
      <c r="L87" s="36">
        <v>28.2</v>
      </c>
      <c r="M87" s="36">
        <v>97.0</v>
      </c>
      <c r="N87" s="36">
        <v>53.0</v>
      </c>
      <c r="O87" s="36">
        <v>19.0</v>
      </c>
      <c r="P87" s="36">
        <v>70.0</v>
      </c>
      <c r="Q87" s="36">
        <v>0.41</v>
      </c>
      <c r="R87" s="36">
        <v>1.27</v>
      </c>
      <c r="S87" s="36">
        <v>1.81</v>
      </c>
      <c r="T87" s="36">
        <v>3.08</v>
      </c>
      <c r="U87" s="8">
        <f t="shared" si="3"/>
        <v>3040</v>
      </c>
      <c r="V87" s="21">
        <f t="shared" si="4"/>
        <v>0</v>
      </c>
    </row>
    <row r="88" ht="14.25" customHeight="1">
      <c r="A88" s="38">
        <v>0.36944444444444446</v>
      </c>
      <c r="B88" s="36">
        <v>184.0</v>
      </c>
      <c r="C88" s="36">
        <v>27.8</v>
      </c>
      <c r="D88" s="36">
        <v>1749.0</v>
      </c>
      <c r="E88" s="36">
        <v>1854.0</v>
      </c>
      <c r="F88" s="36">
        <v>1.06</v>
      </c>
      <c r="G88" s="36">
        <v>20.0</v>
      </c>
      <c r="H88" s="36">
        <v>1.99</v>
      </c>
      <c r="I88" s="36">
        <v>39.2</v>
      </c>
      <c r="J88" s="36">
        <v>75.1</v>
      </c>
      <c r="K88" s="36">
        <v>136.0</v>
      </c>
      <c r="L88" s="36">
        <v>26.7</v>
      </c>
      <c r="M88" s="36">
        <v>97.0</v>
      </c>
      <c r="N88" s="36">
        <v>53.0</v>
      </c>
      <c r="O88" s="36">
        <v>20.0</v>
      </c>
      <c r="P88" s="36">
        <v>73.0</v>
      </c>
      <c r="Q88" s="36">
        <v>0.41</v>
      </c>
      <c r="R88" s="36">
        <v>1.24</v>
      </c>
      <c r="S88" s="36">
        <v>1.8</v>
      </c>
      <c r="T88" s="36">
        <v>3.04</v>
      </c>
      <c r="U88" s="8">
        <f t="shared" si="3"/>
        <v>3040</v>
      </c>
      <c r="V88" s="21">
        <f t="shared" si="4"/>
        <v>400</v>
      </c>
    </row>
    <row r="89" ht="14.25" customHeight="1">
      <c r="A89" s="38">
        <v>0.3715277777777778</v>
      </c>
      <c r="B89" s="36">
        <v>185.0</v>
      </c>
      <c r="C89" s="36">
        <v>27.8</v>
      </c>
      <c r="D89" s="36">
        <v>1749.0</v>
      </c>
      <c r="E89" s="36">
        <v>1854.0</v>
      </c>
      <c r="F89" s="36">
        <v>1.06</v>
      </c>
      <c r="G89" s="36">
        <v>20.0</v>
      </c>
      <c r="H89" s="36">
        <v>1.99</v>
      </c>
      <c r="I89" s="36">
        <v>39.2</v>
      </c>
      <c r="J89" s="36">
        <v>75.1</v>
      </c>
      <c r="K89" s="36">
        <v>136.0</v>
      </c>
      <c r="L89" s="36">
        <v>26.7</v>
      </c>
      <c r="M89" s="36">
        <v>97.0</v>
      </c>
      <c r="N89" s="36">
        <v>53.0</v>
      </c>
      <c r="O89" s="36">
        <v>20.0</v>
      </c>
      <c r="P89" s="36">
        <v>73.0</v>
      </c>
      <c r="Q89" s="36">
        <v>0.41</v>
      </c>
      <c r="R89" s="36">
        <v>1.24</v>
      </c>
      <c r="S89" s="36">
        <v>1.8</v>
      </c>
      <c r="T89" s="36">
        <v>3.04</v>
      </c>
      <c r="U89" s="8">
        <f t="shared" si="3"/>
        <v>3060</v>
      </c>
      <c r="V89" s="21">
        <f t="shared" si="4"/>
        <v>22500</v>
      </c>
    </row>
    <row r="90" ht="14.25" customHeight="1">
      <c r="A90" s="38">
        <v>0.37430555555555556</v>
      </c>
      <c r="B90" s="36">
        <v>188.0</v>
      </c>
      <c r="C90" s="36">
        <v>28.4</v>
      </c>
      <c r="D90" s="36">
        <v>1792.0</v>
      </c>
      <c r="E90" s="36">
        <v>1905.0</v>
      </c>
      <c r="F90" s="36">
        <v>1.06</v>
      </c>
      <c r="G90" s="36">
        <v>20.0</v>
      </c>
      <c r="H90" s="36">
        <v>2.05</v>
      </c>
      <c r="I90" s="36">
        <v>40.2</v>
      </c>
      <c r="J90" s="36">
        <v>74.4</v>
      </c>
      <c r="K90" s="36">
        <v>138.0</v>
      </c>
      <c r="L90" s="36">
        <v>25.8</v>
      </c>
      <c r="M90" s="36">
        <v>98.0</v>
      </c>
      <c r="N90" s="36">
        <v>53.0</v>
      </c>
      <c r="O90" s="36">
        <v>20.0</v>
      </c>
      <c r="P90" s="36">
        <v>75.0</v>
      </c>
      <c r="Q90" s="36">
        <v>0.42</v>
      </c>
      <c r="R90" s="36">
        <v>1.28</v>
      </c>
      <c r="S90" s="36">
        <v>1.78</v>
      </c>
      <c r="T90" s="36">
        <v>3.06</v>
      </c>
      <c r="U90" s="8">
        <f t="shared" si="3"/>
        <v>3210</v>
      </c>
      <c r="V90" s="21">
        <f t="shared" si="4"/>
        <v>22500</v>
      </c>
    </row>
    <row r="91" ht="14.25" customHeight="1">
      <c r="A91" s="38">
        <v>0.3763888888888889</v>
      </c>
      <c r="B91" s="36">
        <v>189.0</v>
      </c>
      <c r="C91" s="36">
        <v>27.8</v>
      </c>
      <c r="D91" s="36">
        <v>1752.0</v>
      </c>
      <c r="E91" s="36">
        <v>1886.0</v>
      </c>
      <c r="F91" s="36">
        <v>1.08</v>
      </c>
      <c r="G91" s="36">
        <v>19.0</v>
      </c>
      <c r="H91" s="36">
        <v>2.14</v>
      </c>
      <c r="I91" s="36">
        <v>39.9</v>
      </c>
      <c r="J91" s="36">
        <v>74.6</v>
      </c>
      <c r="K91" s="36">
        <v>140.0</v>
      </c>
      <c r="L91" s="36">
        <v>25.0</v>
      </c>
      <c r="M91" s="36">
        <v>98.0</v>
      </c>
      <c r="N91" s="36">
        <v>53.0</v>
      </c>
      <c r="O91" s="36">
        <v>19.0</v>
      </c>
      <c r="P91" s="36">
        <v>73.0</v>
      </c>
      <c r="Q91" s="36">
        <v>0.44</v>
      </c>
      <c r="R91" s="36">
        <v>1.41</v>
      </c>
      <c r="S91" s="36">
        <v>1.8</v>
      </c>
      <c r="T91" s="36">
        <v>3.21</v>
      </c>
      <c r="U91" s="8">
        <f t="shared" si="3"/>
        <v>3060</v>
      </c>
      <c r="V91" s="21">
        <f t="shared" si="4"/>
        <v>16900</v>
      </c>
    </row>
    <row r="92" ht="14.25" customHeight="1">
      <c r="A92" s="38">
        <v>0.3784722222222222</v>
      </c>
      <c r="B92" s="36">
        <v>190.0</v>
      </c>
      <c r="C92" s="36">
        <v>27.1</v>
      </c>
      <c r="D92" s="36">
        <v>1706.0</v>
      </c>
      <c r="E92" s="36">
        <v>1863.0</v>
      </c>
      <c r="F92" s="36">
        <v>1.09</v>
      </c>
      <c r="G92" s="36">
        <v>20.0</v>
      </c>
      <c r="H92" s="36">
        <v>2.03</v>
      </c>
      <c r="I92" s="36">
        <v>39.8</v>
      </c>
      <c r="J92" s="36">
        <v>74.7</v>
      </c>
      <c r="K92" s="36">
        <v>140.0</v>
      </c>
      <c r="L92" s="36">
        <v>25.0</v>
      </c>
      <c r="M92" s="36">
        <v>99.0</v>
      </c>
      <c r="N92" s="36">
        <v>53.0</v>
      </c>
      <c r="O92" s="36">
        <v>20.0</v>
      </c>
      <c r="P92" s="36">
        <v>71.0</v>
      </c>
      <c r="Q92" s="36">
        <v>0.45</v>
      </c>
      <c r="R92" s="36">
        <v>1.36</v>
      </c>
      <c r="S92" s="36">
        <v>1.7</v>
      </c>
      <c r="T92" s="36">
        <v>3.06</v>
      </c>
      <c r="U92" s="8">
        <f t="shared" si="3"/>
        <v>2930</v>
      </c>
      <c r="V92" s="21">
        <f t="shared" si="4"/>
        <v>102400</v>
      </c>
    </row>
    <row r="93" ht="14.25" customHeight="1">
      <c r="A93" s="38">
        <v>0.38055555555555554</v>
      </c>
      <c r="B93" s="36">
        <v>192.0</v>
      </c>
      <c r="C93" s="36">
        <v>28.2</v>
      </c>
      <c r="D93" s="36">
        <v>1777.0</v>
      </c>
      <c r="E93" s="36">
        <v>1937.0</v>
      </c>
      <c r="F93" s="36">
        <v>1.09</v>
      </c>
      <c r="G93" s="36">
        <v>20.0</v>
      </c>
      <c r="H93" s="36">
        <v>1.99</v>
      </c>
      <c r="I93" s="36">
        <v>40.7</v>
      </c>
      <c r="J93" s="36">
        <v>74.1</v>
      </c>
      <c r="K93" s="36">
        <v>143.0</v>
      </c>
      <c r="L93" s="36">
        <v>22.9</v>
      </c>
      <c r="M93" s="36">
        <v>99.0</v>
      </c>
      <c r="N93" s="36">
        <v>53.0</v>
      </c>
      <c r="O93" s="36">
        <v>20.0</v>
      </c>
      <c r="P93" s="36">
        <v>74.0</v>
      </c>
      <c r="Q93" s="36">
        <v>0.41</v>
      </c>
      <c r="R93" s="36">
        <v>1.2</v>
      </c>
      <c r="S93" s="36">
        <v>1.73</v>
      </c>
      <c r="T93" s="36">
        <v>2.93</v>
      </c>
      <c r="U93" s="8">
        <f t="shared" si="3"/>
        <v>3250</v>
      </c>
      <c r="V93" s="21">
        <f t="shared" si="4"/>
        <v>67600</v>
      </c>
    </row>
    <row r="94" ht="14.25" customHeight="1">
      <c r="A94" s="38">
        <v>0.3819444444444444</v>
      </c>
      <c r="B94" s="36">
        <v>193.0</v>
      </c>
      <c r="C94" s="36">
        <v>29.1</v>
      </c>
      <c r="D94" s="36">
        <v>1830.0</v>
      </c>
      <c r="E94" s="36">
        <v>1987.0</v>
      </c>
      <c r="F94" s="36">
        <v>1.09</v>
      </c>
      <c r="G94" s="36">
        <v>18.0</v>
      </c>
      <c r="H94" s="36">
        <v>2.24</v>
      </c>
      <c r="I94" s="36">
        <v>41.3</v>
      </c>
      <c r="J94" s="36">
        <v>73.7</v>
      </c>
      <c r="K94" s="36">
        <v>143.0</v>
      </c>
      <c r="L94" s="36">
        <v>22.9</v>
      </c>
      <c r="M94" s="36">
        <v>98.0</v>
      </c>
      <c r="N94" s="36">
        <v>53.0</v>
      </c>
      <c r="O94" s="36">
        <v>18.0</v>
      </c>
      <c r="P94" s="36">
        <v>76.0</v>
      </c>
      <c r="Q94" s="36">
        <v>0.4</v>
      </c>
      <c r="R94" s="36">
        <v>1.31</v>
      </c>
      <c r="S94" s="36">
        <v>1.94</v>
      </c>
      <c r="T94" s="36">
        <v>3.25</v>
      </c>
      <c r="U94" s="8">
        <f t="shared" si="3"/>
        <v>2990</v>
      </c>
      <c r="V94" s="21">
        <f t="shared" si="4"/>
        <v>57600</v>
      </c>
    </row>
    <row r="95" ht="14.25" customHeight="1">
      <c r="A95" s="38">
        <v>0.38333333333333336</v>
      </c>
      <c r="B95" s="36">
        <v>194.0</v>
      </c>
      <c r="C95" s="36">
        <v>30.1</v>
      </c>
      <c r="D95" s="36">
        <v>1897.0</v>
      </c>
      <c r="E95" s="36">
        <v>2077.0</v>
      </c>
      <c r="F95" s="36">
        <v>1.1</v>
      </c>
      <c r="G95" s="36">
        <v>20.0</v>
      </c>
      <c r="H95" s="36">
        <v>2.17</v>
      </c>
      <c r="I95" s="36">
        <v>43.5</v>
      </c>
      <c r="J95" s="36">
        <v>72.3</v>
      </c>
      <c r="K95" s="36">
        <v>145.0</v>
      </c>
      <c r="L95" s="36">
        <v>22.3</v>
      </c>
      <c r="M95" s="36">
        <v>99.0</v>
      </c>
      <c r="N95" s="36">
        <v>53.0</v>
      </c>
      <c r="O95" s="36">
        <v>20.0</v>
      </c>
      <c r="P95" s="36">
        <v>79.0</v>
      </c>
      <c r="Q95" s="36">
        <v>0.39</v>
      </c>
      <c r="R95" s="36">
        <v>1.16</v>
      </c>
      <c r="S95" s="36">
        <v>1.83</v>
      </c>
      <c r="T95" s="36">
        <v>2.99</v>
      </c>
      <c r="U95" s="8">
        <f t="shared" si="3"/>
        <v>2750</v>
      </c>
      <c r="V95" s="21">
        <f t="shared" si="4"/>
        <v>67600</v>
      </c>
    </row>
    <row r="96" ht="14.25" customHeight="1">
      <c r="A96" s="38">
        <v>0.3854166666666667</v>
      </c>
      <c r="B96" s="36">
        <v>195.0</v>
      </c>
      <c r="C96" s="36">
        <v>29.9</v>
      </c>
      <c r="D96" s="36">
        <v>1882.0</v>
      </c>
      <c r="E96" s="36">
        <v>2112.0</v>
      </c>
      <c r="F96" s="36">
        <v>1.12</v>
      </c>
      <c r="G96" s="36">
        <v>22.0</v>
      </c>
      <c r="H96" s="36">
        <v>2.07</v>
      </c>
      <c r="I96" s="36">
        <v>45.2</v>
      </c>
      <c r="J96" s="36">
        <v>71.3</v>
      </c>
      <c r="K96" s="36">
        <v>145.0</v>
      </c>
      <c r="L96" s="36">
        <v>22.3</v>
      </c>
      <c r="M96" s="36">
        <v>100.0</v>
      </c>
      <c r="N96" s="36">
        <v>52.0</v>
      </c>
      <c r="O96" s="36">
        <v>22.0</v>
      </c>
      <c r="P96" s="36">
        <v>78.0</v>
      </c>
      <c r="Q96" s="36">
        <v>0.41</v>
      </c>
      <c r="R96" s="36">
        <v>1.12</v>
      </c>
      <c r="S96" s="36">
        <v>1.64</v>
      </c>
      <c r="T96" s="36">
        <v>2.75</v>
      </c>
      <c r="U96" s="8">
        <f t="shared" si="3"/>
        <v>2490</v>
      </c>
      <c r="V96" s="21">
        <f t="shared" si="4"/>
        <v>0</v>
      </c>
    </row>
    <row r="97" ht="14.25" customHeight="1">
      <c r="A97" s="38">
        <v>0.38680555555555557</v>
      </c>
      <c r="B97" s="36">
        <v>196.0</v>
      </c>
      <c r="C97" s="36">
        <v>30.8</v>
      </c>
      <c r="D97" s="36">
        <v>1942.0</v>
      </c>
      <c r="E97" s="36">
        <v>2215.0</v>
      </c>
      <c r="F97" s="36">
        <v>1.14</v>
      </c>
      <c r="G97" s="36">
        <v>24.0</v>
      </c>
      <c r="H97" s="36">
        <v>1.99</v>
      </c>
      <c r="I97" s="36">
        <v>47.9</v>
      </c>
      <c r="J97" s="36">
        <v>69.6</v>
      </c>
      <c r="K97" s="36">
        <v>146.0</v>
      </c>
      <c r="L97" s="36">
        <v>21.7</v>
      </c>
      <c r="M97" s="36">
        <v>101.0</v>
      </c>
      <c r="N97" s="36">
        <v>52.0</v>
      </c>
      <c r="O97" s="36">
        <v>24.0</v>
      </c>
      <c r="P97" s="36">
        <v>81.0</v>
      </c>
      <c r="Q97" s="36">
        <v>0.38</v>
      </c>
      <c r="R97" s="36">
        <v>0.94</v>
      </c>
      <c r="S97" s="36">
        <v>1.55</v>
      </c>
      <c r="T97" s="36">
        <v>2.49</v>
      </c>
      <c r="U97" s="8">
        <f t="shared" si="3"/>
        <v>2490</v>
      </c>
      <c r="V97" s="21">
        <f t="shared" si="4"/>
        <v>8100</v>
      </c>
    </row>
    <row r="98" ht="14.25" customHeight="1">
      <c r="A98" s="38">
        <v>0.3888888888888889</v>
      </c>
      <c r="B98" s="36">
        <v>198.0</v>
      </c>
      <c r="C98" s="36">
        <v>31.4</v>
      </c>
      <c r="D98" s="36">
        <v>1980.0</v>
      </c>
      <c r="E98" s="36">
        <v>2276.0</v>
      </c>
      <c r="F98" s="36">
        <v>1.15</v>
      </c>
      <c r="G98" s="36">
        <v>24.0</v>
      </c>
      <c r="H98" s="36">
        <v>2.04</v>
      </c>
      <c r="I98" s="36">
        <v>49.2</v>
      </c>
      <c r="J98" s="36">
        <v>68.7</v>
      </c>
      <c r="K98" s="36">
        <v>148.0</v>
      </c>
      <c r="L98" s="36">
        <v>20.5</v>
      </c>
      <c r="M98" s="36">
        <v>102.0</v>
      </c>
      <c r="N98" s="36">
        <v>52.0</v>
      </c>
      <c r="O98" s="36">
        <v>24.0</v>
      </c>
      <c r="P98" s="36">
        <v>83.0</v>
      </c>
      <c r="Q98" s="36">
        <v>0.38</v>
      </c>
      <c r="R98" s="36">
        <v>0.96</v>
      </c>
      <c r="S98" s="36">
        <v>1.54</v>
      </c>
      <c r="T98" s="36">
        <v>2.49</v>
      </c>
      <c r="U98" s="8">
        <f t="shared" si="3"/>
        <v>2400</v>
      </c>
    </row>
    <row r="99" ht="14.25" customHeight="1">
      <c r="A99" s="38">
        <v>0.3902777777777778</v>
      </c>
      <c r="B99" s="36">
        <v>199.0</v>
      </c>
      <c r="C99" s="36">
        <v>31.5</v>
      </c>
      <c r="D99" s="36">
        <v>1985.0</v>
      </c>
      <c r="E99" s="36">
        <v>2323.0</v>
      </c>
      <c r="F99" s="36">
        <v>1.17</v>
      </c>
      <c r="G99" s="36">
        <v>25.0</v>
      </c>
      <c r="H99" s="36">
        <v>2.06</v>
      </c>
      <c r="I99" s="36">
        <v>51.5</v>
      </c>
      <c r="J99" s="36">
        <v>67.2</v>
      </c>
      <c r="K99" s="36">
        <v>149.0</v>
      </c>
      <c r="L99" s="36">
        <v>19.8</v>
      </c>
      <c r="M99" s="36">
        <v>103.0</v>
      </c>
      <c r="N99" s="36">
        <v>51.0</v>
      </c>
      <c r="O99" s="36">
        <v>25.0</v>
      </c>
      <c r="P99" s="36">
        <v>83.0</v>
      </c>
      <c r="Q99" s="36">
        <v>0.4</v>
      </c>
      <c r="R99" s="36">
        <v>0.96</v>
      </c>
      <c r="S99" s="36">
        <v>1.44</v>
      </c>
      <c r="T99" s="36">
        <v>2.4</v>
      </c>
      <c r="U99" s="8">
        <f t="shared" si="3"/>
        <v>0</v>
      </c>
    </row>
    <row r="100" ht="14.25" customHeight="1">
      <c r="A100" s="36" t="s">
        <v>81</v>
      </c>
      <c r="U100" s="8">
        <f t="shared" si="3"/>
        <v>0</v>
      </c>
    </row>
    <row r="101" ht="14.25" customHeight="1">
      <c r="A101" s="36" t="s">
        <v>82</v>
      </c>
      <c r="U101" s="8"/>
    </row>
    <row r="102" ht="14.25" customHeight="1">
      <c r="A102" s="38">
        <v>0.3923611111111111</v>
      </c>
      <c r="B102" s="36">
        <v>200.0</v>
      </c>
      <c r="C102" s="36">
        <v>31.6</v>
      </c>
      <c r="D102" s="36">
        <v>1991.0</v>
      </c>
      <c r="E102" s="36">
        <v>2336.0</v>
      </c>
      <c r="F102" s="36">
        <v>1.17</v>
      </c>
      <c r="G102" s="36">
        <v>25.0</v>
      </c>
      <c r="H102" s="36">
        <v>2.07</v>
      </c>
      <c r="I102" s="36">
        <v>51.5</v>
      </c>
      <c r="J102" s="36">
        <v>67.2</v>
      </c>
      <c r="K102" s="36">
        <v>150.0</v>
      </c>
      <c r="L102" s="36">
        <v>19.2</v>
      </c>
      <c r="M102" s="36">
        <v>103.0</v>
      </c>
      <c r="N102" s="36">
        <v>51.0</v>
      </c>
      <c r="O102" s="36">
        <v>25.0</v>
      </c>
      <c r="P102" s="36">
        <v>83.0</v>
      </c>
      <c r="Q102" s="36">
        <v>0.4</v>
      </c>
      <c r="R102" s="36">
        <v>0.97</v>
      </c>
      <c r="S102" s="36">
        <v>1.44</v>
      </c>
      <c r="T102" s="36">
        <v>2.41</v>
      </c>
      <c r="U102" s="8">
        <f t="shared" ref="U102:U108" si="5">T103*1000</f>
        <v>2430</v>
      </c>
      <c r="V102" s="21">
        <f t="shared" ref="V102:V106" si="6">(U102-U103)^2</f>
        <v>0</v>
      </c>
      <c r="W102" s="21">
        <f>SQRT(AVERAGE(V102:V107))</f>
        <v>39.49683532</v>
      </c>
      <c r="X102" s="21">
        <f>STDEV(U102:U108)/AVERAGE(U102:U108)</f>
        <v>0.4411005797</v>
      </c>
    </row>
    <row r="103" ht="14.25" customHeight="1">
      <c r="A103" s="38">
        <v>0.39375</v>
      </c>
      <c r="B103" s="36">
        <v>202.0</v>
      </c>
      <c r="C103" s="36">
        <v>30.9</v>
      </c>
      <c r="D103" s="36">
        <v>1947.0</v>
      </c>
      <c r="E103" s="36">
        <v>2325.0</v>
      </c>
      <c r="F103" s="36">
        <v>1.19</v>
      </c>
      <c r="G103" s="36">
        <v>25.0</v>
      </c>
      <c r="H103" s="36">
        <v>2.08</v>
      </c>
      <c r="I103" s="36">
        <v>51.3</v>
      </c>
      <c r="J103" s="36">
        <v>67.3</v>
      </c>
      <c r="K103" s="36">
        <v>151.0</v>
      </c>
      <c r="L103" s="36">
        <v>18.7</v>
      </c>
      <c r="M103" s="36">
        <v>103.0</v>
      </c>
      <c r="N103" s="36">
        <v>51.0</v>
      </c>
      <c r="O103" s="36">
        <v>25.0</v>
      </c>
      <c r="P103" s="36">
        <v>81.0</v>
      </c>
      <c r="Q103" s="36">
        <v>0.4</v>
      </c>
      <c r="R103" s="36">
        <v>0.97</v>
      </c>
      <c r="S103" s="36">
        <v>1.46</v>
      </c>
      <c r="T103" s="36">
        <v>2.43</v>
      </c>
      <c r="U103" s="8">
        <f t="shared" si="5"/>
        <v>2430</v>
      </c>
      <c r="V103" s="21">
        <f t="shared" si="6"/>
        <v>1600</v>
      </c>
    </row>
    <row r="104" ht="14.25" customHeight="1">
      <c r="A104" s="38">
        <v>0.3958333333333333</v>
      </c>
      <c r="B104" s="36">
        <v>202.0</v>
      </c>
      <c r="C104" s="36">
        <v>30.4</v>
      </c>
      <c r="D104" s="36">
        <v>1915.0</v>
      </c>
      <c r="E104" s="36">
        <v>2291.0</v>
      </c>
      <c r="F104" s="36">
        <v>1.2</v>
      </c>
      <c r="G104" s="36">
        <v>25.0</v>
      </c>
      <c r="H104" s="36">
        <v>2.05</v>
      </c>
      <c r="I104" s="36">
        <v>50.7</v>
      </c>
      <c r="J104" s="36">
        <v>67.8</v>
      </c>
      <c r="K104" s="36">
        <v>152.0</v>
      </c>
      <c r="L104" s="36">
        <v>18.3</v>
      </c>
      <c r="M104" s="36">
        <v>104.0</v>
      </c>
      <c r="N104" s="36">
        <v>51.0</v>
      </c>
      <c r="O104" s="36">
        <v>25.0</v>
      </c>
      <c r="P104" s="36">
        <v>80.0</v>
      </c>
      <c r="Q104" s="36">
        <v>0.41</v>
      </c>
      <c r="R104" s="36">
        <v>0.99</v>
      </c>
      <c r="S104" s="36">
        <v>1.45</v>
      </c>
      <c r="T104" s="36">
        <v>2.43</v>
      </c>
      <c r="U104" s="8">
        <f t="shared" si="5"/>
        <v>2470</v>
      </c>
      <c r="V104" s="21">
        <f t="shared" si="6"/>
        <v>3600</v>
      </c>
    </row>
    <row r="105" ht="14.25" customHeight="1">
      <c r="A105" s="38">
        <v>0.3972222222222222</v>
      </c>
      <c r="B105" s="36">
        <v>204.0</v>
      </c>
      <c r="C105" s="36">
        <v>30.3</v>
      </c>
      <c r="D105" s="36">
        <v>1912.0</v>
      </c>
      <c r="E105" s="36">
        <v>2296.0</v>
      </c>
      <c r="F105" s="36">
        <v>1.2</v>
      </c>
      <c r="G105" s="36">
        <v>24.0</v>
      </c>
      <c r="H105" s="36">
        <v>2.07</v>
      </c>
      <c r="I105" s="36">
        <v>50.4</v>
      </c>
      <c r="J105" s="36">
        <v>68.0</v>
      </c>
      <c r="K105" s="36">
        <v>153.0</v>
      </c>
      <c r="L105" s="36">
        <v>17.7</v>
      </c>
      <c r="M105" s="36">
        <v>104.0</v>
      </c>
      <c r="N105" s="36">
        <v>51.0</v>
      </c>
      <c r="O105" s="36">
        <v>24.0</v>
      </c>
      <c r="P105" s="36">
        <v>80.0</v>
      </c>
      <c r="Q105" s="36">
        <v>0.41</v>
      </c>
      <c r="R105" s="36">
        <v>1.01</v>
      </c>
      <c r="S105" s="36">
        <v>1.45</v>
      </c>
      <c r="T105" s="36">
        <v>2.47</v>
      </c>
      <c r="U105" s="8">
        <f t="shared" si="5"/>
        <v>2410</v>
      </c>
      <c r="V105" s="21">
        <f t="shared" si="6"/>
        <v>100</v>
      </c>
    </row>
    <row r="106" ht="14.25" customHeight="1">
      <c r="A106" s="38">
        <v>0.39861111111111114</v>
      </c>
      <c r="B106" s="36">
        <v>205.0</v>
      </c>
      <c r="C106" s="36">
        <v>30.3</v>
      </c>
      <c r="D106" s="36">
        <v>1908.0</v>
      </c>
      <c r="E106" s="36">
        <v>2302.0</v>
      </c>
      <c r="F106" s="36">
        <v>1.21</v>
      </c>
      <c r="G106" s="36">
        <v>25.0</v>
      </c>
      <c r="H106" s="36">
        <v>2.04</v>
      </c>
      <c r="I106" s="36">
        <v>50.7</v>
      </c>
      <c r="J106" s="36">
        <v>67.8</v>
      </c>
      <c r="K106" s="36">
        <v>153.0</v>
      </c>
      <c r="L106" s="36">
        <v>17.7</v>
      </c>
      <c r="M106" s="36">
        <v>104.0</v>
      </c>
      <c r="N106" s="36">
        <v>51.0</v>
      </c>
      <c r="O106" s="36">
        <v>25.0</v>
      </c>
      <c r="P106" s="36">
        <v>80.0</v>
      </c>
      <c r="Q106" s="36">
        <v>0.41</v>
      </c>
      <c r="R106" s="36">
        <v>0.98</v>
      </c>
      <c r="S106" s="36">
        <v>1.43</v>
      </c>
      <c r="T106" s="36">
        <v>2.41</v>
      </c>
      <c r="U106" s="8">
        <f t="shared" si="5"/>
        <v>2420</v>
      </c>
      <c r="V106" s="21">
        <f t="shared" si="6"/>
        <v>2500</v>
      </c>
    </row>
    <row r="107" ht="14.25" customHeight="1">
      <c r="A107" s="38">
        <v>0.40069444444444446</v>
      </c>
      <c r="B107" s="36">
        <v>206.0</v>
      </c>
      <c r="C107" s="36">
        <v>30.7</v>
      </c>
      <c r="D107" s="36">
        <v>1935.0</v>
      </c>
      <c r="E107" s="36">
        <v>2351.0</v>
      </c>
      <c r="F107" s="36">
        <v>1.21</v>
      </c>
      <c r="G107" s="36">
        <v>25.0</v>
      </c>
      <c r="H107" s="36">
        <v>2.09</v>
      </c>
      <c r="I107" s="36">
        <v>51.8</v>
      </c>
      <c r="J107" s="36">
        <v>67.1</v>
      </c>
      <c r="K107" s="36">
        <v>155.0</v>
      </c>
      <c r="L107" s="36">
        <v>16.9</v>
      </c>
      <c r="M107" s="36">
        <v>104.0</v>
      </c>
      <c r="N107" s="36">
        <v>51.0</v>
      </c>
      <c r="O107" s="36">
        <v>25.0</v>
      </c>
      <c r="P107" s="36">
        <v>81.0</v>
      </c>
      <c r="Q107" s="36">
        <v>0.41</v>
      </c>
      <c r="R107" s="36">
        <v>0.99</v>
      </c>
      <c r="S107" s="36">
        <v>1.44</v>
      </c>
      <c r="T107" s="36">
        <v>2.42</v>
      </c>
      <c r="U107" s="8">
        <f t="shared" si="5"/>
        <v>2470</v>
      </c>
    </row>
    <row r="108" ht="14.25" customHeight="1">
      <c r="A108" s="38">
        <v>0.40208333333333335</v>
      </c>
      <c r="B108" s="36">
        <v>25.0</v>
      </c>
      <c r="C108" s="36">
        <v>30.8</v>
      </c>
      <c r="D108" s="36">
        <v>1942.0</v>
      </c>
      <c r="E108" s="36">
        <v>2368.0</v>
      </c>
      <c r="F108" s="36">
        <v>1.22</v>
      </c>
      <c r="G108" s="36">
        <v>24.0</v>
      </c>
      <c r="H108" s="36">
        <v>2.14</v>
      </c>
      <c r="I108" s="36">
        <v>52.0</v>
      </c>
      <c r="J108" s="36">
        <v>66.9</v>
      </c>
      <c r="K108" s="36">
        <v>156.0</v>
      </c>
      <c r="L108" s="36">
        <v>16.2</v>
      </c>
      <c r="M108" s="36">
        <v>104.0</v>
      </c>
      <c r="N108" s="36">
        <v>51.0</v>
      </c>
      <c r="O108" s="36">
        <v>24.0</v>
      </c>
      <c r="P108" s="36">
        <v>81.0</v>
      </c>
      <c r="Q108" s="36">
        <v>0.42</v>
      </c>
      <c r="R108" s="36">
        <v>1.03</v>
      </c>
      <c r="S108" s="36">
        <v>1.44</v>
      </c>
      <c r="T108" s="36">
        <v>2.47</v>
      </c>
      <c r="U108" s="8">
        <f t="shared" si="5"/>
        <v>0</v>
      </c>
    </row>
    <row r="109" ht="14.25" customHeight="1">
      <c r="A109" s="36" t="s">
        <v>88</v>
      </c>
      <c r="U109" s="21">
        <f>S109*1000</f>
        <v>0</v>
      </c>
    </row>
    <row r="110" ht="14.25" customHeight="1">
      <c r="A110" s="38"/>
    </row>
    <row r="111" ht="14.25" customHeight="1">
      <c r="A111" s="38"/>
    </row>
    <row r="112" ht="14.25" customHeight="1">
      <c r="A112" s="38"/>
    </row>
    <row r="113" ht="14.25" customHeight="1">
      <c r="A113" s="38"/>
    </row>
    <row r="114" ht="14.25" customHeight="1">
      <c r="A114" s="38"/>
    </row>
    <row r="115" ht="14.25" customHeight="1">
      <c r="A115" s="38"/>
    </row>
    <row r="116" ht="14.25" customHeight="1">
      <c r="A116" s="38"/>
    </row>
    <row r="117" ht="14.25" customHeight="1">
      <c r="A117" s="38"/>
    </row>
    <row r="118" ht="14.25" customHeight="1">
      <c r="A118" s="38"/>
    </row>
    <row r="119" ht="14.25" customHeight="1">
      <c r="A119" s="38"/>
    </row>
    <row r="120" ht="14.25" customHeight="1">
      <c r="A120" s="38"/>
    </row>
    <row r="121" ht="14.25" customHeight="1">
      <c r="A121" s="38"/>
    </row>
    <row r="122" ht="14.25" customHeight="1">
      <c r="A122" s="38"/>
    </row>
    <row r="123" ht="14.25" customHeight="1">
      <c r="A123" s="38"/>
    </row>
    <row r="124" ht="14.25" customHeight="1">
      <c r="A124" s="38"/>
    </row>
    <row r="125" ht="14.25" customHeight="1">
      <c r="A125" s="38"/>
    </row>
    <row r="126" ht="14.25" customHeight="1">
      <c r="A126" s="38"/>
    </row>
    <row r="127" ht="14.25" customHeight="1">
      <c r="A127" s="38"/>
    </row>
    <row r="128" ht="14.25" customHeight="1">
      <c r="A128" s="38"/>
    </row>
    <row r="129" ht="14.25" customHeight="1">
      <c r="A129" s="38"/>
    </row>
    <row r="130" ht="14.25" customHeight="1">
      <c r="A130" s="38"/>
    </row>
    <row r="131" ht="14.25" customHeight="1">
      <c r="A131" s="38"/>
    </row>
    <row r="132" ht="14.25" customHeight="1">
      <c r="A132" s="38"/>
    </row>
    <row r="133" ht="14.25" customHeight="1">
      <c r="A133" s="38"/>
    </row>
    <row r="134" ht="14.25" customHeight="1">
      <c r="A134" s="38"/>
    </row>
    <row r="135" ht="14.25" customHeight="1">
      <c r="A135" s="38"/>
    </row>
    <row r="136" ht="14.25" customHeight="1">
      <c r="A136" s="38"/>
    </row>
    <row r="137" ht="14.25" customHeight="1">
      <c r="A137" s="38"/>
    </row>
    <row r="138" ht="14.25" customHeight="1">
      <c r="A138" s="38"/>
    </row>
    <row r="139" ht="14.25" customHeight="1">
      <c r="A139" s="38"/>
    </row>
    <row r="140" ht="14.25" customHeight="1">
      <c r="A140" s="38"/>
    </row>
    <row r="141" ht="14.25" customHeight="1">
      <c r="A141" s="38"/>
    </row>
    <row r="142" ht="14.25" customHeight="1">
      <c r="A142" s="38"/>
    </row>
    <row r="143" ht="14.25" customHeight="1">
      <c r="A143" s="38"/>
    </row>
    <row r="144" ht="14.25" customHeight="1">
      <c r="A144" s="38"/>
    </row>
    <row r="145" ht="14.25" customHeight="1">
      <c r="A145" s="38"/>
    </row>
    <row r="146" ht="14.25" customHeight="1">
      <c r="A146" s="38"/>
    </row>
    <row r="147" ht="14.25" customHeight="1">
      <c r="A147" s="38"/>
    </row>
    <row r="148" ht="14.25" customHeight="1">
      <c r="A148" s="38"/>
    </row>
    <row r="149" ht="14.25" customHeight="1">
      <c r="A149" s="38"/>
    </row>
    <row r="150" ht="14.25" customHeight="1">
      <c r="A150" s="38"/>
    </row>
    <row r="151" ht="14.25" customHeight="1">
      <c r="A151" s="38"/>
    </row>
    <row r="152" ht="14.25" customHeight="1">
      <c r="A152" s="38"/>
    </row>
    <row r="153" ht="14.25" customHeight="1">
      <c r="A153" s="38"/>
    </row>
    <row r="154" ht="14.25" customHeight="1">
      <c r="A154" s="38"/>
    </row>
    <row r="155" ht="14.25" customHeight="1">
      <c r="A155" s="38"/>
    </row>
    <row r="156" ht="14.25" customHeight="1">
      <c r="A156" s="38"/>
    </row>
    <row r="157" ht="14.25" customHeight="1">
      <c r="A157" s="38"/>
    </row>
    <row r="158" ht="14.25" customHeight="1">
      <c r="A158" s="38"/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23" width="7.63"/>
    <col customWidth="1" min="24" max="54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89</v>
      </c>
      <c r="V2" s="8" t="s">
        <v>85</v>
      </c>
      <c r="W2" s="8" t="s">
        <v>52</v>
      </c>
      <c r="X2" s="8" t="s">
        <v>86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8">
        <v>0.2</v>
      </c>
      <c r="B5" s="36">
        <v>61.0</v>
      </c>
      <c r="C5" s="36">
        <v>6.9</v>
      </c>
      <c r="D5" s="36">
        <v>434.0</v>
      </c>
      <c r="E5" s="36">
        <v>392.0</v>
      </c>
      <c r="F5" s="36">
        <v>0.9</v>
      </c>
      <c r="G5" s="36">
        <v>14.0</v>
      </c>
      <c r="H5" s="36">
        <v>0.87</v>
      </c>
      <c r="I5" s="36">
        <v>12.3</v>
      </c>
      <c r="J5" s="36">
        <v>92.2</v>
      </c>
      <c r="K5" s="36">
        <v>85.0</v>
      </c>
      <c r="L5" s="36">
        <v>54.5</v>
      </c>
      <c r="M5" s="36">
        <v>105.0</v>
      </c>
      <c r="N5" s="36">
        <v>40.0</v>
      </c>
      <c r="O5" s="36">
        <v>14.0</v>
      </c>
      <c r="P5" s="36">
        <v>18.0</v>
      </c>
      <c r="Q5" s="36">
        <v>0.41</v>
      </c>
      <c r="R5" s="36">
        <v>1.73</v>
      </c>
      <c r="S5" s="36">
        <v>2.51</v>
      </c>
      <c r="T5" s="36">
        <v>4.24</v>
      </c>
      <c r="U5" s="21">
        <f t="shared" ref="U5:U56" si="1">T5*1000</f>
        <v>4240</v>
      </c>
      <c r="V5" s="21">
        <f t="shared" ref="V5:V56" si="2">(U5-U6)^2</f>
        <v>10000</v>
      </c>
      <c r="W5" s="21">
        <f>SQRT(AVERAGE(V5:V56))</f>
        <v>516.314603</v>
      </c>
      <c r="X5" s="21">
        <f>(STDEV(U5:U56)/AVERAGE(U5:U56))</f>
        <v>0.1008432692</v>
      </c>
    </row>
    <row r="6" ht="14.25" customHeight="1">
      <c r="A6" s="38">
        <v>0.20347222222222222</v>
      </c>
      <c r="B6" s="36">
        <v>65.0</v>
      </c>
      <c r="C6" s="36">
        <v>7.2</v>
      </c>
      <c r="D6" s="36">
        <v>455.0</v>
      </c>
      <c r="E6" s="36">
        <v>405.0</v>
      </c>
      <c r="F6" s="36">
        <v>0.89</v>
      </c>
      <c r="G6" s="36">
        <v>14.0</v>
      </c>
      <c r="H6" s="36">
        <v>0.91</v>
      </c>
      <c r="I6" s="36">
        <v>12.6</v>
      </c>
      <c r="J6" s="36">
        <v>92.0</v>
      </c>
      <c r="K6" s="36">
        <v>82.0</v>
      </c>
      <c r="L6" s="36">
        <v>55.7</v>
      </c>
      <c r="M6" s="36">
        <v>104.0</v>
      </c>
      <c r="N6" s="36">
        <v>40.0</v>
      </c>
      <c r="O6" s="36">
        <v>14.0</v>
      </c>
      <c r="P6" s="36">
        <v>19.0</v>
      </c>
      <c r="Q6" s="36">
        <v>0.39</v>
      </c>
      <c r="R6" s="36">
        <v>1.7</v>
      </c>
      <c r="S6" s="36">
        <v>2.64</v>
      </c>
      <c r="T6" s="36">
        <v>4.34</v>
      </c>
      <c r="U6" s="21">
        <f t="shared" si="1"/>
        <v>4340</v>
      </c>
      <c r="V6" s="21">
        <f t="shared" si="2"/>
        <v>90000</v>
      </c>
    </row>
    <row r="7" ht="14.25" customHeight="1">
      <c r="A7" s="38">
        <v>0.2076388888888889</v>
      </c>
      <c r="B7" s="36">
        <v>68.0</v>
      </c>
      <c r="C7" s="36">
        <v>7.6</v>
      </c>
      <c r="D7" s="36">
        <v>476.0</v>
      </c>
      <c r="E7" s="36">
        <v>419.0</v>
      </c>
      <c r="F7" s="36">
        <v>0.88</v>
      </c>
      <c r="G7" s="36">
        <v>13.0</v>
      </c>
      <c r="H7" s="36">
        <v>0.98</v>
      </c>
      <c r="I7" s="36">
        <v>12.7</v>
      </c>
      <c r="J7" s="36">
        <v>91.9</v>
      </c>
      <c r="K7" s="36">
        <v>82.0</v>
      </c>
      <c r="L7" s="36">
        <v>55.9</v>
      </c>
      <c r="M7" s="36">
        <v>103.0</v>
      </c>
      <c r="N7" s="36">
        <v>40.0</v>
      </c>
      <c r="O7" s="36">
        <v>13.0</v>
      </c>
      <c r="P7" s="36">
        <v>20.0</v>
      </c>
      <c r="Q7" s="36">
        <v>0.39</v>
      </c>
      <c r="R7" s="36">
        <v>1.8</v>
      </c>
      <c r="S7" s="36">
        <v>2.84</v>
      </c>
      <c r="T7" s="36">
        <v>4.64</v>
      </c>
      <c r="U7" s="21">
        <f t="shared" si="1"/>
        <v>4640</v>
      </c>
      <c r="V7" s="21">
        <f t="shared" si="2"/>
        <v>40000</v>
      </c>
    </row>
    <row r="8" ht="14.25" customHeight="1">
      <c r="A8" s="38">
        <v>0.21180555555555555</v>
      </c>
      <c r="B8" s="36">
        <v>71.0</v>
      </c>
      <c r="C8" s="36">
        <v>7.6</v>
      </c>
      <c r="D8" s="36">
        <v>479.0</v>
      </c>
      <c r="E8" s="36">
        <v>416.0</v>
      </c>
      <c r="F8" s="36">
        <v>0.87</v>
      </c>
      <c r="G8" s="36">
        <v>12.0</v>
      </c>
      <c r="H8" s="36">
        <v>1.0</v>
      </c>
      <c r="I8" s="36">
        <v>12.4</v>
      </c>
      <c r="J8" s="36">
        <v>92.1</v>
      </c>
      <c r="K8" s="36">
        <v>81.0</v>
      </c>
      <c r="L8" s="36">
        <v>56.4</v>
      </c>
      <c r="M8" s="36">
        <v>102.0</v>
      </c>
      <c r="N8" s="36">
        <v>41.0</v>
      </c>
      <c r="O8" s="36">
        <v>12.0</v>
      </c>
      <c r="P8" s="36">
        <v>20.0</v>
      </c>
      <c r="Q8" s="36">
        <v>0.38</v>
      </c>
      <c r="R8" s="36">
        <v>1.86</v>
      </c>
      <c r="S8" s="36">
        <v>2.98</v>
      </c>
      <c r="T8" s="36">
        <v>4.84</v>
      </c>
      <c r="U8" s="21">
        <f t="shared" si="1"/>
        <v>4840</v>
      </c>
      <c r="V8" s="21">
        <f t="shared" si="2"/>
        <v>96100</v>
      </c>
    </row>
    <row r="9" ht="14.25" customHeight="1">
      <c r="A9" s="38">
        <v>0.21458333333333332</v>
      </c>
      <c r="B9" s="36">
        <v>73.0</v>
      </c>
      <c r="C9" s="36">
        <v>8.0</v>
      </c>
      <c r="D9" s="36">
        <v>503.0</v>
      </c>
      <c r="E9" s="36">
        <v>433.0</v>
      </c>
      <c r="F9" s="36">
        <v>0.86</v>
      </c>
      <c r="G9" s="36">
        <v>12.0</v>
      </c>
      <c r="H9" s="36">
        <v>1.09</v>
      </c>
      <c r="I9" s="36">
        <v>12.7</v>
      </c>
      <c r="J9" s="36">
        <v>91.9</v>
      </c>
      <c r="K9" s="36">
        <v>80.0</v>
      </c>
      <c r="L9" s="36">
        <v>57.0</v>
      </c>
      <c r="M9" s="36">
        <v>101.0</v>
      </c>
      <c r="N9" s="36">
        <v>41.0</v>
      </c>
      <c r="O9" s="36">
        <v>12.0</v>
      </c>
      <c r="P9" s="36">
        <v>21.0</v>
      </c>
      <c r="Q9" s="36">
        <v>0.39</v>
      </c>
      <c r="R9" s="36">
        <v>2.03</v>
      </c>
      <c r="S9" s="36">
        <v>3.12</v>
      </c>
      <c r="T9" s="36">
        <v>5.15</v>
      </c>
      <c r="U9" s="21">
        <f t="shared" si="1"/>
        <v>5150</v>
      </c>
      <c r="V9" s="21">
        <f t="shared" si="2"/>
        <v>1600</v>
      </c>
    </row>
    <row r="10" ht="14.25" customHeight="1">
      <c r="A10" s="38">
        <v>0.21805555555555556</v>
      </c>
      <c r="B10" s="36">
        <v>75.0</v>
      </c>
      <c r="C10" s="36">
        <v>8.3</v>
      </c>
      <c r="D10" s="36">
        <v>521.0</v>
      </c>
      <c r="E10" s="36">
        <v>445.0</v>
      </c>
      <c r="F10" s="36">
        <v>0.85</v>
      </c>
      <c r="G10" s="36">
        <v>12.0</v>
      </c>
      <c r="H10" s="36">
        <v>1.12</v>
      </c>
      <c r="I10" s="36">
        <v>12.9</v>
      </c>
      <c r="J10" s="36">
        <v>91.8</v>
      </c>
      <c r="K10" s="36">
        <v>81.0</v>
      </c>
      <c r="L10" s="36">
        <v>56.4</v>
      </c>
      <c r="M10" s="36">
        <v>101.0</v>
      </c>
      <c r="N10" s="36">
        <v>41.0</v>
      </c>
      <c r="O10" s="36">
        <v>12.0</v>
      </c>
      <c r="P10" s="36">
        <v>22.0</v>
      </c>
      <c r="Q10" s="36">
        <v>0.39</v>
      </c>
      <c r="R10" s="36">
        <v>2.04</v>
      </c>
      <c r="S10" s="36">
        <v>3.15</v>
      </c>
      <c r="T10" s="36">
        <v>5.19</v>
      </c>
      <c r="U10" s="21">
        <f t="shared" si="1"/>
        <v>5190</v>
      </c>
      <c r="V10" s="21">
        <f t="shared" si="2"/>
        <v>48400</v>
      </c>
    </row>
    <row r="11" ht="14.25" customHeight="1">
      <c r="A11" s="38">
        <v>0.22083333333333333</v>
      </c>
      <c r="B11" s="36">
        <v>77.0</v>
      </c>
      <c r="C11" s="36">
        <v>8.1</v>
      </c>
      <c r="D11" s="36">
        <v>510.0</v>
      </c>
      <c r="E11" s="36">
        <v>435.0</v>
      </c>
      <c r="F11" s="36">
        <v>0.85</v>
      </c>
      <c r="G11" s="36">
        <v>12.0</v>
      </c>
      <c r="H11" s="36">
        <v>1.06</v>
      </c>
      <c r="I11" s="36">
        <v>12.7</v>
      </c>
      <c r="J11" s="36">
        <v>91.9</v>
      </c>
      <c r="K11" s="36">
        <v>84.0</v>
      </c>
      <c r="L11" s="36">
        <v>54.6</v>
      </c>
      <c r="M11" s="36">
        <v>100.0</v>
      </c>
      <c r="N11" s="36">
        <v>41.0</v>
      </c>
      <c r="O11" s="36">
        <v>12.0</v>
      </c>
      <c r="P11" s="36">
        <v>21.0</v>
      </c>
      <c r="Q11" s="36">
        <v>0.39</v>
      </c>
      <c r="R11" s="36">
        <v>1.94</v>
      </c>
      <c r="S11" s="36">
        <v>3.03</v>
      </c>
      <c r="T11" s="36">
        <v>4.97</v>
      </c>
      <c r="U11" s="21">
        <f t="shared" si="1"/>
        <v>4970</v>
      </c>
      <c r="V11" s="21">
        <f t="shared" si="2"/>
        <v>48400</v>
      </c>
    </row>
    <row r="12" ht="14.25" customHeight="1">
      <c r="A12" s="38">
        <v>0.22361111111111112</v>
      </c>
      <c r="B12" s="36">
        <v>79.0</v>
      </c>
      <c r="C12" s="36">
        <v>8.3</v>
      </c>
      <c r="D12" s="36">
        <v>521.0</v>
      </c>
      <c r="E12" s="36">
        <v>445.0</v>
      </c>
      <c r="F12" s="36">
        <v>0.85</v>
      </c>
      <c r="G12" s="36">
        <v>12.0</v>
      </c>
      <c r="H12" s="36">
        <v>1.12</v>
      </c>
      <c r="I12" s="36">
        <v>12.9</v>
      </c>
      <c r="J12" s="36">
        <v>91.8</v>
      </c>
      <c r="K12" s="36">
        <v>88.0</v>
      </c>
      <c r="L12" s="36">
        <v>52.5</v>
      </c>
      <c r="M12" s="36">
        <v>101.0</v>
      </c>
      <c r="N12" s="36">
        <v>41.0</v>
      </c>
      <c r="O12" s="36">
        <v>12.0</v>
      </c>
      <c r="P12" s="36">
        <v>22.0</v>
      </c>
      <c r="Q12" s="36">
        <v>0.39</v>
      </c>
      <c r="R12" s="36">
        <v>2.04</v>
      </c>
      <c r="S12" s="36">
        <v>3.15</v>
      </c>
      <c r="T12" s="36">
        <v>5.19</v>
      </c>
      <c r="U12" s="21">
        <f t="shared" si="1"/>
        <v>5190</v>
      </c>
      <c r="V12" s="21">
        <f t="shared" si="2"/>
        <v>2500</v>
      </c>
    </row>
    <row r="13" ht="14.25" customHeight="1">
      <c r="A13" s="38">
        <v>0.22708333333333333</v>
      </c>
      <c r="B13" s="36">
        <v>82.0</v>
      </c>
      <c r="C13" s="36">
        <v>8.5</v>
      </c>
      <c r="D13" s="36">
        <v>538.0</v>
      </c>
      <c r="E13" s="36">
        <v>453.0</v>
      </c>
      <c r="F13" s="36">
        <v>0.84</v>
      </c>
      <c r="G13" s="36">
        <v>12.0</v>
      </c>
      <c r="H13" s="36">
        <v>1.11</v>
      </c>
      <c r="I13" s="36">
        <v>13.0</v>
      </c>
      <c r="J13" s="36">
        <v>91.7</v>
      </c>
      <c r="K13" s="36">
        <v>91.0</v>
      </c>
      <c r="L13" s="36">
        <v>50.9</v>
      </c>
      <c r="M13" s="36">
        <v>100.0</v>
      </c>
      <c r="N13" s="36">
        <v>42.0</v>
      </c>
      <c r="O13" s="36">
        <v>12.0</v>
      </c>
      <c r="P13" s="36">
        <v>22.0</v>
      </c>
      <c r="Q13" s="36">
        <v>0.41</v>
      </c>
      <c r="R13" s="36">
        <v>2.1</v>
      </c>
      <c r="S13" s="36">
        <v>3.03</v>
      </c>
      <c r="T13" s="36">
        <v>5.14</v>
      </c>
      <c r="U13" s="21">
        <f t="shared" si="1"/>
        <v>5140</v>
      </c>
      <c r="V13" s="21">
        <f t="shared" si="2"/>
        <v>32400</v>
      </c>
    </row>
    <row r="14" ht="14.25" customHeight="1">
      <c r="A14" s="38">
        <v>0.23055555555555557</v>
      </c>
      <c r="B14" s="36">
        <v>84.0</v>
      </c>
      <c r="C14" s="36">
        <v>8.9</v>
      </c>
      <c r="D14" s="36">
        <v>562.0</v>
      </c>
      <c r="E14" s="36">
        <v>465.0</v>
      </c>
      <c r="F14" s="36">
        <v>0.83</v>
      </c>
      <c r="G14" s="36">
        <v>12.0</v>
      </c>
      <c r="H14" s="36">
        <v>1.09</v>
      </c>
      <c r="I14" s="36">
        <v>13.2</v>
      </c>
      <c r="J14" s="36">
        <v>91.6</v>
      </c>
      <c r="K14" s="36">
        <v>94.0</v>
      </c>
      <c r="L14" s="36">
        <v>49.3</v>
      </c>
      <c r="M14" s="36">
        <v>99.0</v>
      </c>
      <c r="N14" s="36">
        <v>42.0</v>
      </c>
      <c r="O14" s="36">
        <v>12.0</v>
      </c>
      <c r="P14" s="36">
        <v>23.0</v>
      </c>
      <c r="Q14" s="36">
        <v>0.4</v>
      </c>
      <c r="R14" s="36">
        <v>2.0</v>
      </c>
      <c r="S14" s="36">
        <v>2.96</v>
      </c>
      <c r="T14" s="36">
        <v>4.96</v>
      </c>
      <c r="U14" s="21">
        <f t="shared" si="1"/>
        <v>4960</v>
      </c>
      <c r="V14" s="21">
        <f t="shared" si="2"/>
        <v>12100</v>
      </c>
    </row>
    <row r="15" ht="14.25" customHeight="1">
      <c r="A15" s="38">
        <v>0.23472222222222222</v>
      </c>
      <c r="B15" s="36">
        <v>87.0</v>
      </c>
      <c r="C15" s="36">
        <v>9.5</v>
      </c>
      <c r="D15" s="36">
        <v>600.0</v>
      </c>
      <c r="E15" s="36">
        <v>489.0</v>
      </c>
      <c r="F15" s="36">
        <v>0.82</v>
      </c>
      <c r="G15" s="36">
        <v>12.0</v>
      </c>
      <c r="H15" s="36">
        <v>1.14</v>
      </c>
      <c r="I15" s="36">
        <v>13.5</v>
      </c>
      <c r="J15" s="36">
        <v>91.4</v>
      </c>
      <c r="K15" s="36">
        <v>95.0</v>
      </c>
      <c r="L15" s="36">
        <v>49.0</v>
      </c>
      <c r="M15" s="36">
        <v>98.0</v>
      </c>
      <c r="N15" s="36">
        <v>43.0</v>
      </c>
      <c r="O15" s="36">
        <v>12.0</v>
      </c>
      <c r="P15" s="36">
        <v>25.0</v>
      </c>
      <c r="Q15" s="36">
        <v>0.41</v>
      </c>
      <c r="R15" s="36">
        <v>2.08</v>
      </c>
      <c r="S15" s="36">
        <v>2.99</v>
      </c>
      <c r="T15" s="36">
        <v>5.07</v>
      </c>
      <c r="U15" s="21">
        <f t="shared" si="1"/>
        <v>5070</v>
      </c>
      <c r="V15" s="21">
        <f t="shared" si="2"/>
        <v>1600</v>
      </c>
    </row>
    <row r="16" ht="14.25" customHeight="1">
      <c r="A16" s="38">
        <v>0.23819444444444443</v>
      </c>
      <c r="B16" s="36">
        <v>89.0</v>
      </c>
      <c r="C16" s="36">
        <v>9.5</v>
      </c>
      <c r="D16" s="36">
        <v>601.0</v>
      </c>
      <c r="E16" s="36">
        <v>486.0</v>
      </c>
      <c r="F16" s="36">
        <v>0.81</v>
      </c>
      <c r="G16" s="36">
        <v>12.0</v>
      </c>
      <c r="H16" s="36">
        <v>1.14</v>
      </c>
      <c r="I16" s="36">
        <v>13.3</v>
      </c>
      <c r="J16" s="36">
        <v>91.5</v>
      </c>
      <c r="K16" s="36">
        <v>97.0</v>
      </c>
      <c r="L16" s="36">
        <v>48.0</v>
      </c>
      <c r="M16" s="36">
        <v>97.0</v>
      </c>
      <c r="N16" s="36">
        <v>43.0</v>
      </c>
      <c r="O16" s="36">
        <v>12.0</v>
      </c>
      <c r="P16" s="36">
        <v>25.0</v>
      </c>
      <c r="Q16" s="36">
        <v>0.39</v>
      </c>
      <c r="R16" s="36">
        <v>2.01</v>
      </c>
      <c r="S16" s="36">
        <v>3.11</v>
      </c>
      <c r="T16" s="36">
        <v>5.11</v>
      </c>
      <c r="U16" s="21">
        <f t="shared" si="1"/>
        <v>5110</v>
      </c>
      <c r="V16" s="21">
        <f t="shared" si="2"/>
        <v>100</v>
      </c>
    </row>
    <row r="17" ht="14.25" customHeight="1">
      <c r="A17" s="38">
        <v>0.24166666666666667</v>
      </c>
      <c r="B17" s="36">
        <v>92.0</v>
      </c>
      <c r="C17" s="36">
        <v>10.1</v>
      </c>
      <c r="D17" s="36">
        <v>635.0</v>
      </c>
      <c r="E17" s="36">
        <v>507.0</v>
      </c>
      <c r="F17" s="36">
        <v>0.8</v>
      </c>
      <c r="G17" s="36">
        <v>12.0</v>
      </c>
      <c r="H17" s="36">
        <v>1.17</v>
      </c>
      <c r="I17" s="36">
        <v>13.7</v>
      </c>
      <c r="J17" s="36">
        <v>91.3</v>
      </c>
      <c r="K17" s="36">
        <v>97.0</v>
      </c>
      <c r="L17" s="36">
        <v>48.0</v>
      </c>
      <c r="M17" s="36">
        <v>96.0</v>
      </c>
      <c r="N17" s="36">
        <v>43.0</v>
      </c>
      <c r="O17" s="36">
        <v>12.0</v>
      </c>
      <c r="P17" s="36">
        <v>26.0</v>
      </c>
      <c r="Q17" s="36">
        <v>0.39</v>
      </c>
      <c r="R17" s="36">
        <v>1.97</v>
      </c>
      <c r="S17" s="36">
        <v>3.14</v>
      </c>
      <c r="T17" s="36">
        <v>5.1</v>
      </c>
      <c r="U17" s="21">
        <f t="shared" si="1"/>
        <v>5100</v>
      </c>
      <c r="V17" s="21">
        <f t="shared" si="2"/>
        <v>0</v>
      </c>
    </row>
    <row r="18" ht="14.25" customHeight="1">
      <c r="A18" s="38">
        <v>0.24513888888888888</v>
      </c>
      <c r="B18" s="36">
        <v>94.0</v>
      </c>
      <c r="C18" s="36">
        <v>10.6</v>
      </c>
      <c r="D18" s="36">
        <v>667.0</v>
      </c>
      <c r="E18" s="36">
        <v>532.0</v>
      </c>
      <c r="F18" s="36">
        <v>0.8</v>
      </c>
      <c r="G18" s="36">
        <v>12.0</v>
      </c>
      <c r="H18" s="36">
        <v>1.21</v>
      </c>
      <c r="I18" s="36">
        <v>14.3</v>
      </c>
      <c r="J18" s="36">
        <v>90.9</v>
      </c>
      <c r="K18" s="36">
        <v>96.0</v>
      </c>
      <c r="L18" s="36">
        <v>48.2</v>
      </c>
      <c r="M18" s="36">
        <v>96.0</v>
      </c>
      <c r="N18" s="36">
        <v>44.0</v>
      </c>
      <c r="O18" s="36">
        <v>12.0</v>
      </c>
      <c r="P18" s="36">
        <v>28.0</v>
      </c>
      <c r="Q18" s="36">
        <v>0.4</v>
      </c>
      <c r="R18" s="36">
        <v>2.03</v>
      </c>
      <c r="S18" s="36">
        <v>3.07</v>
      </c>
      <c r="T18" s="36">
        <v>5.1</v>
      </c>
      <c r="U18" s="21">
        <f t="shared" si="1"/>
        <v>5100</v>
      </c>
      <c r="V18" s="21">
        <f t="shared" si="2"/>
        <v>4900</v>
      </c>
    </row>
    <row r="19" ht="14.25" customHeight="1">
      <c r="A19" s="38">
        <v>0.24861111111111112</v>
      </c>
      <c r="B19" s="36">
        <v>97.0</v>
      </c>
      <c r="C19" s="36">
        <v>10.5</v>
      </c>
      <c r="D19" s="36">
        <v>663.0</v>
      </c>
      <c r="E19" s="36">
        <v>526.0</v>
      </c>
      <c r="F19" s="36">
        <v>0.79</v>
      </c>
      <c r="G19" s="36">
        <v>12.0</v>
      </c>
      <c r="H19" s="36">
        <v>1.21</v>
      </c>
      <c r="I19" s="36">
        <v>14.0</v>
      </c>
      <c r="J19" s="36">
        <v>91.1</v>
      </c>
      <c r="K19" s="36">
        <v>94.0</v>
      </c>
      <c r="L19" s="36">
        <v>49.3</v>
      </c>
      <c r="M19" s="36">
        <v>95.0</v>
      </c>
      <c r="N19" s="36">
        <v>44.0</v>
      </c>
      <c r="O19" s="36">
        <v>12.0</v>
      </c>
      <c r="P19" s="36">
        <v>28.0</v>
      </c>
      <c r="Q19" s="36">
        <v>0.4</v>
      </c>
      <c r="R19" s="36">
        <v>2.08</v>
      </c>
      <c r="S19" s="36">
        <v>3.08</v>
      </c>
      <c r="T19" s="36">
        <v>5.17</v>
      </c>
      <c r="U19" s="21">
        <f t="shared" si="1"/>
        <v>5170</v>
      </c>
      <c r="V19" s="21">
        <f t="shared" si="2"/>
        <v>4900</v>
      </c>
    </row>
    <row r="20" ht="14.25" customHeight="1">
      <c r="A20" s="38">
        <v>0.2520833333333333</v>
      </c>
      <c r="B20" s="36">
        <v>100.0</v>
      </c>
      <c r="C20" s="36">
        <v>10.8</v>
      </c>
      <c r="D20" s="36">
        <v>681.0</v>
      </c>
      <c r="E20" s="36">
        <v>541.0</v>
      </c>
      <c r="F20" s="36">
        <v>0.79</v>
      </c>
      <c r="G20" s="36">
        <v>11.0</v>
      </c>
      <c r="H20" s="36">
        <v>1.25</v>
      </c>
      <c r="I20" s="36">
        <v>14.3</v>
      </c>
      <c r="J20" s="36">
        <v>90.9</v>
      </c>
      <c r="K20" s="36">
        <v>92.0</v>
      </c>
      <c r="L20" s="36">
        <v>50.5</v>
      </c>
      <c r="M20" s="36">
        <v>95.0</v>
      </c>
      <c r="N20" s="36">
        <v>44.0</v>
      </c>
      <c r="O20" s="36">
        <v>11.0</v>
      </c>
      <c r="P20" s="36">
        <v>28.0</v>
      </c>
      <c r="Q20" s="36">
        <v>0.4</v>
      </c>
      <c r="R20" s="36">
        <v>2.1</v>
      </c>
      <c r="S20" s="36">
        <v>3.13</v>
      </c>
      <c r="T20" s="36">
        <v>5.24</v>
      </c>
      <c r="U20" s="21">
        <f t="shared" si="1"/>
        <v>5240</v>
      </c>
      <c r="V20" s="21">
        <f t="shared" si="2"/>
        <v>0</v>
      </c>
    </row>
    <row r="21" ht="14.25" customHeight="1">
      <c r="A21" s="38">
        <v>0.25625</v>
      </c>
      <c r="B21" s="36">
        <v>103.0</v>
      </c>
      <c r="C21" s="36">
        <v>11.1</v>
      </c>
      <c r="D21" s="36">
        <v>699.0</v>
      </c>
      <c r="E21" s="36">
        <v>554.0</v>
      </c>
      <c r="F21" s="36">
        <v>0.79</v>
      </c>
      <c r="G21" s="36">
        <v>11.0</v>
      </c>
      <c r="H21" s="36">
        <v>1.28</v>
      </c>
      <c r="I21" s="36">
        <v>14.6</v>
      </c>
      <c r="J21" s="36">
        <v>90.7</v>
      </c>
      <c r="K21" s="36">
        <v>90.0</v>
      </c>
      <c r="L21" s="36">
        <v>51.5</v>
      </c>
      <c r="M21" s="36">
        <v>95.0</v>
      </c>
      <c r="N21" s="36">
        <v>44.0</v>
      </c>
      <c r="O21" s="36">
        <v>11.0</v>
      </c>
      <c r="P21" s="36">
        <v>29.0</v>
      </c>
      <c r="Q21" s="36">
        <v>0.41</v>
      </c>
      <c r="R21" s="36">
        <v>2.17</v>
      </c>
      <c r="S21" s="36">
        <v>3.08</v>
      </c>
      <c r="T21" s="36">
        <v>5.24</v>
      </c>
      <c r="U21" s="21">
        <f t="shared" si="1"/>
        <v>5240</v>
      </c>
      <c r="V21" s="21">
        <f t="shared" si="2"/>
        <v>52900</v>
      </c>
    </row>
    <row r="22" ht="14.25" customHeight="1">
      <c r="A22" s="38">
        <v>0.25972222222222224</v>
      </c>
      <c r="B22" s="36">
        <v>105.0</v>
      </c>
      <c r="C22" s="36">
        <v>11.0</v>
      </c>
      <c r="D22" s="36">
        <v>694.0</v>
      </c>
      <c r="E22" s="36">
        <v>550.0</v>
      </c>
      <c r="F22" s="36">
        <v>0.79</v>
      </c>
      <c r="G22" s="36">
        <v>12.0</v>
      </c>
      <c r="H22" s="36">
        <v>1.21</v>
      </c>
      <c r="I22" s="36">
        <v>14.5</v>
      </c>
      <c r="J22" s="36">
        <v>90.8</v>
      </c>
      <c r="K22" s="36">
        <v>91.0</v>
      </c>
      <c r="L22" s="36">
        <v>51.0</v>
      </c>
      <c r="M22" s="36">
        <v>94.0</v>
      </c>
      <c r="N22" s="36">
        <v>44.0</v>
      </c>
      <c r="O22" s="36">
        <v>12.0</v>
      </c>
      <c r="P22" s="36">
        <v>29.0</v>
      </c>
      <c r="Q22" s="36">
        <v>0.43</v>
      </c>
      <c r="R22" s="36">
        <v>2.14</v>
      </c>
      <c r="S22" s="36">
        <v>2.87</v>
      </c>
      <c r="T22" s="36">
        <v>5.01</v>
      </c>
      <c r="U22" s="21">
        <f t="shared" si="1"/>
        <v>5010</v>
      </c>
      <c r="V22" s="21">
        <f t="shared" si="2"/>
        <v>62500</v>
      </c>
    </row>
    <row r="23" ht="14.25" customHeight="1">
      <c r="A23" s="38">
        <v>0.2625</v>
      </c>
      <c r="B23" s="36">
        <v>107.0</v>
      </c>
      <c r="C23" s="36">
        <v>11.6</v>
      </c>
      <c r="D23" s="36">
        <v>729.0</v>
      </c>
      <c r="E23" s="36">
        <v>577.0</v>
      </c>
      <c r="F23" s="36">
        <v>0.79</v>
      </c>
      <c r="G23" s="36">
        <v>11.0</v>
      </c>
      <c r="H23" s="36">
        <v>1.31</v>
      </c>
      <c r="I23" s="36">
        <v>15.0</v>
      </c>
      <c r="J23" s="36">
        <v>90.5</v>
      </c>
      <c r="K23" s="36">
        <v>91.0</v>
      </c>
      <c r="L23" s="36">
        <v>51.0</v>
      </c>
      <c r="M23" s="36">
        <v>94.0</v>
      </c>
      <c r="N23" s="36">
        <v>44.0</v>
      </c>
      <c r="O23" s="36">
        <v>11.0</v>
      </c>
      <c r="P23" s="36">
        <v>30.0</v>
      </c>
      <c r="Q23" s="36">
        <v>0.4</v>
      </c>
      <c r="R23" s="36">
        <v>2.1</v>
      </c>
      <c r="S23" s="36">
        <v>3.15</v>
      </c>
      <c r="T23" s="36">
        <v>5.26</v>
      </c>
      <c r="U23" s="21">
        <f t="shared" si="1"/>
        <v>5260</v>
      </c>
      <c r="V23" s="21">
        <f t="shared" si="2"/>
        <v>40000</v>
      </c>
    </row>
    <row r="24" ht="14.25" customHeight="1">
      <c r="A24" s="38">
        <v>0.2659722222222222</v>
      </c>
      <c r="B24" s="36">
        <v>110.0</v>
      </c>
      <c r="C24" s="36">
        <v>11.7</v>
      </c>
      <c r="D24" s="36">
        <v>735.0</v>
      </c>
      <c r="E24" s="36">
        <v>583.0</v>
      </c>
      <c r="F24" s="36">
        <v>0.79</v>
      </c>
      <c r="G24" s="36">
        <v>12.0</v>
      </c>
      <c r="H24" s="36">
        <v>1.28</v>
      </c>
      <c r="I24" s="36">
        <v>15.2</v>
      </c>
      <c r="J24" s="36">
        <v>90.4</v>
      </c>
      <c r="K24" s="36">
        <v>92.0</v>
      </c>
      <c r="L24" s="36">
        <v>50.4</v>
      </c>
      <c r="M24" s="36">
        <v>94.0</v>
      </c>
      <c r="N24" s="36">
        <v>45.0</v>
      </c>
      <c r="O24" s="36">
        <v>12.0</v>
      </c>
      <c r="P24" s="36">
        <v>31.0</v>
      </c>
      <c r="Q24" s="36">
        <v>0.4</v>
      </c>
      <c r="R24" s="36">
        <v>2.01</v>
      </c>
      <c r="S24" s="36">
        <v>3.05</v>
      </c>
      <c r="T24" s="36">
        <v>5.06</v>
      </c>
      <c r="U24" s="21">
        <f t="shared" si="1"/>
        <v>5060</v>
      </c>
      <c r="V24" s="21">
        <f t="shared" si="2"/>
        <v>36100</v>
      </c>
    </row>
    <row r="25" ht="14.25" customHeight="1">
      <c r="A25" s="38">
        <v>0.26875</v>
      </c>
      <c r="B25" s="36">
        <v>111.0</v>
      </c>
      <c r="C25" s="36">
        <v>12.0</v>
      </c>
      <c r="D25" s="36">
        <v>758.0</v>
      </c>
      <c r="E25" s="36">
        <v>602.0</v>
      </c>
      <c r="F25" s="36">
        <v>0.79</v>
      </c>
      <c r="G25" s="36">
        <v>12.0</v>
      </c>
      <c r="H25" s="36">
        <v>1.27</v>
      </c>
      <c r="I25" s="36">
        <v>15.6</v>
      </c>
      <c r="J25" s="36">
        <v>90.1</v>
      </c>
      <c r="K25" s="36">
        <v>95.0</v>
      </c>
      <c r="L25" s="36">
        <v>49.0</v>
      </c>
      <c r="M25" s="36">
        <v>94.0</v>
      </c>
      <c r="N25" s="36">
        <v>45.0</v>
      </c>
      <c r="O25" s="36">
        <v>12.0</v>
      </c>
      <c r="P25" s="36">
        <v>32.0</v>
      </c>
      <c r="Q25" s="36">
        <v>0.41</v>
      </c>
      <c r="R25" s="36">
        <v>1.98</v>
      </c>
      <c r="S25" s="36">
        <v>2.89</v>
      </c>
      <c r="T25" s="36">
        <v>4.87</v>
      </c>
      <c r="U25" s="21">
        <f t="shared" si="1"/>
        <v>4870</v>
      </c>
      <c r="V25" s="21">
        <f t="shared" si="2"/>
        <v>1600</v>
      </c>
    </row>
    <row r="26" ht="14.25" customHeight="1">
      <c r="A26" s="38">
        <v>0.2722222222222222</v>
      </c>
      <c r="B26" s="36">
        <v>114.0</v>
      </c>
      <c r="C26" s="36">
        <v>12.9</v>
      </c>
      <c r="D26" s="36">
        <v>813.0</v>
      </c>
      <c r="E26" s="36">
        <v>647.0</v>
      </c>
      <c r="F26" s="36">
        <v>0.8</v>
      </c>
      <c r="G26" s="36">
        <v>12.0</v>
      </c>
      <c r="H26" s="36">
        <v>1.33</v>
      </c>
      <c r="I26" s="36">
        <v>16.5</v>
      </c>
      <c r="J26" s="36">
        <v>89.5</v>
      </c>
      <c r="K26" s="36">
        <v>102.0</v>
      </c>
      <c r="L26" s="36">
        <v>45.3</v>
      </c>
      <c r="M26" s="36">
        <v>94.0</v>
      </c>
      <c r="N26" s="36">
        <v>45.0</v>
      </c>
      <c r="O26" s="36">
        <v>12.0</v>
      </c>
      <c r="P26" s="36">
        <v>34.0</v>
      </c>
      <c r="Q26" s="36">
        <v>0.4</v>
      </c>
      <c r="R26" s="36">
        <v>1.93</v>
      </c>
      <c r="S26" s="36">
        <v>2.9</v>
      </c>
      <c r="T26" s="36">
        <v>4.83</v>
      </c>
      <c r="U26" s="21">
        <f t="shared" si="1"/>
        <v>4830</v>
      </c>
      <c r="V26" s="21">
        <f t="shared" si="2"/>
        <v>32400</v>
      </c>
    </row>
    <row r="27" ht="14.25" customHeight="1">
      <c r="A27" s="38">
        <v>0.275</v>
      </c>
      <c r="B27" s="36">
        <v>116.0</v>
      </c>
      <c r="C27" s="36">
        <v>13.6</v>
      </c>
      <c r="D27" s="36">
        <v>855.0</v>
      </c>
      <c r="E27" s="36">
        <v>683.0</v>
      </c>
      <c r="F27" s="36">
        <v>0.8</v>
      </c>
      <c r="G27" s="36">
        <v>13.0</v>
      </c>
      <c r="H27" s="36">
        <v>1.34</v>
      </c>
      <c r="I27" s="36">
        <v>17.4</v>
      </c>
      <c r="J27" s="36">
        <v>89.0</v>
      </c>
      <c r="K27" s="36">
        <v>102.0</v>
      </c>
      <c r="L27" s="36">
        <v>45.4</v>
      </c>
      <c r="M27" s="36">
        <v>94.0</v>
      </c>
      <c r="N27" s="36">
        <v>45.0</v>
      </c>
      <c r="O27" s="36">
        <v>13.0</v>
      </c>
      <c r="P27" s="36">
        <v>36.0</v>
      </c>
      <c r="Q27" s="36">
        <v>0.4</v>
      </c>
      <c r="R27" s="36">
        <v>1.87</v>
      </c>
      <c r="S27" s="36">
        <v>2.78</v>
      </c>
      <c r="T27" s="36">
        <v>4.65</v>
      </c>
      <c r="U27" s="21">
        <f t="shared" si="1"/>
        <v>4650</v>
      </c>
      <c r="V27" s="21">
        <f t="shared" si="2"/>
        <v>62500</v>
      </c>
    </row>
    <row r="28" ht="14.25" customHeight="1">
      <c r="A28" s="38">
        <v>0.2777777777777778</v>
      </c>
      <c r="B28" s="36">
        <v>118.0</v>
      </c>
      <c r="C28" s="36">
        <v>14.3</v>
      </c>
      <c r="D28" s="36">
        <v>899.0</v>
      </c>
      <c r="E28" s="36">
        <v>722.0</v>
      </c>
      <c r="F28" s="36">
        <v>0.8</v>
      </c>
      <c r="G28" s="36">
        <v>14.0</v>
      </c>
      <c r="H28" s="36">
        <v>1.34</v>
      </c>
      <c r="I28" s="36">
        <v>18.3</v>
      </c>
      <c r="J28" s="36">
        <v>88.4</v>
      </c>
      <c r="K28" s="36">
        <v>105.0</v>
      </c>
      <c r="L28" s="36">
        <v>43.5</v>
      </c>
      <c r="M28" s="36">
        <v>94.0</v>
      </c>
      <c r="N28" s="36">
        <v>45.0</v>
      </c>
      <c r="O28" s="36">
        <v>14.0</v>
      </c>
      <c r="P28" s="36">
        <v>37.0</v>
      </c>
      <c r="Q28" s="36">
        <v>0.42</v>
      </c>
      <c r="R28" s="36">
        <v>1.85</v>
      </c>
      <c r="S28" s="36">
        <v>2.55</v>
      </c>
      <c r="T28" s="36">
        <v>4.4</v>
      </c>
      <c r="U28" s="21">
        <f t="shared" si="1"/>
        <v>4400</v>
      </c>
      <c r="V28" s="21">
        <f t="shared" si="2"/>
        <v>8100</v>
      </c>
    </row>
    <row r="29" ht="14.25" customHeight="1">
      <c r="A29" s="38">
        <v>0.28055555555555556</v>
      </c>
      <c r="B29" s="36">
        <v>120.0</v>
      </c>
      <c r="C29" s="36">
        <v>14.9</v>
      </c>
      <c r="D29" s="36">
        <v>937.0</v>
      </c>
      <c r="E29" s="36">
        <v>758.0</v>
      </c>
      <c r="F29" s="36">
        <v>0.81</v>
      </c>
      <c r="G29" s="36">
        <v>14.0</v>
      </c>
      <c r="H29" s="36">
        <v>1.37</v>
      </c>
      <c r="I29" s="36">
        <v>19.1</v>
      </c>
      <c r="J29" s="36">
        <v>87.9</v>
      </c>
      <c r="K29" s="36">
        <v>105.0</v>
      </c>
      <c r="L29" s="36">
        <v>43.5</v>
      </c>
      <c r="M29" s="36">
        <v>94.0</v>
      </c>
      <c r="N29" s="36">
        <v>46.0</v>
      </c>
      <c r="O29" s="36">
        <v>14.0</v>
      </c>
      <c r="P29" s="36">
        <v>39.0</v>
      </c>
      <c r="Q29" s="36">
        <v>0.42</v>
      </c>
      <c r="R29" s="36">
        <v>1.79</v>
      </c>
      <c r="S29" s="36">
        <v>2.52</v>
      </c>
      <c r="T29" s="36">
        <v>4.31</v>
      </c>
      <c r="U29" s="21">
        <f t="shared" si="1"/>
        <v>4310</v>
      </c>
      <c r="V29" s="21">
        <f t="shared" si="2"/>
        <v>32400</v>
      </c>
    </row>
    <row r="30" ht="14.25" customHeight="1">
      <c r="A30" s="38">
        <v>0.28402777777777777</v>
      </c>
      <c r="B30" s="36">
        <v>122.0</v>
      </c>
      <c r="C30" s="36">
        <v>14.9</v>
      </c>
      <c r="D30" s="36">
        <v>938.0</v>
      </c>
      <c r="E30" s="36">
        <v>766.0</v>
      </c>
      <c r="F30" s="36">
        <v>0.82</v>
      </c>
      <c r="G30" s="36">
        <v>13.0</v>
      </c>
      <c r="H30" s="36">
        <v>1.43</v>
      </c>
      <c r="I30" s="36">
        <v>19.1</v>
      </c>
      <c r="J30" s="36">
        <v>87.9</v>
      </c>
      <c r="K30" s="36">
        <v>105.0</v>
      </c>
      <c r="L30" s="36">
        <v>43.3</v>
      </c>
      <c r="M30" s="36">
        <v>94.0</v>
      </c>
      <c r="N30" s="36">
        <v>46.0</v>
      </c>
      <c r="O30" s="36">
        <v>13.0</v>
      </c>
      <c r="P30" s="36">
        <v>39.0</v>
      </c>
      <c r="Q30" s="36">
        <v>0.43</v>
      </c>
      <c r="R30" s="36">
        <v>1.93</v>
      </c>
      <c r="S30" s="36">
        <v>2.56</v>
      </c>
      <c r="T30" s="36">
        <v>4.49</v>
      </c>
      <c r="U30" s="21">
        <f t="shared" si="1"/>
        <v>4490</v>
      </c>
      <c r="V30" s="21">
        <f t="shared" si="2"/>
        <v>400</v>
      </c>
    </row>
    <row r="31" ht="14.25" customHeight="1">
      <c r="A31" s="38">
        <v>0.2875</v>
      </c>
      <c r="B31" s="36">
        <v>124.0</v>
      </c>
      <c r="C31" s="36">
        <v>14.8</v>
      </c>
      <c r="D31" s="36">
        <v>934.0</v>
      </c>
      <c r="E31" s="36">
        <v>774.0</v>
      </c>
      <c r="F31" s="36">
        <v>0.83</v>
      </c>
      <c r="G31" s="36">
        <v>13.0</v>
      </c>
      <c r="H31" s="36">
        <v>1.43</v>
      </c>
      <c r="I31" s="36">
        <v>19.2</v>
      </c>
      <c r="J31" s="36">
        <v>87.8</v>
      </c>
      <c r="K31" s="36">
        <v>106.0</v>
      </c>
      <c r="L31" s="36">
        <v>43.0</v>
      </c>
      <c r="M31" s="36">
        <v>94.0</v>
      </c>
      <c r="N31" s="36">
        <v>46.0</v>
      </c>
      <c r="O31" s="36">
        <v>13.0</v>
      </c>
      <c r="P31" s="36">
        <v>39.0</v>
      </c>
      <c r="Q31" s="36">
        <v>0.44</v>
      </c>
      <c r="R31" s="36">
        <v>1.95</v>
      </c>
      <c r="S31" s="36">
        <v>2.52</v>
      </c>
      <c r="T31" s="36">
        <v>4.47</v>
      </c>
      <c r="U31" s="21">
        <f t="shared" si="1"/>
        <v>4470</v>
      </c>
      <c r="V31" s="21">
        <f t="shared" si="2"/>
        <v>4900</v>
      </c>
    </row>
    <row r="32" ht="14.25" customHeight="1">
      <c r="A32" s="38">
        <v>0.2902777777777778</v>
      </c>
      <c r="B32" s="36">
        <v>127.0</v>
      </c>
      <c r="C32" s="36">
        <v>15.2</v>
      </c>
      <c r="D32" s="36">
        <v>955.0</v>
      </c>
      <c r="E32" s="36">
        <v>791.0</v>
      </c>
      <c r="F32" s="36">
        <v>0.83</v>
      </c>
      <c r="G32" s="36">
        <v>14.0</v>
      </c>
      <c r="H32" s="36">
        <v>1.43</v>
      </c>
      <c r="I32" s="36">
        <v>19.5</v>
      </c>
      <c r="J32" s="36">
        <v>87.6</v>
      </c>
      <c r="K32" s="36">
        <v>106.0</v>
      </c>
      <c r="L32" s="36">
        <v>42.9</v>
      </c>
      <c r="M32" s="36">
        <v>93.0</v>
      </c>
      <c r="N32" s="36">
        <v>47.0</v>
      </c>
      <c r="O32" s="36">
        <v>14.0</v>
      </c>
      <c r="P32" s="36">
        <v>40.0</v>
      </c>
      <c r="Q32" s="36">
        <v>0.42</v>
      </c>
      <c r="R32" s="36">
        <v>1.85</v>
      </c>
      <c r="S32" s="36">
        <v>2.55</v>
      </c>
      <c r="T32" s="36">
        <v>4.4</v>
      </c>
      <c r="U32" s="21">
        <f t="shared" si="1"/>
        <v>4400</v>
      </c>
      <c r="V32" s="21">
        <f t="shared" si="2"/>
        <v>2500</v>
      </c>
    </row>
    <row r="33" ht="14.25" customHeight="1">
      <c r="A33" s="38">
        <v>0.29375</v>
      </c>
      <c r="B33" s="36">
        <v>130.0</v>
      </c>
      <c r="C33" s="36">
        <v>15.3</v>
      </c>
      <c r="D33" s="36">
        <v>965.0</v>
      </c>
      <c r="E33" s="36">
        <v>809.0</v>
      </c>
      <c r="F33" s="36">
        <v>0.84</v>
      </c>
      <c r="G33" s="36">
        <v>14.0</v>
      </c>
      <c r="H33" s="36">
        <v>1.43</v>
      </c>
      <c r="I33" s="36">
        <v>19.7</v>
      </c>
      <c r="J33" s="36">
        <v>87.5</v>
      </c>
      <c r="K33" s="36">
        <v>107.0</v>
      </c>
      <c r="L33" s="36">
        <v>42.7</v>
      </c>
      <c r="M33" s="36">
        <v>93.0</v>
      </c>
      <c r="N33" s="36">
        <v>47.0</v>
      </c>
      <c r="O33" s="36">
        <v>14.0</v>
      </c>
      <c r="P33" s="36">
        <v>40.0</v>
      </c>
      <c r="Q33" s="36">
        <v>0.42</v>
      </c>
      <c r="R33" s="36">
        <v>1.82</v>
      </c>
      <c r="S33" s="36">
        <v>2.54</v>
      </c>
      <c r="T33" s="36">
        <v>4.35</v>
      </c>
      <c r="U33" s="21">
        <f t="shared" si="1"/>
        <v>4350</v>
      </c>
      <c r="V33" s="21">
        <f t="shared" si="2"/>
        <v>6400</v>
      </c>
    </row>
    <row r="34" ht="14.25" customHeight="1">
      <c r="A34" s="38">
        <v>0.2972222222222222</v>
      </c>
      <c r="B34" s="36">
        <v>132.0</v>
      </c>
      <c r="C34" s="36">
        <v>16.0</v>
      </c>
      <c r="D34" s="36">
        <v>1008.0</v>
      </c>
      <c r="E34" s="36">
        <v>846.0</v>
      </c>
      <c r="F34" s="36">
        <v>0.84</v>
      </c>
      <c r="G34" s="36">
        <v>14.0</v>
      </c>
      <c r="H34" s="36">
        <v>1.48</v>
      </c>
      <c r="I34" s="36">
        <v>20.1</v>
      </c>
      <c r="J34" s="36">
        <v>87.2</v>
      </c>
      <c r="K34" s="36">
        <v>108.0</v>
      </c>
      <c r="L34" s="36">
        <v>42.2</v>
      </c>
      <c r="M34" s="36">
        <v>93.0</v>
      </c>
      <c r="N34" s="36">
        <v>48.0</v>
      </c>
      <c r="O34" s="36">
        <v>14.0</v>
      </c>
      <c r="P34" s="36">
        <v>42.0</v>
      </c>
      <c r="Q34" s="36">
        <v>0.41</v>
      </c>
      <c r="R34" s="36">
        <v>1.81</v>
      </c>
      <c r="S34" s="36">
        <v>2.62</v>
      </c>
      <c r="T34" s="36">
        <v>4.43</v>
      </c>
      <c r="U34" s="21">
        <f t="shared" si="1"/>
        <v>4430</v>
      </c>
      <c r="V34" s="21">
        <f t="shared" si="2"/>
        <v>176400</v>
      </c>
    </row>
    <row r="35" ht="14.25" customHeight="1">
      <c r="A35" s="38">
        <v>0.3013888888888889</v>
      </c>
      <c r="B35" s="36">
        <v>135.0</v>
      </c>
      <c r="C35" s="36">
        <v>16.4</v>
      </c>
      <c r="D35" s="36">
        <v>1030.0</v>
      </c>
      <c r="E35" s="36">
        <v>865.0</v>
      </c>
      <c r="F35" s="36">
        <v>0.84</v>
      </c>
      <c r="G35" s="36">
        <v>12.0</v>
      </c>
      <c r="H35" s="36">
        <v>1.62</v>
      </c>
      <c r="I35" s="36">
        <v>20.0</v>
      </c>
      <c r="J35" s="36">
        <v>87.3</v>
      </c>
      <c r="K35" s="36">
        <v>108.0</v>
      </c>
      <c r="L35" s="36">
        <v>41.8</v>
      </c>
      <c r="M35" s="36">
        <v>91.0</v>
      </c>
      <c r="N35" s="36">
        <v>49.0</v>
      </c>
      <c r="O35" s="36">
        <v>12.0</v>
      </c>
      <c r="P35" s="36">
        <v>43.0</v>
      </c>
      <c r="Q35" s="36">
        <v>0.42</v>
      </c>
      <c r="R35" s="36">
        <v>2.04</v>
      </c>
      <c r="S35" s="36">
        <v>2.81</v>
      </c>
      <c r="T35" s="36">
        <v>4.85</v>
      </c>
      <c r="U35" s="21">
        <f t="shared" si="1"/>
        <v>4850</v>
      </c>
      <c r="V35" s="21">
        <f t="shared" si="2"/>
        <v>0</v>
      </c>
    </row>
    <row r="36" ht="14.25" customHeight="1">
      <c r="A36" s="38">
        <v>0.30486111111111114</v>
      </c>
      <c r="B36" s="36">
        <v>137.0</v>
      </c>
      <c r="C36" s="36">
        <v>16.3</v>
      </c>
      <c r="D36" s="36">
        <v>1030.0</v>
      </c>
      <c r="E36" s="36">
        <v>864.0</v>
      </c>
      <c r="F36" s="36">
        <v>0.84</v>
      </c>
      <c r="G36" s="36">
        <v>12.0</v>
      </c>
      <c r="H36" s="36">
        <v>1.62</v>
      </c>
      <c r="I36" s="36">
        <v>20.0</v>
      </c>
      <c r="J36" s="36">
        <v>87.3</v>
      </c>
      <c r="K36" s="36">
        <v>108.0</v>
      </c>
      <c r="L36" s="36">
        <v>41.8</v>
      </c>
      <c r="M36" s="36">
        <v>91.0</v>
      </c>
      <c r="N36" s="36">
        <v>49.0</v>
      </c>
      <c r="O36" s="36">
        <v>12.0</v>
      </c>
      <c r="P36" s="36">
        <v>43.0</v>
      </c>
      <c r="Q36" s="36">
        <v>0.42</v>
      </c>
      <c r="R36" s="36">
        <v>2.04</v>
      </c>
      <c r="S36" s="36">
        <v>2.81</v>
      </c>
      <c r="T36" s="36">
        <v>4.85</v>
      </c>
      <c r="U36" s="21">
        <f t="shared" si="1"/>
        <v>4850</v>
      </c>
      <c r="V36" s="21">
        <f t="shared" si="2"/>
        <v>72900</v>
      </c>
    </row>
    <row r="37" ht="14.25" customHeight="1">
      <c r="A37" s="38">
        <v>0.3090277777777778</v>
      </c>
      <c r="B37" s="36">
        <v>140.0</v>
      </c>
      <c r="C37" s="36">
        <v>17.1</v>
      </c>
      <c r="D37" s="36">
        <v>1078.0</v>
      </c>
      <c r="E37" s="36">
        <v>901.0</v>
      </c>
      <c r="F37" s="36">
        <v>0.84</v>
      </c>
      <c r="G37" s="36">
        <v>12.0</v>
      </c>
      <c r="H37" s="36">
        <v>1.73</v>
      </c>
      <c r="I37" s="36">
        <v>20.3</v>
      </c>
      <c r="J37" s="36">
        <v>87.1</v>
      </c>
      <c r="K37" s="36">
        <v>110.0</v>
      </c>
      <c r="L37" s="36">
        <v>41.1</v>
      </c>
      <c r="M37" s="36">
        <v>90.0</v>
      </c>
      <c r="N37" s="36">
        <v>50.0</v>
      </c>
      <c r="O37" s="36">
        <v>12.0</v>
      </c>
      <c r="P37" s="36">
        <v>45.0</v>
      </c>
      <c r="Q37" s="36">
        <v>0.42</v>
      </c>
      <c r="R37" s="36">
        <v>2.16</v>
      </c>
      <c r="S37" s="36">
        <v>2.95</v>
      </c>
      <c r="T37" s="36">
        <v>5.12</v>
      </c>
      <c r="U37" s="21">
        <f t="shared" si="1"/>
        <v>5120</v>
      </c>
      <c r="V37" s="21">
        <f t="shared" si="2"/>
        <v>14400</v>
      </c>
    </row>
    <row r="38" ht="14.25" customHeight="1">
      <c r="A38" s="38">
        <v>0.3125</v>
      </c>
      <c r="B38" s="36">
        <v>143.0</v>
      </c>
      <c r="C38" s="36">
        <v>17.7</v>
      </c>
      <c r="D38" s="36">
        <v>1117.0</v>
      </c>
      <c r="E38" s="36">
        <v>938.0</v>
      </c>
      <c r="F38" s="36">
        <v>0.84</v>
      </c>
      <c r="G38" s="36">
        <v>11.0</v>
      </c>
      <c r="H38" s="36">
        <v>1.82</v>
      </c>
      <c r="I38" s="36">
        <v>20.8</v>
      </c>
      <c r="J38" s="36">
        <v>86.7</v>
      </c>
      <c r="K38" s="36">
        <v>111.0</v>
      </c>
      <c r="L38" s="36">
        <v>40.2</v>
      </c>
      <c r="M38" s="36">
        <v>89.0</v>
      </c>
      <c r="N38" s="36">
        <v>50.0</v>
      </c>
      <c r="O38" s="36">
        <v>11.0</v>
      </c>
      <c r="P38" s="36">
        <v>47.0</v>
      </c>
      <c r="Q38" s="36">
        <v>0.43</v>
      </c>
      <c r="R38" s="36">
        <v>2.27</v>
      </c>
      <c r="S38" s="36">
        <v>2.97</v>
      </c>
      <c r="T38" s="36">
        <v>5.24</v>
      </c>
      <c r="U38" s="21">
        <f t="shared" si="1"/>
        <v>5240</v>
      </c>
      <c r="V38" s="21">
        <f t="shared" si="2"/>
        <v>25600</v>
      </c>
    </row>
    <row r="39" ht="14.25" customHeight="1">
      <c r="A39" s="38">
        <v>0.31527777777777777</v>
      </c>
      <c r="B39" s="36">
        <v>145.0</v>
      </c>
      <c r="C39" s="36">
        <v>18.3</v>
      </c>
      <c r="D39" s="36">
        <v>1153.0</v>
      </c>
      <c r="E39" s="36">
        <v>968.0</v>
      </c>
      <c r="F39" s="36">
        <v>0.84</v>
      </c>
      <c r="G39" s="36">
        <v>11.0</v>
      </c>
      <c r="H39" s="36">
        <v>1.91</v>
      </c>
      <c r="I39" s="36">
        <v>21.2</v>
      </c>
      <c r="J39" s="36">
        <v>86.5</v>
      </c>
      <c r="K39" s="36">
        <v>113.0</v>
      </c>
      <c r="L39" s="36">
        <v>39.5</v>
      </c>
      <c r="M39" s="36">
        <v>89.0</v>
      </c>
      <c r="N39" s="36">
        <v>51.0</v>
      </c>
      <c r="O39" s="36">
        <v>11.0</v>
      </c>
      <c r="P39" s="36">
        <v>48.0</v>
      </c>
      <c r="Q39" s="36">
        <v>0.43</v>
      </c>
      <c r="R39" s="36">
        <v>2.32</v>
      </c>
      <c r="S39" s="36">
        <v>3.08</v>
      </c>
      <c r="T39" s="36">
        <v>5.4</v>
      </c>
      <c r="U39" s="21">
        <f t="shared" si="1"/>
        <v>5400</v>
      </c>
      <c r="V39" s="21">
        <f t="shared" si="2"/>
        <v>67600</v>
      </c>
    </row>
    <row r="40" ht="14.25" customHeight="1">
      <c r="A40" s="38">
        <v>0.3194444444444444</v>
      </c>
      <c r="B40" s="36">
        <v>148.0</v>
      </c>
      <c r="C40" s="36">
        <v>18.9</v>
      </c>
      <c r="D40" s="36">
        <v>1193.0</v>
      </c>
      <c r="E40" s="36">
        <v>1010.0</v>
      </c>
      <c r="F40" s="36">
        <v>0.85</v>
      </c>
      <c r="G40" s="36">
        <v>12.0</v>
      </c>
      <c r="H40" s="36">
        <v>1.88</v>
      </c>
      <c r="I40" s="36">
        <v>22.0</v>
      </c>
      <c r="J40" s="36">
        <v>86.0</v>
      </c>
      <c r="K40" s="36">
        <v>114.0</v>
      </c>
      <c r="L40" s="36">
        <v>38.8</v>
      </c>
      <c r="M40" s="36">
        <v>89.0</v>
      </c>
      <c r="N40" s="36">
        <v>51.0</v>
      </c>
      <c r="O40" s="36">
        <v>12.0</v>
      </c>
      <c r="P40" s="36">
        <v>50.0</v>
      </c>
      <c r="Q40" s="36">
        <v>0.42</v>
      </c>
      <c r="R40" s="36">
        <v>2.15</v>
      </c>
      <c r="S40" s="36">
        <v>2.98</v>
      </c>
      <c r="T40" s="36">
        <v>5.14</v>
      </c>
      <c r="U40" s="21">
        <f t="shared" si="1"/>
        <v>5140</v>
      </c>
      <c r="V40" s="21">
        <f t="shared" si="2"/>
        <v>1600</v>
      </c>
    </row>
    <row r="41" ht="14.25" customHeight="1">
      <c r="A41" s="38">
        <v>0.3229166666666667</v>
      </c>
      <c r="B41" s="36">
        <v>150.0</v>
      </c>
      <c r="C41" s="36">
        <v>19.5</v>
      </c>
      <c r="D41" s="36">
        <v>1226.0</v>
      </c>
      <c r="E41" s="36">
        <v>1053.0</v>
      </c>
      <c r="F41" s="36">
        <v>0.86</v>
      </c>
      <c r="G41" s="36">
        <v>12.0</v>
      </c>
      <c r="H41" s="36">
        <v>1.96</v>
      </c>
      <c r="I41" s="36">
        <v>22.7</v>
      </c>
      <c r="J41" s="36">
        <v>85.5</v>
      </c>
      <c r="K41" s="36">
        <v>116.0</v>
      </c>
      <c r="L41" s="36">
        <v>37.8</v>
      </c>
      <c r="M41" s="36">
        <v>89.0</v>
      </c>
      <c r="N41" s="36">
        <v>52.0</v>
      </c>
      <c r="O41" s="36">
        <v>12.0</v>
      </c>
      <c r="P41" s="36">
        <v>51.0</v>
      </c>
      <c r="Q41" s="36">
        <v>0.43</v>
      </c>
      <c r="R41" s="36">
        <v>2.2</v>
      </c>
      <c r="S41" s="36">
        <v>2.98</v>
      </c>
      <c r="T41" s="36">
        <v>5.18</v>
      </c>
      <c r="U41" s="21">
        <f t="shared" si="1"/>
        <v>5180</v>
      </c>
      <c r="V41" s="21">
        <f t="shared" si="2"/>
        <v>12100</v>
      </c>
    </row>
    <row r="42" ht="14.25" customHeight="1">
      <c r="A42" s="38">
        <v>0.3263888888888889</v>
      </c>
      <c r="B42" s="36">
        <v>153.0</v>
      </c>
      <c r="C42" s="36">
        <v>20.0</v>
      </c>
      <c r="D42" s="36">
        <v>1259.0</v>
      </c>
      <c r="E42" s="36">
        <v>1094.0</v>
      </c>
      <c r="F42" s="36">
        <v>0.87</v>
      </c>
      <c r="G42" s="36">
        <v>12.0</v>
      </c>
      <c r="H42" s="36">
        <v>2.0</v>
      </c>
      <c r="I42" s="36">
        <v>23.7</v>
      </c>
      <c r="J42" s="36">
        <v>84.9</v>
      </c>
      <c r="K42" s="36">
        <v>117.0</v>
      </c>
      <c r="L42" s="36">
        <v>37.1</v>
      </c>
      <c r="M42" s="36">
        <v>90.0</v>
      </c>
      <c r="N42" s="36">
        <v>52.0</v>
      </c>
      <c r="O42" s="36">
        <v>12.0</v>
      </c>
      <c r="P42" s="36">
        <v>52.0</v>
      </c>
      <c r="Q42" s="36">
        <v>0.43</v>
      </c>
      <c r="R42" s="36">
        <v>2.17</v>
      </c>
      <c r="S42" s="36">
        <v>2.9</v>
      </c>
      <c r="T42" s="36">
        <v>5.07</v>
      </c>
      <c r="U42" s="21">
        <f t="shared" si="1"/>
        <v>5070</v>
      </c>
      <c r="V42" s="21">
        <f t="shared" si="2"/>
        <v>3600</v>
      </c>
    </row>
    <row r="43" ht="14.25" customHeight="1">
      <c r="A43" s="38">
        <v>0.3284722222222222</v>
      </c>
      <c r="B43" s="36">
        <v>154.0</v>
      </c>
      <c r="C43" s="36">
        <v>20.5</v>
      </c>
      <c r="D43" s="36">
        <v>1290.0</v>
      </c>
      <c r="E43" s="36">
        <v>1132.0</v>
      </c>
      <c r="F43" s="36">
        <v>0.88</v>
      </c>
      <c r="G43" s="36">
        <v>12.0</v>
      </c>
      <c r="H43" s="36">
        <v>2.04</v>
      </c>
      <c r="I43" s="36">
        <v>24.4</v>
      </c>
      <c r="J43" s="36">
        <v>84.5</v>
      </c>
      <c r="K43" s="36">
        <v>118.0</v>
      </c>
      <c r="L43" s="36">
        <v>36.5</v>
      </c>
      <c r="M43" s="36">
        <v>90.0</v>
      </c>
      <c r="N43" s="36">
        <v>52.0</v>
      </c>
      <c r="O43" s="36">
        <v>12.0</v>
      </c>
      <c r="P43" s="36">
        <v>54.0</v>
      </c>
      <c r="Q43" s="36">
        <v>0.42</v>
      </c>
      <c r="R43" s="36">
        <v>2.13</v>
      </c>
      <c r="S43" s="36">
        <v>2.89</v>
      </c>
      <c r="T43" s="36">
        <v>5.01</v>
      </c>
      <c r="U43" s="21">
        <f t="shared" si="1"/>
        <v>5010</v>
      </c>
      <c r="V43" s="21">
        <f t="shared" si="2"/>
        <v>122500</v>
      </c>
    </row>
    <row r="44" ht="14.25" customHeight="1">
      <c r="A44" s="38">
        <v>0.33194444444444443</v>
      </c>
      <c r="B44" s="36">
        <v>157.0</v>
      </c>
      <c r="C44" s="36">
        <v>20.9</v>
      </c>
      <c r="D44" s="36">
        <v>1318.0</v>
      </c>
      <c r="E44" s="36">
        <v>1174.0</v>
      </c>
      <c r="F44" s="36">
        <v>0.89</v>
      </c>
      <c r="G44" s="36">
        <v>13.0</v>
      </c>
      <c r="H44" s="36">
        <v>1.97</v>
      </c>
      <c r="I44" s="36">
        <v>25.4</v>
      </c>
      <c r="J44" s="36">
        <v>83.9</v>
      </c>
      <c r="K44" s="36">
        <v>119.0</v>
      </c>
      <c r="L44" s="36">
        <v>36.0</v>
      </c>
      <c r="M44" s="36">
        <v>90.0</v>
      </c>
      <c r="N44" s="36">
        <v>52.0</v>
      </c>
      <c r="O44" s="36">
        <v>13.0</v>
      </c>
      <c r="P44" s="36">
        <v>55.0</v>
      </c>
      <c r="Q44" s="36">
        <v>0.41</v>
      </c>
      <c r="R44" s="36">
        <v>1.92</v>
      </c>
      <c r="S44" s="36">
        <v>2.74</v>
      </c>
      <c r="T44" s="36">
        <v>4.66</v>
      </c>
      <c r="U44" s="21">
        <f t="shared" si="1"/>
        <v>4660</v>
      </c>
      <c r="V44" s="21">
        <f t="shared" si="2"/>
        <v>96100</v>
      </c>
    </row>
    <row r="45" ht="14.25" customHeight="1">
      <c r="A45" s="38">
        <v>0.3347222222222222</v>
      </c>
      <c r="B45" s="36">
        <v>159.0</v>
      </c>
      <c r="C45" s="36">
        <v>21.0</v>
      </c>
      <c r="D45" s="36">
        <v>1321.0</v>
      </c>
      <c r="E45" s="36">
        <v>1184.0</v>
      </c>
      <c r="F45" s="36">
        <v>0.9</v>
      </c>
      <c r="G45" s="36">
        <v>14.0</v>
      </c>
      <c r="H45" s="36">
        <v>1.87</v>
      </c>
      <c r="I45" s="36">
        <v>25.8</v>
      </c>
      <c r="J45" s="36">
        <v>83.6</v>
      </c>
      <c r="K45" s="36">
        <v>120.0</v>
      </c>
      <c r="L45" s="36">
        <v>35.5</v>
      </c>
      <c r="M45" s="36">
        <v>91.0</v>
      </c>
      <c r="N45" s="36">
        <v>52.0</v>
      </c>
      <c r="O45" s="36">
        <v>14.0</v>
      </c>
      <c r="P45" s="36">
        <v>55.0</v>
      </c>
      <c r="Q45" s="36">
        <v>0.41</v>
      </c>
      <c r="R45" s="36">
        <v>1.79</v>
      </c>
      <c r="S45" s="36">
        <v>2.56</v>
      </c>
      <c r="T45" s="36">
        <v>4.35</v>
      </c>
      <c r="U45" s="21">
        <f t="shared" si="1"/>
        <v>4350</v>
      </c>
      <c r="V45" s="21">
        <f t="shared" si="2"/>
        <v>4900</v>
      </c>
    </row>
    <row r="46" ht="14.25" customHeight="1">
      <c r="A46" s="38">
        <v>0.3375</v>
      </c>
      <c r="B46" s="36">
        <v>161.0</v>
      </c>
      <c r="C46" s="36">
        <v>21.6</v>
      </c>
      <c r="D46" s="36">
        <v>1361.0</v>
      </c>
      <c r="E46" s="36">
        <v>1232.0</v>
      </c>
      <c r="F46" s="36">
        <v>0.91</v>
      </c>
      <c r="G46" s="36">
        <v>14.0</v>
      </c>
      <c r="H46" s="36">
        <v>1.96</v>
      </c>
      <c r="I46" s="36">
        <v>26.7</v>
      </c>
      <c r="J46" s="36">
        <v>83.0</v>
      </c>
      <c r="K46" s="36">
        <v>121.0</v>
      </c>
      <c r="L46" s="36">
        <v>35.0</v>
      </c>
      <c r="M46" s="36">
        <v>91.0</v>
      </c>
      <c r="N46" s="36">
        <v>52.0</v>
      </c>
      <c r="O46" s="36">
        <v>14.0</v>
      </c>
      <c r="P46" s="36">
        <v>57.0</v>
      </c>
      <c r="Q46" s="36">
        <v>0.42</v>
      </c>
      <c r="R46" s="36">
        <v>1.84</v>
      </c>
      <c r="S46" s="36">
        <v>2.57</v>
      </c>
      <c r="T46" s="36">
        <v>4.42</v>
      </c>
      <c r="U46" s="21">
        <f t="shared" si="1"/>
        <v>4420</v>
      </c>
      <c r="V46" s="21">
        <f t="shared" si="2"/>
        <v>78400</v>
      </c>
    </row>
    <row r="47" ht="14.25" customHeight="1">
      <c r="A47" s="38">
        <v>0.3402777777777778</v>
      </c>
      <c r="B47" s="36">
        <v>163.0</v>
      </c>
      <c r="C47" s="36">
        <v>21.9</v>
      </c>
      <c r="D47" s="36">
        <v>1380.0</v>
      </c>
      <c r="E47" s="36">
        <v>1269.0</v>
      </c>
      <c r="F47" s="36">
        <v>0.92</v>
      </c>
      <c r="G47" s="36">
        <v>14.0</v>
      </c>
      <c r="H47" s="36">
        <v>1.9</v>
      </c>
      <c r="I47" s="36">
        <v>27.4</v>
      </c>
      <c r="J47" s="36">
        <v>82.5</v>
      </c>
      <c r="K47" s="36">
        <v>121.0</v>
      </c>
      <c r="L47" s="36">
        <v>35.0</v>
      </c>
      <c r="M47" s="36">
        <v>92.0</v>
      </c>
      <c r="N47" s="36">
        <v>52.0</v>
      </c>
      <c r="O47" s="36">
        <v>14.0</v>
      </c>
      <c r="P47" s="36">
        <v>58.0</v>
      </c>
      <c r="Q47" s="36">
        <v>0.41</v>
      </c>
      <c r="R47" s="36">
        <v>1.69</v>
      </c>
      <c r="S47" s="36">
        <v>2.45</v>
      </c>
      <c r="T47" s="36">
        <v>4.14</v>
      </c>
      <c r="U47" s="21">
        <f t="shared" si="1"/>
        <v>4140</v>
      </c>
      <c r="V47" s="21">
        <f t="shared" si="2"/>
        <v>1600</v>
      </c>
    </row>
    <row r="48" ht="14.25" customHeight="1">
      <c r="A48" s="38">
        <v>0.3423611111111111</v>
      </c>
      <c r="B48" s="36">
        <v>164.0</v>
      </c>
      <c r="C48" s="36">
        <v>22.4</v>
      </c>
      <c r="D48" s="36">
        <v>1413.0</v>
      </c>
      <c r="E48" s="36">
        <v>1317.0</v>
      </c>
      <c r="F48" s="36">
        <v>0.93</v>
      </c>
      <c r="G48" s="36">
        <v>15.0</v>
      </c>
      <c r="H48" s="36">
        <v>1.94</v>
      </c>
      <c r="I48" s="36">
        <v>28.3</v>
      </c>
      <c r="J48" s="36">
        <v>82.0</v>
      </c>
      <c r="K48" s="36">
        <v>123.0</v>
      </c>
      <c r="L48" s="36">
        <v>33.9</v>
      </c>
      <c r="M48" s="36">
        <v>92.0</v>
      </c>
      <c r="N48" s="36">
        <v>52.0</v>
      </c>
      <c r="O48" s="36">
        <v>15.0</v>
      </c>
      <c r="P48" s="36">
        <v>59.0</v>
      </c>
      <c r="Q48" s="36">
        <v>0.4</v>
      </c>
      <c r="R48" s="36">
        <v>1.62</v>
      </c>
      <c r="S48" s="36">
        <v>2.48</v>
      </c>
      <c r="T48" s="36">
        <v>4.1</v>
      </c>
      <c r="U48" s="21">
        <f t="shared" si="1"/>
        <v>4100</v>
      </c>
      <c r="V48" s="21">
        <f t="shared" si="2"/>
        <v>72900</v>
      </c>
    </row>
    <row r="49" ht="14.25" customHeight="1">
      <c r="A49" s="38">
        <v>0.3458333333333333</v>
      </c>
      <c r="B49" s="36">
        <v>166.0</v>
      </c>
      <c r="C49" s="36">
        <v>22.9</v>
      </c>
      <c r="D49" s="36">
        <v>1443.0</v>
      </c>
      <c r="E49" s="36">
        <v>1359.0</v>
      </c>
      <c r="F49" s="36">
        <v>0.94</v>
      </c>
      <c r="G49" s="36">
        <v>14.0</v>
      </c>
      <c r="H49" s="36">
        <v>2.11</v>
      </c>
      <c r="I49" s="36">
        <v>28.9</v>
      </c>
      <c r="J49" s="36">
        <v>81.6</v>
      </c>
      <c r="K49" s="36">
        <v>124.0</v>
      </c>
      <c r="L49" s="36">
        <v>33.5</v>
      </c>
      <c r="M49" s="36">
        <v>92.0</v>
      </c>
      <c r="N49" s="36">
        <v>53.0</v>
      </c>
      <c r="O49" s="36">
        <v>14.0</v>
      </c>
      <c r="P49" s="36">
        <v>60.0</v>
      </c>
      <c r="Q49" s="36">
        <v>0.4</v>
      </c>
      <c r="R49" s="36">
        <v>1.76</v>
      </c>
      <c r="S49" s="36">
        <v>2.61</v>
      </c>
      <c r="T49" s="36">
        <v>4.37</v>
      </c>
      <c r="U49" s="21">
        <f t="shared" si="1"/>
        <v>4370</v>
      </c>
      <c r="V49" s="21">
        <f t="shared" si="2"/>
        <v>4900</v>
      </c>
    </row>
    <row r="50" ht="14.25" customHeight="1">
      <c r="A50" s="38">
        <v>0.3486111111111111</v>
      </c>
      <c r="B50" s="36">
        <v>169.0</v>
      </c>
      <c r="C50" s="36">
        <v>22.8</v>
      </c>
      <c r="D50" s="36">
        <v>1436.0</v>
      </c>
      <c r="E50" s="36">
        <v>1357.0</v>
      </c>
      <c r="F50" s="36">
        <v>0.94</v>
      </c>
      <c r="G50" s="36">
        <v>14.0</v>
      </c>
      <c r="H50" s="36">
        <v>2.08</v>
      </c>
      <c r="I50" s="36">
        <v>29.0</v>
      </c>
      <c r="J50" s="36">
        <v>81.6</v>
      </c>
      <c r="K50" s="36">
        <v>125.0</v>
      </c>
      <c r="L50" s="36">
        <v>32.8</v>
      </c>
      <c r="M50" s="36">
        <v>93.0</v>
      </c>
      <c r="N50" s="36">
        <v>52.0</v>
      </c>
      <c r="O50" s="36">
        <v>14.0</v>
      </c>
      <c r="P50" s="36">
        <v>60.0</v>
      </c>
      <c r="Q50" s="36">
        <v>0.41</v>
      </c>
      <c r="R50" s="36">
        <v>1.78</v>
      </c>
      <c r="S50" s="36">
        <v>2.52</v>
      </c>
      <c r="T50" s="36">
        <v>4.3</v>
      </c>
      <c r="U50" s="21">
        <f t="shared" si="1"/>
        <v>4300</v>
      </c>
      <c r="V50" s="21">
        <f t="shared" si="2"/>
        <v>115600</v>
      </c>
    </row>
    <row r="51" ht="14.25" customHeight="1">
      <c r="A51" s="38">
        <v>0.35138888888888886</v>
      </c>
      <c r="B51" s="36">
        <v>171.0</v>
      </c>
      <c r="C51" s="36">
        <v>23.2</v>
      </c>
      <c r="D51" s="36">
        <v>1463.0</v>
      </c>
      <c r="E51" s="36">
        <v>1388.0</v>
      </c>
      <c r="F51" s="36">
        <v>0.95</v>
      </c>
      <c r="G51" s="36">
        <v>15.0</v>
      </c>
      <c r="H51" s="36">
        <v>1.95</v>
      </c>
      <c r="I51" s="36">
        <v>29.6</v>
      </c>
      <c r="J51" s="36">
        <v>81.2</v>
      </c>
      <c r="K51" s="36">
        <v>125.0</v>
      </c>
      <c r="L51" s="36">
        <v>32.9</v>
      </c>
      <c r="M51" s="36">
        <v>93.0</v>
      </c>
      <c r="N51" s="36">
        <v>53.0</v>
      </c>
      <c r="O51" s="36">
        <v>15.0</v>
      </c>
      <c r="P51" s="36">
        <v>61.0</v>
      </c>
      <c r="Q51" s="36">
        <v>0.39</v>
      </c>
      <c r="R51" s="36">
        <v>1.54</v>
      </c>
      <c r="S51" s="36">
        <v>2.43</v>
      </c>
      <c r="T51" s="36">
        <v>3.96</v>
      </c>
      <c r="U51" s="21">
        <f t="shared" si="1"/>
        <v>3960</v>
      </c>
      <c r="V51" s="21">
        <f t="shared" si="2"/>
        <v>10000</v>
      </c>
    </row>
    <row r="52" ht="14.25" customHeight="1">
      <c r="A52" s="38">
        <v>0.3541666666666667</v>
      </c>
      <c r="B52" s="36">
        <v>173.0</v>
      </c>
      <c r="C52" s="36">
        <v>23.6</v>
      </c>
      <c r="D52" s="36">
        <v>1485.0</v>
      </c>
      <c r="E52" s="36">
        <v>1426.0</v>
      </c>
      <c r="F52" s="36">
        <v>0.96</v>
      </c>
      <c r="G52" s="36">
        <v>15.0</v>
      </c>
      <c r="H52" s="36">
        <v>2.04</v>
      </c>
      <c r="I52" s="36">
        <v>30.2</v>
      </c>
      <c r="J52" s="36">
        <v>80.8</v>
      </c>
      <c r="K52" s="36">
        <v>126.0</v>
      </c>
      <c r="L52" s="36">
        <v>32.2</v>
      </c>
      <c r="M52" s="36">
        <v>93.0</v>
      </c>
      <c r="N52" s="36">
        <v>53.0</v>
      </c>
      <c r="O52" s="36">
        <v>15.0</v>
      </c>
      <c r="P52" s="36">
        <v>62.0</v>
      </c>
      <c r="Q52" s="36">
        <v>0.4</v>
      </c>
      <c r="R52" s="36">
        <v>1.63</v>
      </c>
      <c r="S52" s="36">
        <v>2.43</v>
      </c>
      <c r="T52" s="36">
        <v>4.06</v>
      </c>
      <c r="U52" s="21">
        <f t="shared" si="1"/>
        <v>4060</v>
      </c>
      <c r="V52" s="21">
        <f t="shared" si="2"/>
        <v>32400</v>
      </c>
    </row>
    <row r="53" ht="14.25" customHeight="1">
      <c r="A53" s="38">
        <v>0.35625</v>
      </c>
      <c r="B53" s="36">
        <v>174.0</v>
      </c>
      <c r="C53" s="36">
        <v>24.7</v>
      </c>
      <c r="D53" s="36">
        <v>1554.0</v>
      </c>
      <c r="E53" s="36">
        <v>1501.0</v>
      </c>
      <c r="F53" s="36">
        <v>0.97</v>
      </c>
      <c r="G53" s="36">
        <v>15.0</v>
      </c>
      <c r="H53" s="36">
        <v>2.04</v>
      </c>
      <c r="I53" s="36">
        <v>31.6</v>
      </c>
      <c r="J53" s="36">
        <v>79.9</v>
      </c>
      <c r="K53" s="36">
        <v>127.0</v>
      </c>
      <c r="L53" s="36">
        <v>32.0</v>
      </c>
      <c r="M53" s="36">
        <v>92.0</v>
      </c>
      <c r="N53" s="36">
        <v>54.0</v>
      </c>
      <c r="O53" s="36">
        <v>15.0</v>
      </c>
      <c r="P53" s="36">
        <v>65.0</v>
      </c>
      <c r="Q53" s="36">
        <v>0.38</v>
      </c>
      <c r="R53" s="36">
        <v>1.46</v>
      </c>
      <c r="S53" s="36">
        <v>2.43</v>
      </c>
      <c r="T53" s="36">
        <v>3.88</v>
      </c>
      <c r="U53" s="21">
        <f t="shared" si="1"/>
        <v>3880</v>
      </c>
      <c r="V53" s="21">
        <f t="shared" si="2"/>
        <v>100</v>
      </c>
    </row>
    <row r="54" ht="14.25" customHeight="1">
      <c r="A54" s="38">
        <v>0.35833333333333334</v>
      </c>
      <c r="B54" s="36">
        <v>176.0</v>
      </c>
      <c r="C54" s="36">
        <v>25.0</v>
      </c>
      <c r="D54" s="36">
        <v>1574.0</v>
      </c>
      <c r="E54" s="36">
        <v>1544.0</v>
      </c>
      <c r="F54" s="36">
        <v>0.98</v>
      </c>
      <c r="G54" s="36">
        <v>15.0</v>
      </c>
      <c r="H54" s="36">
        <v>2.09</v>
      </c>
      <c r="I54" s="36">
        <v>32.4</v>
      </c>
      <c r="J54" s="36">
        <v>79.4</v>
      </c>
      <c r="K54" s="36">
        <v>127.0</v>
      </c>
      <c r="L54" s="36">
        <v>31.7</v>
      </c>
      <c r="M54" s="36">
        <v>93.0</v>
      </c>
      <c r="N54" s="36">
        <v>54.0</v>
      </c>
      <c r="O54" s="36">
        <v>15.0</v>
      </c>
      <c r="P54" s="36">
        <v>66.0</v>
      </c>
      <c r="Q54" s="36">
        <v>0.39</v>
      </c>
      <c r="R54" s="36">
        <v>1.53</v>
      </c>
      <c r="S54" s="36">
        <v>2.34</v>
      </c>
      <c r="T54" s="36">
        <v>3.87</v>
      </c>
      <c r="U54" s="21">
        <f t="shared" si="1"/>
        <v>3870</v>
      </c>
      <c r="V54" s="21">
        <f t="shared" si="2"/>
        <v>6400</v>
      </c>
    </row>
    <row r="55" ht="14.25" customHeight="1">
      <c r="A55" s="38">
        <v>0.36041666666666666</v>
      </c>
      <c r="B55" s="36">
        <v>178.0</v>
      </c>
      <c r="C55" s="36">
        <v>25.1</v>
      </c>
      <c r="D55" s="36">
        <v>1579.0</v>
      </c>
      <c r="E55" s="36">
        <v>1576.0</v>
      </c>
      <c r="F55" s="36">
        <v>1.0</v>
      </c>
      <c r="G55" s="36">
        <v>16.0</v>
      </c>
      <c r="H55" s="36">
        <v>2.1</v>
      </c>
      <c r="I55" s="36">
        <v>33.2</v>
      </c>
      <c r="J55" s="36">
        <v>78.9</v>
      </c>
      <c r="K55" s="36">
        <v>128.0</v>
      </c>
      <c r="L55" s="36">
        <v>30.9</v>
      </c>
      <c r="M55" s="36">
        <v>95.0</v>
      </c>
      <c r="N55" s="36">
        <v>53.0</v>
      </c>
      <c r="O55" s="36">
        <v>16.0</v>
      </c>
      <c r="P55" s="36">
        <v>66.0</v>
      </c>
      <c r="Q55" s="36">
        <v>0.41</v>
      </c>
      <c r="R55" s="36">
        <v>1.57</v>
      </c>
      <c r="S55" s="36">
        <v>2.22</v>
      </c>
      <c r="T55" s="36">
        <v>3.79</v>
      </c>
      <c r="U55" s="21">
        <f t="shared" si="1"/>
        <v>3790</v>
      </c>
      <c r="V55" s="21">
        <f t="shared" si="2"/>
        <v>96100</v>
      </c>
    </row>
    <row r="56" ht="14.25" customHeight="1">
      <c r="A56" s="38">
        <v>0.3625</v>
      </c>
      <c r="B56" s="36">
        <v>179.0</v>
      </c>
      <c r="C56" s="36">
        <v>26.5</v>
      </c>
      <c r="D56" s="36">
        <v>1669.0</v>
      </c>
      <c r="E56" s="36">
        <v>1694.0</v>
      </c>
      <c r="F56" s="36">
        <v>1.02</v>
      </c>
      <c r="G56" s="36">
        <v>17.0</v>
      </c>
      <c r="H56" s="36">
        <v>2.07</v>
      </c>
      <c r="I56" s="36">
        <v>35.8</v>
      </c>
      <c r="J56" s="36">
        <v>77.2</v>
      </c>
      <c r="K56" s="36">
        <v>130.0</v>
      </c>
      <c r="L56" s="36">
        <v>30.2</v>
      </c>
      <c r="M56" s="36">
        <v>95.0</v>
      </c>
      <c r="N56" s="36">
        <v>53.0</v>
      </c>
      <c r="O56" s="36">
        <v>17.0</v>
      </c>
      <c r="P56" s="36">
        <v>70.0</v>
      </c>
      <c r="Q56" s="36">
        <v>0.4</v>
      </c>
      <c r="R56" s="36">
        <v>1.39</v>
      </c>
      <c r="S56" s="36">
        <v>2.09</v>
      </c>
      <c r="T56" s="36">
        <v>3.48</v>
      </c>
      <c r="U56" s="21">
        <f t="shared" si="1"/>
        <v>3480</v>
      </c>
      <c r="V56" s="21">
        <f t="shared" si="2"/>
        <v>12110400</v>
      </c>
    </row>
    <row r="57" ht="14.25" customHeight="1">
      <c r="A57" s="36" t="s">
        <v>80</v>
      </c>
    </row>
    <row r="58" ht="14.25" customHeight="1">
      <c r="A58" s="38">
        <v>0.36527777777777776</v>
      </c>
      <c r="B58" s="36">
        <v>181.0</v>
      </c>
      <c r="C58" s="36">
        <v>27.0</v>
      </c>
      <c r="D58" s="36">
        <v>1700.0</v>
      </c>
      <c r="E58" s="36">
        <v>1755.0</v>
      </c>
      <c r="F58" s="36">
        <v>1.03</v>
      </c>
      <c r="G58" s="36">
        <v>17.0</v>
      </c>
      <c r="H58" s="36">
        <v>2.12</v>
      </c>
      <c r="I58" s="36">
        <v>37.0</v>
      </c>
      <c r="J58" s="36">
        <v>76.5</v>
      </c>
      <c r="K58" s="36">
        <v>131.0</v>
      </c>
      <c r="L58" s="36">
        <v>29.4</v>
      </c>
      <c r="M58" s="36">
        <v>96.0</v>
      </c>
      <c r="N58" s="36">
        <v>53.0</v>
      </c>
      <c r="O58" s="36">
        <v>17.0</v>
      </c>
      <c r="P58" s="36">
        <v>71.0</v>
      </c>
      <c r="Q58" s="36">
        <v>0.39</v>
      </c>
      <c r="R58" s="36">
        <v>1.35</v>
      </c>
      <c r="S58" s="36">
        <v>2.09</v>
      </c>
      <c r="T58" s="36">
        <v>3.44</v>
      </c>
      <c r="U58" s="21">
        <f t="shared" ref="U58:U69" si="3">T58*1000</f>
        <v>3440</v>
      </c>
      <c r="V58" s="21">
        <f t="shared" ref="V58:V68" si="4">(U58-U59)^2</f>
        <v>129600</v>
      </c>
      <c r="W58" s="21">
        <f>SQRT(AVERAGE(V58:V71))</f>
        <v>195.4875562</v>
      </c>
      <c r="X58" s="21">
        <f>(STDEV(U58:U71)/AVERAGE(U58:U71))</f>
        <v>0.09181283368</v>
      </c>
    </row>
    <row r="59" ht="14.25" customHeight="1">
      <c r="A59" s="38">
        <v>0.36666666666666664</v>
      </c>
      <c r="B59" s="36">
        <v>182.0</v>
      </c>
      <c r="C59" s="36">
        <v>26.6</v>
      </c>
      <c r="D59" s="36">
        <v>1678.0</v>
      </c>
      <c r="E59" s="36">
        <v>1764.0</v>
      </c>
      <c r="F59" s="36">
        <v>1.05</v>
      </c>
      <c r="G59" s="36">
        <v>19.0</v>
      </c>
      <c r="H59" s="36">
        <v>1.93</v>
      </c>
      <c r="I59" s="36">
        <v>37.5</v>
      </c>
      <c r="J59" s="36">
        <v>76.1</v>
      </c>
      <c r="K59" s="36">
        <v>134.0</v>
      </c>
      <c r="L59" s="36">
        <v>28.2</v>
      </c>
      <c r="M59" s="36">
        <v>97.0</v>
      </c>
      <c r="N59" s="36">
        <v>53.0</v>
      </c>
      <c r="O59" s="36">
        <v>19.0</v>
      </c>
      <c r="P59" s="36">
        <v>70.0</v>
      </c>
      <c r="Q59" s="36">
        <v>0.41</v>
      </c>
      <c r="R59" s="36">
        <v>1.27</v>
      </c>
      <c r="S59" s="36">
        <v>1.81</v>
      </c>
      <c r="T59" s="36">
        <v>3.08</v>
      </c>
      <c r="U59" s="21">
        <f t="shared" si="3"/>
        <v>3080</v>
      </c>
      <c r="V59" s="21">
        <f t="shared" si="4"/>
        <v>1600</v>
      </c>
    </row>
    <row r="60" ht="14.25" customHeight="1">
      <c r="A60" s="38">
        <v>0.36944444444444446</v>
      </c>
      <c r="B60" s="36">
        <v>184.0</v>
      </c>
      <c r="C60" s="36">
        <v>27.8</v>
      </c>
      <c r="D60" s="36">
        <v>1749.0</v>
      </c>
      <c r="E60" s="36">
        <v>1854.0</v>
      </c>
      <c r="F60" s="36">
        <v>1.06</v>
      </c>
      <c r="G60" s="36">
        <v>20.0</v>
      </c>
      <c r="H60" s="36">
        <v>1.99</v>
      </c>
      <c r="I60" s="36">
        <v>39.2</v>
      </c>
      <c r="J60" s="36">
        <v>75.1</v>
      </c>
      <c r="K60" s="36">
        <v>136.0</v>
      </c>
      <c r="L60" s="36">
        <v>26.7</v>
      </c>
      <c r="M60" s="36">
        <v>97.0</v>
      </c>
      <c r="N60" s="36">
        <v>53.0</v>
      </c>
      <c r="O60" s="36">
        <v>20.0</v>
      </c>
      <c r="P60" s="36">
        <v>73.0</v>
      </c>
      <c r="Q60" s="36">
        <v>0.41</v>
      </c>
      <c r="R60" s="36">
        <v>1.24</v>
      </c>
      <c r="S60" s="36">
        <v>1.8</v>
      </c>
      <c r="T60" s="36">
        <v>3.04</v>
      </c>
      <c r="U60" s="21">
        <f t="shared" si="3"/>
        <v>3040</v>
      </c>
      <c r="V60" s="21">
        <f t="shared" si="4"/>
        <v>0</v>
      </c>
    </row>
    <row r="61" ht="14.25" customHeight="1">
      <c r="A61" s="38">
        <v>0.3715277777777778</v>
      </c>
      <c r="B61" s="36">
        <v>185.0</v>
      </c>
      <c r="C61" s="36">
        <v>27.8</v>
      </c>
      <c r="D61" s="36">
        <v>1749.0</v>
      </c>
      <c r="E61" s="36">
        <v>1854.0</v>
      </c>
      <c r="F61" s="36">
        <v>1.06</v>
      </c>
      <c r="G61" s="36">
        <v>20.0</v>
      </c>
      <c r="H61" s="36">
        <v>1.99</v>
      </c>
      <c r="I61" s="36">
        <v>39.2</v>
      </c>
      <c r="J61" s="36">
        <v>75.1</v>
      </c>
      <c r="K61" s="36">
        <v>136.0</v>
      </c>
      <c r="L61" s="36">
        <v>26.7</v>
      </c>
      <c r="M61" s="36">
        <v>97.0</v>
      </c>
      <c r="N61" s="36">
        <v>53.0</v>
      </c>
      <c r="O61" s="36">
        <v>20.0</v>
      </c>
      <c r="P61" s="36">
        <v>73.0</v>
      </c>
      <c r="Q61" s="36">
        <v>0.41</v>
      </c>
      <c r="R61" s="36">
        <v>1.24</v>
      </c>
      <c r="S61" s="36">
        <v>1.8</v>
      </c>
      <c r="T61" s="36">
        <v>3.04</v>
      </c>
      <c r="U61" s="21">
        <f t="shared" si="3"/>
        <v>3040</v>
      </c>
      <c r="V61" s="21">
        <f t="shared" si="4"/>
        <v>400</v>
      </c>
    </row>
    <row r="62" ht="14.25" customHeight="1">
      <c r="A62" s="38">
        <v>0.37430555555555556</v>
      </c>
      <c r="B62" s="36">
        <v>188.0</v>
      </c>
      <c r="C62" s="36">
        <v>28.4</v>
      </c>
      <c r="D62" s="36">
        <v>1792.0</v>
      </c>
      <c r="E62" s="36">
        <v>1905.0</v>
      </c>
      <c r="F62" s="36">
        <v>1.06</v>
      </c>
      <c r="G62" s="36">
        <v>20.0</v>
      </c>
      <c r="H62" s="36">
        <v>2.05</v>
      </c>
      <c r="I62" s="36">
        <v>40.2</v>
      </c>
      <c r="J62" s="36">
        <v>74.4</v>
      </c>
      <c r="K62" s="36">
        <v>138.0</v>
      </c>
      <c r="L62" s="36">
        <v>25.8</v>
      </c>
      <c r="M62" s="36">
        <v>98.0</v>
      </c>
      <c r="N62" s="36">
        <v>53.0</v>
      </c>
      <c r="O62" s="36">
        <v>20.0</v>
      </c>
      <c r="P62" s="36">
        <v>75.0</v>
      </c>
      <c r="Q62" s="36">
        <v>0.42</v>
      </c>
      <c r="R62" s="36">
        <v>1.28</v>
      </c>
      <c r="S62" s="36">
        <v>1.78</v>
      </c>
      <c r="T62" s="36">
        <v>3.06</v>
      </c>
      <c r="U62" s="21">
        <f t="shared" si="3"/>
        <v>3060</v>
      </c>
      <c r="V62" s="21">
        <f t="shared" si="4"/>
        <v>22500</v>
      </c>
    </row>
    <row r="63" ht="14.25" customHeight="1">
      <c r="A63" s="38">
        <v>0.3763888888888889</v>
      </c>
      <c r="B63" s="36">
        <v>189.0</v>
      </c>
      <c r="C63" s="36">
        <v>27.8</v>
      </c>
      <c r="D63" s="36">
        <v>1752.0</v>
      </c>
      <c r="E63" s="36">
        <v>1886.0</v>
      </c>
      <c r="F63" s="36">
        <v>1.08</v>
      </c>
      <c r="G63" s="36">
        <v>19.0</v>
      </c>
      <c r="H63" s="36">
        <v>2.14</v>
      </c>
      <c r="I63" s="36">
        <v>39.9</v>
      </c>
      <c r="J63" s="36">
        <v>74.6</v>
      </c>
      <c r="K63" s="36">
        <v>140.0</v>
      </c>
      <c r="L63" s="36">
        <v>25.0</v>
      </c>
      <c r="M63" s="36">
        <v>98.0</v>
      </c>
      <c r="N63" s="36">
        <v>53.0</v>
      </c>
      <c r="O63" s="36">
        <v>19.0</v>
      </c>
      <c r="P63" s="36">
        <v>73.0</v>
      </c>
      <c r="Q63" s="36">
        <v>0.44</v>
      </c>
      <c r="R63" s="36">
        <v>1.41</v>
      </c>
      <c r="S63" s="36">
        <v>1.8</v>
      </c>
      <c r="T63" s="36">
        <v>3.21</v>
      </c>
      <c r="U63" s="21">
        <f t="shared" si="3"/>
        <v>3210</v>
      </c>
      <c r="V63" s="21">
        <f t="shared" si="4"/>
        <v>22500</v>
      </c>
    </row>
    <row r="64" ht="14.25" customHeight="1">
      <c r="A64" s="38">
        <v>0.3784722222222222</v>
      </c>
      <c r="B64" s="36">
        <v>190.0</v>
      </c>
      <c r="C64" s="36">
        <v>27.1</v>
      </c>
      <c r="D64" s="36">
        <v>1706.0</v>
      </c>
      <c r="E64" s="36">
        <v>1863.0</v>
      </c>
      <c r="F64" s="36">
        <v>1.09</v>
      </c>
      <c r="G64" s="36">
        <v>20.0</v>
      </c>
      <c r="H64" s="36">
        <v>2.03</v>
      </c>
      <c r="I64" s="36">
        <v>39.8</v>
      </c>
      <c r="J64" s="36">
        <v>74.7</v>
      </c>
      <c r="K64" s="36">
        <v>140.0</v>
      </c>
      <c r="L64" s="36">
        <v>25.0</v>
      </c>
      <c r="M64" s="36">
        <v>99.0</v>
      </c>
      <c r="N64" s="36">
        <v>53.0</v>
      </c>
      <c r="O64" s="36">
        <v>20.0</v>
      </c>
      <c r="P64" s="36">
        <v>71.0</v>
      </c>
      <c r="Q64" s="36">
        <v>0.45</v>
      </c>
      <c r="R64" s="36">
        <v>1.36</v>
      </c>
      <c r="S64" s="36">
        <v>1.7</v>
      </c>
      <c r="T64" s="36">
        <v>3.06</v>
      </c>
      <c r="U64" s="21">
        <f t="shared" si="3"/>
        <v>3060</v>
      </c>
      <c r="V64" s="21">
        <f t="shared" si="4"/>
        <v>16900</v>
      </c>
    </row>
    <row r="65" ht="14.25" customHeight="1">
      <c r="A65" s="38">
        <v>0.38055555555555554</v>
      </c>
      <c r="B65" s="36">
        <v>192.0</v>
      </c>
      <c r="C65" s="36">
        <v>28.2</v>
      </c>
      <c r="D65" s="36">
        <v>1777.0</v>
      </c>
      <c r="E65" s="36">
        <v>1937.0</v>
      </c>
      <c r="F65" s="36">
        <v>1.09</v>
      </c>
      <c r="G65" s="36">
        <v>20.0</v>
      </c>
      <c r="H65" s="36">
        <v>1.99</v>
      </c>
      <c r="I65" s="36">
        <v>40.7</v>
      </c>
      <c r="J65" s="36">
        <v>74.1</v>
      </c>
      <c r="K65" s="36">
        <v>143.0</v>
      </c>
      <c r="L65" s="36">
        <v>22.9</v>
      </c>
      <c r="M65" s="36">
        <v>99.0</v>
      </c>
      <c r="N65" s="36">
        <v>53.0</v>
      </c>
      <c r="O65" s="36">
        <v>20.0</v>
      </c>
      <c r="P65" s="36">
        <v>74.0</v>
      </c>
      <c r="Q65" s="36">
        <v>0.41</v>
      </c>
      <c r="R65" s="36">
        <v>1.2</v>
      </c>
      <c r="S65" s="36">
        <v>1.73</v>
      </c>
      <c r="T65" s="36">
        <v>2.93</v>
      </c>
      <c r="U65" s="21">
        <f t="shared" si="3"/>
        <v>2930</v>
      </c>
      <c r="V65" s="21">
        <f t="shared" si="4"/>
        <v>102400</v>
      </c>
    </row>
    <row r="66" ht="14.25" customHeight="1">
      <c r="A66" s="38">
        <v>0.3819444444444444</v>
      </c>
      <c r="B66" s="36">
        <v>193.0</v>
      </c>
      <c r="C66" s="36">
        <v>29.1</v>
      </c>
      <c r="D66" s="36">
        <v>1830.0</v>
      </c>
      <c r="E66" s="36">
        <v>1987.0</v>
      </c>
      <c r="F66" s="36">
        <v>1.09</v>
      </c>
      <c r="G66" s="36">
        <v>18.0</v>
      </c>
      <c r="H66" s="36">
        <v>2.24</v>
      </c>
      <c r="I66" s="36">
        <v>41.3</v>
      </c>
      <c r="J66" s="36">
        <v>73.7</v>
      </c>
      <c r="K66" s="36">
        <v>143.0</v>
      </c>
      <c r="L66" s="36">
        <v>22.9</v>
      </c>
      <c r="M66" s="36">
        <v>98.0</v>
      </c>
      <c r="N66" s="36">
        <v>53.0</v>
      </c>
      <c r="O66" s="36">
        <v>18.0</v>
      </c>
      <c r="P66" s="36">
        <v>76.0</v>
      </c>
      <c r="Q66" s="36">
        <v>0.4</v>
      </c>
      <c r="R66" s="36">
        <v>1.31</v>
      </c>
      <c r="S66" s="36">
        <v>1.94</v>
      </c>
      <c r="T66" s="36">
        <v>3.25</v>
      </c>
      <c r="U66" s="21">
        <f t="shared" si="3"/>
        <v>3250</v>
      </c>
      <c r="V66" s="21">
        <f t="shared" si="4"/>
        <v>67600</v>
      </c>
    </row>
    <row r="67" ht="14.25" customHeight="1">
      <c r="A67" s="38">
        <v>0.38333333333333336</v>
      </c>
      <c r="B67" s="36">
        <v>194.0</v>
      </c>
      <c r="C67" s="36">
        <v>30.1</v>
      </c>
      <c r="D67" s="36">
        <v>1897.0</v>
      </c>
      <c r="E67" s="36">
        <v>2077.0</v>
      </c>
      <c r="F67" s="36">
        <v>1.1</v>
      </c>
      <c r="G67" s="36">
        <v>20.0</v>
      </c>
      <c r="H67" s="36">
        <v>2.17</v>
      </c>
      <c r="I67" s="36">
        <v>43.5</v>
      </c>
      <c r="J67" s="36">
        <v>72.3</v>
      </c>
      <c r="K67" s="36">
        <v>145.0</v>
      </c>
      <c r="L67" s="36">
        <v>22.3</v>
      </c>
      <c r="M67" s="36">
        <v>99.0</v>
      </c>
      <c r="N67" s="36">
        <v>53.0</v>
      </c>
      <c r="O67" s="36">
        <v>20.0</v>
      </c>
      <c r="P67" s="36">
        <v>79.0</v>
      </c>
      <c r="Q67" s="36">
        <v>0.39</v>
      </c>
      <c r="R67" s="36">
        <v>1.16</v>
      </c>
      <c r="S67" s="36">
        <v>1.83</v>
      </c>
      <c r="T67" s="36">
        <v>2.99</v>
      </c>
      <c r="U67" s="21">
        <f t="shared" si="3"/>
        <v>2990</v>
      </c>
      <c r="V67" s="21">
        <f t="shared" si="4"/>
        <v>57600</v>
      </c>
    </row>
    <row r="68" ht="14.25" customHeight="1">
      <c r="A68" s="38">
        <v>0.3854166666666667</v>
      </c>
      <c r="B68" s="36">
        <v>195.0</v>
      </c>
      <c r="C68" s="36">
        <v>29.9</v>
      </c>
      <c r="D68" s="36">
        <v>1882.0</v>
      </c>
      <c r="E68" s="36">
        <v>2112.0</v>
      </c>
      <c r="F68" s="36">
        <v>1.12</v>
      </c>
      <c r="G68" s="36">
        <v>22.0</v>
      </c>
      <c r="H68" s="36">
        <v>2.07</v>
      </c>
      <c r="I68" s="36">
        <v>45.2</v>
      </c>
      <c r="J68" s="36">
        <v>71.3</v>
      </c>
      <c r="K68" s="36">
        <v>145.0</v>
      </c>
      <c r="L68" s="36">
        <v>22.3</v>
      </c>
      <c r="M68" s="36">
        <v>100.0</v>
      </c>
      <c r="N68" s="36">
        <v>52.0</v>
      </c>
      <c r="O68" s="36">
        <v>22.0</v>
      </c>
      <c r="P68" s="36">
        <v>78.0</v>
      </c>
      <c r="Q68" s="36">
        <v>0.41</v>
      </c>
      <c r="R68" s="36">
        <v>1.12</v>
      </c>
      <c r="S68" s="36">
        <v>1.64</v>
      </c>
      <c r="T68" s="36">
        <v>2.75</v>
      </c>
      <c r="U68" s="21">
        <f t="shared" si="3"/>
        <v>2750</v>
      </c>
      <c r="V68" s="21">
        <f t="shared" si="4"/>
        <v>67600</v>
      </c>
    </row>
    <row r="69" ht="14.25" customHeight="1">
      <c r="A69" s="38">
        <v>0.38680555555555557</v>
      </c>
      <c r="B69" s="36">
        <v>196.0</v>
      </c>
      <c r="C69" s="36">
        <v>30.8</v>
      </c>
      <c r="D69" s="36">
        <v>1942.0</v>
      </c>
      <c r="E69" s="36">
        <v>2215.0</v>
      </c>
      <c r="F69" s="36">
        <v>1.14</v>
      </c>
      <c r="G69" s="36">
        <v>24.0</v>
      </c>
      <c r="H69" s="36">
        <v>1.99</v>
      </c>
      <c r="I69" s="36">
        <v>47.9</v>
      </c>
      <c r="J69" s="36">
        <v>69.6</v>
      </c>
      <c r="K69" s="36">
        <v>146.0</v>
      </c>
      <c r="L69" s="36">
        <v>21.7</v>
      </c>
      <c r="M69" s="36">
        <v>101.0</v>
      </c>
      <c r="N69" s="36">
        <v>52.0</v>
      </c>
      <c r="O69" s="36">
        <v>24.0</v>
      </c>
      <c r="P69" s="36">
        <v>81.0</v>
      </c>
      <c r="Q69" s="36">
        <v>0.38</v>
      </c>
      <c r="R69" s="36">
        <v>0.94</v>
      </c>
      <c r="S69" s="36">
        <v>1.55</v>
      </c>
      <c r="T69" s="36">
        <v>2.49</v>
      </c>
      <c r="U69" s="21">
        <f t="shared" si="3"/>
        <v>2490</v>
      </c>
      <c r="V69" s="21">
        <f>(U69-U71)^2</f>
        <v>0</v>
      </c>
    </row>
    <row r="70" ht="14.25" customHeight="1">
      <c r="A70" s="16" t="s">
        <v>81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21"/>
      <c r="V70" s="21"/>
    </row>
    <row r="71" ht="14.25" customHeight="1">
      <c r="A71" s="38">
        <v>0.3888888888888889</v>
      </c>
      <c r="B71" s="36">
        <v>198.0</v>
      </c>
      <c r="C71" s="36">
        <v>31.4</v>
      </c>
      <c r="D71" s="36">
        <v>1980.0</v>
      </c>
      <c r="E71" s="36">
        <v>2276.0</v>
      </c>
      <c r="F71" s="36">
        <v>1.15</v>
      </c>
      <c r="G71" s="36">
        <v>24.0</v>
      </c>
      <c r="H71" s="36">
        <v>2.04</v>
      </c>
      <c r="I71" s="36">
        <v>49.2</v>
      </c>
      <c r="J71" s="36">
        <v>68.7</v>
      </c>
      <c r="K71" s="36">
        <v>148.0</v>
      </c>
      <c r="L71" s="36">
        <v>20.5</v>
      </c>
      <c r="M71" s="36">
        <v>102.0</v>
      </c>
      <c r="N71" s="36">
        <v>52.0</v>
      </c>
      <c r="O71" s="36">
        <v>24.0</v>
      </c>
      <c r="P71" s="36">
        <v>83.0</v>
      </c>
      <c r="Q71" s="36">
        <v>0.38</v>
      </c>
      <c r="R71" s="36">
        <v>0.96</v>
      </c>
      <c r="S71" s="36">
        <v>1.54</v>
      </c>
      <c r="T71" s="36">
        <v>2.49</v>
      </c>
      <c r="U71" s="21">
        <f t="shared" ref="U71:U72" si="5">T71*1000</f>
        <v>2490</v>
      </c>
      <c r="V71" s="21">
        <f>(U71-U72)^2</f>
        <v>8100</v>
      </c>
    </row>
    <row r="72" ht="14.25" customHeight="1">
      <c r="A72" s="38">
        <v>0.3902777777777778</v>
      </c>
      <c r="B72" s="36">
        <v>199.0</v>
      </c>
      <c r="C72" s="36">
        <v>31.5</v>
      </c>
      <c r="D72" s="36">
        <v>1985.0</v>
      </c>
      <c r="E72" s="36">
        <v>2323.0</v>
      </c>
      <c r="F72" s="36">
        <v>1.17</v>
      </c>
      <c r="G72" s="36">
        <v>25.0</v>
      </c>
      <c r="H72" s="36">
        <v>2.06</v>
      </c>
      <c r="I72" s="36">
        <v>51.5</v>
      </c>
      <c r="J72" s="36">
        <v>67.2</v>
      </c>
      <c r="K72" s="36">
        <v>149.0</v>
      </c>
      <c r="L72" s="36">
        <v>19.8</v>
      </c>
      <c r="M72" s="36">
        <v>103.0</v>
      </c>
      <c r="N72" s="36">
        <v>51.0</v>
      </c>
      <c r="O72" s="36">
        <v>25.0</v>
      </c>
      <c r="P72" s="36">
        <v>83.0</v>
      </c>
      <c r="Q72" s="36">
        <v>0.4</v>
      </c>
      <c r="R72" s="36">
        <v>0.96</v>
      </c>
      <c r="S72" s="36">
        <v>1.44</v>
      </c>
      <c r="T72" s="36">
        <v>2.4</v>
      </c>
      <c r="U72" s="21">
        <f t="shared" si="5"/>
        <v>2400</v>
      </c>
    </row>
    <row r="73" ht="14.25" customHeight="1">
      <c r="A73" s="36" t="s">
        <v>82</v>
      </c>
    </row>
    <row r="74" ht="14.25" customHeight="1">
      <c r="A74" s="38">
        <v>0.3923611111111111</v>
      </c>
      <c r="B74" s="36">
        <v>200.0</v>
      </c>
      <c r="C74" s="36">
        <v>31.6</v>
      </c>
      <c r="D74" s="36">
        <v>1991.0</v>
      </c>
      <c r="E74" s="36">
        <v>2336.0</v>
      </c>
      <c r="F74" s="36">
        <v>1.17</v>
      </c>
      <c r="G74" s="36">
        <v>25.0</v>
      </c>
      <c r="H74" s="36">
        <v>2.07</v>
      </c>
      <c r="I74" s="36">
        <v>51.5</v>
      </c>
      <c r="J74" s="36">
        <v>67.2</v>
      </c>
      <c r="K74" s="36">
        <v>150.0</v>
      </c>
      <c r="L74" s="36">
        <v>19.2</v>
      </c>
      <c r="M74" s="36">
        <v>103.0</v>
      </c>
      <c r="N74" s="36">
        <v>51.0</v>
      </c>
      <c r="O74" s="36">
        <v>25.0</v>
      </c>
      <c r="P74" s="36">
        <v>83.0</v>
      </c>
      <c r="Q74" s="36">
        <v>0.4</v>
      </c>
      <c r="R74" s="36">
        <v>0.97</v>
      </c>
      <c r="S74" s="36">
        <v>1.44</v>
      </c>
      <c r="T74" s="36">
        <v>2.41</v>
      </c>
      <c r="U74" s="21">
        <f t="shared" ref="U74:U80" si="6">T74*1000</f>
        <v>2410</v>
      </c>
      <c r="V74" s="21">
        <f t="shared" ref="V74:V79" si="7">(U74-U75)^2</f>
        <v>400</v>
      </c>
      <c r="W74" s="21">
        <f>SQRT(AVERAGE(V74:V80))</f>
        <v>36.96845502</v>
      </c>
      <c r="X74" s="21">
        <f>(STDEV(U74:U80)/AVERAGE(U74:U80))</f>
        <v>0.01056881272</v>
      </c>
    </row>
    <row r="75" ht="14.25" customHeight="1">
      <c r="A75" s="38">
        <v>0.39375</v>
      </c>
      <c r="B75" s="36">
        <v>202.0</v>
      </c>
      <c r="C75" s="36">
        <v>30.9</v>
      </c>
      <c r="D75" s="36">
        <v>1947.0</v>
      </c>
      <c r="E75" s="36">
        <v>2325.0</v>
      </c>
      <c r="F75" s="36">
        <v>1.19</v>
      </c>
      <c r="G75" s="36">
        <v>25.0</v>
      </c>
      <c r="H75" s="36">
        <v>2.08</v>
      </c>
      <c r="I75" s="36">
        <v>51.3</v>
      </c>
      <c r="J75" s="36">
        <v>67.3</v>
      </c>
      <c r="K75" s="36">
        <v>151.0</v>
      </c>
      <c r="L75" s="36">
        <v>18.7</v>
      </c>
      <c r="M75" s="36">
        <v>103.0</v>
      </c>
      <c r="N75" s="36">
        <v>51.0</v>
      </c>
      <c r="O75" s="36">
        <v>25.0</v>
      </c>
      <c r="P75" s="36">
        <v>81.0</v>
      </c>
      <c r="Q75" s="36">
        <v>0.4</v>
      </c>
      <c r="R75" s="36">
        <v>0.97</v>
      </c>
      <c r="S75" s="36">
        <v>1.46</v>
      </c>
      <c r="T75" s="36">
        <v>2.43</v>
      </c>
      <c r="U75" s="21">
        <f t="shared" si="6"/>
        <v>2430</v>
      </c>
      <c r="V75" s="21">
        <f t="shared" si="7"/>
        <v>0</v>
      </c>
    </row>
    <row r="76" ht="14.25" customHeight="1">
      <c r="A76" s="38">
        <v>0.3958333333333333</v>
      </c>
      <c r="B76" s="36">
        <v>202.0</v>
      </c>
      <c r="C76" s="36">
        <v>30.4</v>
      </c>
      <c r="D76" s="36">
        <v>1915.0</v>
      </c>
      <c r="E76" s="36">
        <v>2291.0</v>
      </c>
      <c r="F76" s="36">
        <v>1.2</v>
      </c>
      <c r="G76" s="36">
        <v>25.0</v>
      </c>
      <c r="H76" s="36">
        <v>2.05</v>
      </c>
      <c r="I76" s="36">
        <v>50.7</v>
      </c>
      <c r="J76" s="36">
        <v>67.8</v>
      </c>
      <c r="K76" s="36">
        <v>152.0</v>
      </c>
      <c r="L76" s="36">
        <v>18.3</v>
      </c>
      <c r="M76" s="36">
        <v>104.0</v>
      </c>
      <c r="N76" s="36">
        <v>51.0</v>
      </c>
      <c r="O76" s="36">
        <v>25.0</v>
      </c>
      <c r="P76" s="36">
        <v>80.0</v>
      </c>
      <c r="Q76" s="36">
        <v>0.41</v>
      </c>
      <c r="R76" s="36">
        <v>0.99</v>
      </c>
      <c r="S76" s="36">
        <v>1.45</v>
      </c>
      <c r="T76" s="36">
        <v>2.43</v>
      </c>
      <c r="U76" s="21">
        <f t="shared" si="6"/>
        <v>2430</v>
      </c>
      <c r="V76" s="21">
        <f t="shared" si="7"/>
        <v>1600</v>
      </c>
    </row>
    <row r="77" ht="14.25" customHeight="1">
      <c r="A77" s="38">
        <v>0.3972222222222222</v>
      </c>
      <c r="B77" s="36">
        <v>204.0</v>
      </c>
      <c r="C77" s="36">
        <v>30.3</v>
      </c>
      <c r="D77" s="36">
        <v>1912.0</v>
      </c>
      <c r="E77" s="36">
        <v>2296.0</v>
      </c>
      <c r="F77" s="36">
        <v>1.2</v>
      </c>
      <c r="G77" s="36">
        <v>24.0</v>
      </c>
      <c r="H77" s="36">
        <v>2.07</v>
      </c>
      <c r="I77" s="36">
        <v>50.4</v>
      </c>
      <c r="J77" s="36">
        <v>68.0</v>
      </c>
      <c r="K77" s="36">
        <v>153.0</v>
      </c>
      <c r="L77" s="36">
        <v>17.7</v>
      </c>
      <c r="M77" s="36">
        <v>104.0</v>
      </c>
      <c r="N77" s="36">
        <v>51.0</v>
      </c>
      <c r="O77" s="36">
        <v>24.0</v>
      </c>
      <c r="P77" s="36">
        <v>80.0</v>
      </c>
      <c r="Q77" s="36">
        <v>0.41</v>
      </c>
      <c r="R77" s="36">
        <v>1.01</v>
      </c>
      <c r="S77" s="36">
        <v>1.45</v>
      </c>
      <c r="T77" s="36">
        <v>2.47</v>
      </c>
      <c r="U77" s="21">
        <f t="shared" si="6"/>
        <v>2470</v>
      </c>
      <c r="V77" s="21">
        <f t="shared" si="7"/>
        <v>3600</v>
      </c>
    </row>
    <row r="78" ht="14.25" customHeight="1">
      <c r="A78" s="38">
        <v>0.39861111111111114</v>
      </c>
      <c r="B78" s="36">
        <v>205.0</v>
      </c>
      <c r="C78" s="36">
        <v>30.3</v>
      </c>
      <c r="D78" s="36">
        <v>1908.0</v>
      </c>
      <c r="E78" s="36">
        <v>2302.0</v>
      </c>
      <c r="F78" s="36">
        <v>1.21</v>
      </c>
      <c r="G78" s="36">
        <v>25.0</v>
      </c>
      <c r="H78" s="36">
        <v>2.04</v>
      </c>
      <c r="I78" s="36">
        <v>50.7</v>
      </c>
      <c r="J78" s="36">
        <v>67.8</v>
      </c>
      <c r="K78" s="36">
        <v>153.0</v>
      </c>
      <c r="L78" s="36">
        <v>17.7</v>
      </c>
      <c r="M78" s="36">
        <v>104.0</v>
      </c>
      <c r="N78" s="36">
        <v>51.0</v>
      </c>
      <c r="O78" s="36">
        <v>25.0</v>
      </c>
      <c r="P78" s="36">
        <v>80.0</v>
      </c>
      <c r="Q78" s="36">
        <v>0.41</v>
      </c>
      <c r="R78" s="36">
        <v>0.98</v>
      </c>
      <c r="S78" s="36">
        <v>1.43</v>
      </c>
      <c r="T78" s="36">
        <v>2.41</v>
      </c>
      <c r="U78" s="21">
        <f t="shared" si="6"/>
        <v>2410</v>
      </c>
      <c r="V78" s="21">
        <f t="shared" si="7"/>
        <v>100</v>
      </c>
    </row>
    <row r="79" ht="14.25" customHeight="1">
      <c r="A79" s="38">
        <v>0.40069444444444446</v>
      </c>
      <c r="B79" s="36">
        <v>206.0</v>
      </c>
      <c r="C79" s="36">
        <v>30.7</v>
      </c>
      <c r="D79" s="36">
        <v>1935.0</v>
      </c>
      <c r="E79" s="36">
        <v>2351.0</v>
      </c>
      <c r="F79" s="36">
        <v>1.21</v>
      </c>
      <c r="G79" s="36">
        <v>25.0</v>
      </c>
      <c r="H79" s="36">
        <v>2.09</v>
      </c>
      <c r="I79" s="36">
        <v>51.8</v>
      </c>
      <c r="J79" s="36">
        <v>67.1</v>
      </c>
      <c r="K79" s="36">
        <v>155.0</v>
      </c>
      <c r="L79" s="36">
        <v>16.9</v>
      </c>
      <c r="M79" s="36">
        <v>104.0</v>
      </c>
      <c r="N79" s="36">
        <v>51.0</v>
      </c>
      <c r="O79" s="36">
        <v>25.0</v>
      </c>
      <c r="P79" s="36">
        <v>81.0</v>
      </c>
      <c r="Q79" s="36">
        <v>0.41</v>
      </c>
      <c r="R79" s="36">
        <v>0.99</v>
      </c>
      <c r="S79" s="36">
        <v>1.44</v>
      </c>
      <c r="T79" s="36">
        <v>2.42</v>
      </c>
      <c r="U79" s="21">
        <f t="shared" si="6"/>
        <v>2420</v>
      </c>
      <c r="V79" s="21">
        <f t="shared" si="7"/>
        <v>2500</v>
      </c>
    </row>
    <row r="80" ht="14.25" customHeight="1">
      <c r="A80" s="38">
        <v>0.40208333333333335</v>
      </c>
      <c r="B80" s="36">
        <v>25.0</v>
      </c>
      <c r="C80" s="36">
        <v>30.8</v>
      </c>
      <c r="D80" s="36">
        <v>1942.0</v>
      </c>
      <c r="E80" s="36">
        <v>2368.0</v>
      </c>
      <c r="F80" s="36">
        <v>1.22</v>
      </c>
      <c r="G80" s="36">
        <v>24.0</v>
      </c>
      <c r="H80" s="36">
        <v>2.14</v>
      </c>
      <c r="I80" s="36">
        <v>52.0</v>
      </c>
      <c r="J80" s="36">
        <v>66.9</v>
      </c>
      <c r="K80" s="36">
        <v>156.0</v>
      </c>
      <c r="L80" s="36">
        <v>16.2</v>
      </c>
      <c r="M80" s="36">
        <v>104.0</v>
      </c>
      <c r="N80" s="36">
        <v>51.0</v>
      </c>
      <c r="O80" s="36">
        <v>24.0</v>
      </c>
      <c r="P80" s="36">
        <v>81.0</v>
      </c>
      <c r="Q80" s="36">
        <v>0.42</v>
      </c>
      <c r="R80" s="36">
        <v>1.03</v>
      </c>
      <c r="S80" s="36">
        <v>1.44</v>
      </c>
      <c r="T80" s="36">
        <v>2.47</v>
      </c>
      <c r="U80" s="21">
        <f t="shared" si="6"/>
        <v>2470</v>
      </c>
    </row>
    <row r="81" ht="14.25" customHeight="1">
      <c r="A81" s="36" t="s">
        <v>88</v>
      </c>
    </row>
    <row r="82" ht="14.25" customHeight="1">
      <c r="A82" s="38"/>
    </row>
    <row r="83" ht="14.25" customHeight="1">
      <c r="A83" s="38"/>
    </row>
    <row r="84" ht="14.25" customHeight="1">
      <c r="A84" s="38"/>
    </row>
    <row r="85" ht="14.25" customHeight="1">
      <c r="A85" s="38"/>
    </row>
    <row r="86" ht="14.25" customHeight="1">
      <c r="A86" s="38"/>
    </row>
    <row r="87" ht="14.25" customHeight="1">
      <c r="A87" s="38"/>
    </row>
    <row r="88" ht="14.25" customHeight="1">
      <c r="A88" s="38"/>
    </row>
    <row r="89" ht="14.25" customHeight="1">
      <c r="A89" s="38"/>
    </row>
    <row r="90" ht="14.25" customHeight="1">
      <c r="A90" s="38"/>
    </row>
    <row r="91" ht="14.25" customHeight="1">
      <c r="A91" s="38"/>
    </row>
    <row r="92" ht="14.25" customHeight="1">
      <c r="A92" s="38"/>
    </row>
    <row r="93" ht="14.25" customHeight="1">
      <c r="A93" s="38"/>
    </row>
    <row r="94" ht="14.25" customHeight="1">
      <c r="A94" s="38"/>
    </row>
    <row r="95" ht="14.25" customHeight="1">
      <c r="A95" s="38"/>
    </row>
    <row r="96" ht="14.25" customHeight="1">
      <c r="A96" s="38"/>
    </row>
    <row r="97" ht="14.25" customHeight="1">
      <c r="A97" s="38"/>
    </row>
    <row r="98" ht="14.25" customHeight="1">
      <c r="A98" s="38"/>
    </row>
    <row r="99" ht="14.25" customHeight="1">
      <c r="A99" s="38"/>
    </row>
    <row r="100" ht="14.25" customHeight="1">
      <c r="A100" s="38"/>
    </row>
    <row r="101" ht="14.25" customHeight="1">
      <c r="A101" s="38"/>
    </row>
    <row r="102" ht="14.25" customHeight="1">
      <c r="A102" s="38"/>
    </row>
    <row r="103" ht="14.25" customHeight="1">
      <c r="A103" s="38"/>
    </row>
    <row r="104" ht="14.25" customHeight="1">
      <c r="A104" s="38"/>
    </row>
    <row r="105" ht="14.25" customHeight="1">
      <c r="A105" s="38"/>
    </row>
    <row r="106" ht="14.25" customHeight="1">
      <c r="A106" s="38"/>
    </row>
    <row r="107" ht="14.25" customHeight="1">
      <c r="A107" s="38"/>
    </row>
    <row r="108" ht="14.25" customHeight="1">
      <c r="A108" s="38"/>
    </row>
    <row r="109" ht="14.25" customHeight="1">
      <c r="A109" s="38"/>
    </row>
    <row r="110" ht="14.25" customHeight="1">
      <c r="A110" s="38"/>
    </row>
    <row r="111" ht="14.25" customHeight="1">
      <c r="A111" s="38"/>
    </row>
    <row r="112" ht="14.25" customHeight="1">
      <c r="A112" s="38"/>
    </row>
    <row r="113" ht="14.25" customHeight="1">
      <c r="A113" s="38"/>
    </row>
    <row r="114" ht="14.25" customHeight="1">
      <c r="A114" s="38"/>
    </row>
    <row r="115" ht="14.25" customHeight="1">
      <c r="A115" s="38"/>
    </row>
    <row r="116" ht="14.25" customHeight="1">
      <c r="A116" s="38"/>
    </row>
    <row r="117" ht="14.25" customHeight="1">
      <c r="A117" s="38"/>
    </row>
    <row r="118" ht="14.25" customHeight="1">
      <c r="A118" s="38"/>
    </row>
    <row r="119" ht="14.25" customHeight="1">
      <c r="A119" s="38"/>
    </row>
    <row r="120" ht="14.25" customHeight="1">
      <c r="A120" s="38"/>
    </row>
    <row r="121" ht="14.25" customHeight="1">
      <c r="A121" s="38"/>
    </row>
    <row r="122" ht="14.25" customHeight="1">
      <c r="A122" s="38"/>
    </row>
    <row r="123" ht="14.25" customHeight="1">
      <c r="A123" s="38"/>
    </row>
    <row r="124" ht="14.25" customHeight="1">
      <c r="A124" s="38"/>
    </row>
    <row r="125" ht="14.25" customHeight="1">
      <c r="A125" s="38"/>
    </row>
    <row r="126" ht="14.25" customHeight="1">
      <c r="A126" s="38"/>
    </row>
    <row r="127" ht="14.25" customHeight="1">
      <c r="A127" s="38"/>
    </row>
    <row r="128" ht="14.25" customHeight="1">
      <c r="A128" s="38"/>
    </row>
    <row r="129" ht="14.25" customHeight="1">
      <c r="A129" s="38"/>
    </row>
    <row r="130" ht="14.25" customHeight="1">
      <c r="A130" s="38"/>
    </row>
    <row r="131" ht="14.25" customHeight="1">
      <c r="A131" s="38"/>
    </row>
    <row r="132" ht="14.25" customHeight="1">
      <c r="A132" s="38"/>
    </row>
    <row r="133" ht="14.25" customHeight="1">
      <c r="A133" s="38"/>
    </row>
    <row r="134" ht="14.25" customHeight="1">
      <c r="A134" s="38"/>
    </row>
    <row r="135" ht="14.25" customHeight="1">
      <c r="A135" s="38"/>
    </row>
    <row r="136" ht="14.25" customHeight="1">
      <c r="A136" s="38"/>
    </row>
    <row r="137" ht="14.25" customHeight="1">
      <c r="A137" s="38"/>
    </row>
    <row r="138" ht="14.25" customHeight="1">
      <c r="A138" s="38"/>
    </row>
    <row r="139" ht="14.25" customHeight="1">
      <c r="A139" s="38"/>
    </row>
    <row r="140" ht="14.25" customHeight="1">
      <c r="A140" s="38"/>
    </row>
    <row r="141" ht="14.25" customHeight="1">
      <c r="A141" s="38"/>
    </row>
    <row r="142" ht="14.25" customHeight="1">
      <c r="A142" s="38"/>
    </row>
    <row r="143" ht="14.25" customHeight="1">
      <c r="A143" s="38"/>
    </row>
    <row r="144" ht="14.25" customHeight="1">
      <c r="A144" s="38"/>
    </row>
    <row r="145" ht="14.25" customHeight="1">
      <c r="A145" s="38"/>
    </row>
    <row r="146" ht="14.25" customHeight="1">
      <c r="A146" s="38"/>
    </row>
    <row r="147" ht="14.25" customHeight="1">
      <c r="A147" s="38"/>
    </row>
    <row r="148" ht="14.25" customHeight="1">
      <c r="A148" s="38"/>
    </row>
    <row r="149" ht="14.25" customHeight="1">
      <c r="A149" s="38"/>
    </row>
    <row r="150" ht="14.25" customHeight="1">
      <c r="A150" s="38"/>
    </row>
    <row r="151" ht="14.25" customHeight="1">
      <c r="A151" s="38"/>
    </row>
    <row r="152" ht="14.25" customHeight="1">
      <c r="A152" s="38"/>
    </row>
    <row r="153" ht="14.25" customHeight="1">
      <c r="A153" s="38"/>
    </row>
    <row r="154" ht="14.25" customHeight="1">
      <c r="A154" s="38"/>
    </row>
    <row r="155" ht="14.25" customHeight="1">
      <c r="A155" s="38"/>
    </row>
    <row r="156" ht="14.25" customHeight="1">
      <c r="A156" s="38"/>
    </row>
    <row r="157" ht="14.25" customHeight="1">
      <c r="A157" s="38"/>
    </row>
    <row r="158" ht="14.25" customHeight="1">
      <c r="A158" s="38"/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6.63"/>
    <col customWidth="1" min="22" max="22" width="8.0"/>
    <col customWidth="1" min="23" max="44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92</v>
      </c>
      <c r="V2" s="8" t="s">
        <v>85</v>
      </c>
      <c r="W2" s="8" t="s">
        <v>52</v>
      </c>
      <c r="X2" s="8" t="s">
        <v>86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0.09236111111111112</v>
      </c>
      <c r="B6" s="36">
        <v>1.0</v>
      </c>
      <c r="C6" s="36">
        <v>6.3</v>
      </c>
      <c r="D6" s="36">
        <v>560.0</v>
      </c>
      <c r="E6" s="36">
        <v>511.0</v>
      </c>
      <c r="F6" s="36">
        <v>0.91</v>
      </c>
      <c r="G6" s="36">
        <v>20.0</v>
      </c>
      <c r="H6" s="36">
        <v>0.72</v>
      </c>
      <c r="I6" s="36">
        <v>14.2</v>
      </c>
      <c r="J6" s="36">
        <v>92.1</v>
      </c>
      <c r="K6" s="36">
        <v>79.0</v>
      </c>
      <c r="L6" s="36">
        <v>60.3</v>
      </c>
      <c r="M6" s="36">
        <v>101.0</v>
      </c>
      <c r="N6" s="36">
        <v>49.0</v>
      </c>
      <c r="O6" s="36">
        <v>20.0</v>
      </c>
      <c r="P6" s="36">
        <v>17.0</v>
      </c>
      <c r="Q6" s="36">
        <v>0.32</v>
      </c>
      <c r="R6" s="36">
        <v>0.96</v>
      </c>
      <c r="S6" s="36">
        <v>2.08</v>
      </c>
      <c r="T6" s="36">
        <v>3.04</v>
      </c>
      <c r="U6" s="21">
        <f t="shared" ref="U6:U165" si="1">T6*1000</f>
        <v>3040</v>
      </c>
      <c r="V6" s="21">
        <f t="shared" ref="V6:V164" si="2">(U6-U7)^2</f>
        <v>90000</v>
      </c>
      <c r="W6" s="21">
        <f>SQRT(AVERAGE(V6:V164))</f>
        <v>135.8620277</v>
      </c>
      <c r="X6" s="21">
        <f>STDEV(U6:U164)/AVERAGE(U6:U164)</f>
        <v>0.112544982</v>
      </c>
    </row>
    <row r="7" ht="14.25" customHeight="1">
      <c r="A7" s="38">
        <v>0.09583333333333334</v>
      </c>
      <c r="B7" s="36">
        <v>3.0</v>
      </c>
      <c r="C7" s="36">
        <v>6.1</v>
      </c>
      <c r="D7" s="36">
        <v>549.0</v>
      </c>
      <c r="E7" s="36">
        <v>497.0</v>
      </c>
      <c r="F7" s="36">
        <v>0.91</v>
      </c>
      <c r="G7" s="36">
        <v>18.0</v>
      </c>
      <c r="H7" s="36">
        <v>0.75</v>
      </c>
      <c r="I7" s="36">
        <v>13.4</v>
      </c>
      <c r="J7" s="36">
        <v>92.5</v>
      </c>
      <c r="K7" s="36">
        <v>78.0</v>
      </c>
      <c r="L7" s="36">
        <v>60.6</v>
      </c>
      <c r="M7" s="36">
        <v>99.0</v>
      </c>
      <c r="N7" s="36">
        <v>50.0</v>
      </c>
      <c r="O7" s="36">
        <v>18.0</v>
      </c>
      <c r="P7" s="36">
        <v>16.0</v>
      </c>
      <c r="Q7" s="36">
        <v>0.27</v>
      </c>
      <c r="R7" s="36">
        <v>0.92</v>
      </c>
      <c r="S7" s="36">
        <v>2.42</v>
      </c>
      <c r="T7" s="36">
        <v>3.34</v>
      </c>
      <c r="U7" s="21">
        <f t="shared" si="1"/>
        <v>3340</v>
      </c>
      <c r="V7" s="21">
        <f t="shared" si="2"/>
        <v>25600</v>
      </c>
    </row>
    <row r="8" ht="14.25" customHeight="1">
      <c r="A8" s="38">
        <v>0.09722222222222222</v>
      </c>
      <c r="B8" s="36">
        <v>4.0</v>
      </c>
      <c r="C8" s="36">
        <v>6.0</v>
      </c>
      <c r="D8" s="36">
        <v>537.0</v>
      </c>
      <c r="E8" s="36">
        <v>493.0</v>
      </c>
      <c r="F8" s="36">
        <v>0.92</v>
      </c>
      <c r="G8" s="36">
        <v>19.0</v>
      </c>
      <c r="H8" s="36">
        <v>0.72</v>
      </c>
      <c r="I8" s="36">
        <v>13.5</v>
      </c>
      <c r="J8" s="36">
        <v>92.4</v>
      </c>
      <c r="K8" s="36">
        <v>77.0</v>
      </c>
      <c r="L8" s="36">
        <v>61.2</v>
      </c>
      <c r="M8" s="36">
        <v>99.0</v>
      </c>
      <c r="N8" s="36">
        <v>50.0</v>
      </c>
      <c r="O8" s="36">
        <v>19.0</v>
      </c>
      <c r="P8" s="36">
        <v>16.0</v>
      </c>
      <c r="Q8" s="36">
        <v>0.27</v>
      </c>
      <c r="R8" s="36">
        <v>0.87</v>
      </c>
      <c r="S8" s="36">
        <v>2.31</v>
      </c>
      <c r="T8" s="36">
        <v>3.18</v>
      </c>
      <c r="U8" s="21">
        <f t="shared" si="1"/>
        <v>3180</v>
      </c>
      <c r="V8" s="21">
        <f t="shared" si="2"/>
        <v>0</v>
      </c>
    </row>
    <row r="9" ht="14.25" customHeight="1">
      <c r="A9" s="38">
        <v>0.09861111111111111</v>
      </c>
      <c r="B9" s="36">
        <v>5.0</v>
      </c>
      <c r="C9" s="36">
        <v>6.0</v>
      </c>
      <c r="D9" s="36">
        <v>537.0</v>
      </c>
      <c r="E9" s="36">
        <v>493.0</v>
      </c>
      <c r="F9" s="36">
        <v>0.92</v>
      </c>
      <c r="G9" s="36">
        <v>19.0</v>
      </c>
      <c r="H9" s="36">
        <v>0.72</v>
      </c>
      <c r="I9" s="36">
        <v>13.5</v>
      </c>
      <c r="J9" s="36">
        <v>92.4</v>
      </c>
      <c r="K9" s="36">
        <v>78.0</v>
      </c>
      <c r="L9" s="36">
        <v>60.8</v>
      </c>
      <c r="M9" s="36">
        <v>99.0</v>
      </c>
      <c r="N9" s="36">
        <v>50.0</v>
      </c>
      <c r="O9" s="36">
        <v>19.0</v>
      </c>
      <c r="P9" s="36">
        <v>16.0</v>
      </c>
      <c r="Q9" s="36">
        <v>0.27</v>
      </c>
      <c r="R9" s="36">
        <v>0.87</v>
      </c>
      <c r="S9" s="36">
        <v>2.31</v>
      </c>
      <c r="T9" s="36">
        <v>3.18</v>
      </c>
      <c r="U9" s="21">
        <f t="shared" si="1"/>
        <v>3180</v>
      </c>
      <c r="V9" s="21">
        <f t="shared" si="2"/>
        <v>100</v>
      </c>
    </row>
    <row r="10" ht="14.25" customHeight="1">
      <c r="A10" s="38">
        <v>0.10069444444444445</v>
      </c>
      <c r="B10" s="36">
        <v>7.0</v>
      </c>
      <c r="C10" s="36">
        <v>6.2</v>
      </c>
      <c r="D10" s="36">
        <v>551.0</v>
      </c>
      <c r="E10" s="36">
        <v>501.0</v>
      </c>
      <c r="F10" s="36">
        <v>0.91</v>
      </c>
      <c r="G10" s="36">
        <v>19.0</v>
      </c>
      <c r="H10" s="36">
        <v>0.72</v>
      </c>
      <c r="I10" s="36">
        <v>13.6</v>
      </c>
      <c r="J10" s="36">
        <v>92.4</v>
      </c>
      <c r="K10" s="36">
        <v>78.0</v>
      </c>
      <c r="L10" s="36">
        <v>60.6</v>
      </c>
      <c r="M10" s="36">
        <v>98.0</v>
      </c>
      <c r="N10" s="36">
        <v>50.0</v>
      </c>
      <c r="O10" s="36">
        <v>19.0</v>
      </c>
      <c r="P10" s="36">
        <v>16.0</v>
      </c>
      <c r="Q10" s="36">
        <v>0.28</v>
      </c>
      <c r="R10" s="36">
        <v>0.87</v>
      </c>
      <c r="S10" s="36">
        <v>2.29</v>
      </c>
      <c r="T10" s="36">
        <v>3.17</v>
      </c>
      <c r="U10" s="21">
        <f t="shared" si="1"/>
        <v>3170</v>
      </c>
      <c r="V10" s="21">
        <f t="shared" si="2"/>
        <v>4900</v>
      </c>
    </row>
    <row r="11" ht="14.25" customHeight="1">
      <c r="A11" s="38">
        <v>0.10208333333333333</v>
      </c>
      <c r="B11" s="36">
        <v>8.0</v>
      </c>
      <c r="C11" s="36">
        <v>6.0</v>
      </c>
      <c r="D11" s="36">
        <v>534.0</v>
      </c>
      <c r="E11" s="36">
        <v>496.0</v>
      </c>
      <c r="F11" s="36">
        <v>0.93</v>
      </c>
      <c r="G11" s="36">
        <v>19.0</v>
      </c>
      <c r="H11" s="36">
        <v>0.69</v>
      </c>
      <c r="I11" s="36">
        <v>13.5</v>
      </c>
      <c r="J11" s="36">
        <v>92.5</v>
      </c>
      <c r="K11" s="36">
        <v>79.0</v>
      </c>
      <c r="L11" s="36">
        <v>60.3</v>
      </c>
      <c r="M11" s="36">
        <v>98.0</v>
      </c>
      <c r="N11" s="36">
        <v>51.0</v>
      </c>
      <c r="O11" s="36">
        <v>19.0</v>
      </c>
      <c r="P11" s="36">
        <v>16.0</v>
      </c>
      <c r="Q11" s="36">
        <v>0.28</v>
      </c>
      <c r="R11" s="36">
        <v>0.86</v>
      </c>
      <c r="S11" s="36">
        <v>2.24</v>
      </c>
      <c r="T11" s="36">
        <v>3.1</v>
      </c>
      <c r="U11" s="21">
        <f t="shared" si="1"/>
        <v>3100</v>
      </c>
      <c r="V11" s="21">
        <f t="shared" si="2"/>
        <v>3600</v>
      </c>
    </row>
    <row r="12" ht="14.25" customHeight="1">
      <c r="A12" s="38">
        <v>0.10416666666666667</v>
      </c>
      <c r="B12" s="36">
        <v>9.0</v>
      </c>
      <c r="C12" s="36">
        <v>6.3</v>
      </c>
      <c r="D12" s="36">
        <v>567.0</v>
      </c>
      <c r="E12" s="36">
        <v>519.0</v>
      </c>
      <c r="F12" s="36">
        <v>0.91</v>
      </c>
      <c r="G12" s="36">
        <v>20.0</v>
      </c>
      <c r="H12" s="36">
        <v>0.71</v>
      </c>
      <c r="I12" s="36">
        <v>14.0</v>
      </c>
      <c r="J12" s="36">
        <v>92.2</v>
      </c>
      <c r="K12" s="36">
        <v>80.0</v>
      </c>
      <c r="L12" s="36">
        <v>60.1</v>
      </c>
      <c r="M12" s="36">
        <v>97.0</v>
      </c>
      <c r="N12" s="36">
        <v>51.0</v>
      </c>
      <c r="O12" s="36">
        <v>20.0</v>
      </c>
      <c r="P12" s="36">
        <v>17.0</v>
      </c>
      <c r="Q12" s="36">
        <v>0.28</v>
      </c>
      <c r="R12" s="36">
        <v>0.86</v>
      </c>
      <c r="S12" s="36">
        <v>2.19</v>
      </c>
      <c r="T12" s="36">
        <v>3.04</v>
      </c>
      <c r="U12" s="21">
        <f t="shared" si="1"/>
        <v>3040</v>
      </c>
      <c r="V12" s="21">
        <f t="shared" si="2"/>
        <v>10000</v>
      </c>
    </row>
    <row r="13" ht="14.25" customHeight="1">
      <c r="A13" s="38">
        <v>0.10486111111111111</v>
      </c>
      <c r="B13" s="36">
        <v>9.0</v>
      </c>
      <c r="C13" s="36">
        <v>7.1</v>
      </c>
      <c r="D13" s="36">
        <v>632.0</v>
      </c>
      <c r="E13" s="36">
        <v>558.0</v>
      </c>
      <c r="F13" s="36">
        <v>0.88</v>
      </c>
      <c r="G13" s="36">
        <v>20.0</v>
      </c>
      <c r="H13" s="36">
        <v>0.73</v>
      </c>
      <c r="I13" s="36">
        <v>14.9</v>
      </c>
      <c r="J13" s="36">
        <v>91.6</v>
      </c>
      <c r="K13" s="36">
        <v>78.0</v>
      </c>
      <c r="L13" s="36">
        <v>60.9</v>
      </c>
      <c r="M13" s="36">
        <v>96.0</v>
      </c>
      <c r="N13" s="36">
        <v>51.0</v>
      </c>
      <c r="O13" s="36">
        <v>20.0</v>
      </c>
      <c r="P13" s="36">
        <v>19.0</v>
      </c>
      <c r="Q13" s="36">
        <v>0.25</v>
      </c>
      <c r="R13" s="36">
        <v>0.75</v>
      </c>
      <c r="S13" s="36">
        <v>2.2</v>
      </c>
      <c r="T13" s="36">
        <v>2.94</v>
      </c>
      <c r="U13" s="21">
        <f t="shared" si="1"/>
        <v>2940</v>
      </c>
      <c r="V13" s="21">
        <f t="shared" si="2"/>
        <v>62500</v>
      </c>
    </row>
    <row r="14" ht="14.25" customHeight="1">
      <c r="A14" s="38">
        <v>0.1076388888888889</v>
      </c>
      <c r="B14" s="36">
        <v>12.0</v>
      </c>
      <c r="C14" s="36">
        <v>8.1</v>
      </c>
      <c r="D14" s="36">
        <v>726.0</v>
      </c>
      <c r="E14" s="36">
        <v>634.0</v>
      </c>
      <c r="F14" s="36">
        <v>0.87</v>
      </c>
      <c r="G14" s="36">
        <v>22.0</v>
      </c>
      <c r="H14" s="36">
        <v>0.76</v>
      </c>
      <c r="I14" s="36">
        <v>16.9</v>
      </c>
      <c r="J14" s="36">
        <v>90.5</v>
      </c>
      <c r="K14" s="36">
        <v>87.0</v>
      </c>
      <c r="L14" s="36">
        <v>56.2</v>
      </c>
      <c r="M14" s="36">
        <v>96.0</v>
      </c>
      <c r="N14" s="36">
        <v>51.0</v>
      </c>
      <c r="O14" s="36">
        <v>22.0</v>
      </c>
      <c r="P14" s="36">
        <v>22.0</v>
      </c>
      <c r="Q14" s="36">
        <v>0.3</v>
      </c>
      <c r="R14" s="36">
        <v>0.81</v>
      </c>
      <c r="S14" s="36">
        <v>1.88</v>
      </c>
      <c r="T14" s="36">
        <v>2.69</v>
      </c>
      <c r="U14" s="21">
        <f t="shared" si="1"/>
        <v>2690</v>
      </c>
      <c r="V14" s="21">
        <f t="shared" si="2"/>
        <v>8100</v>
      </c>
    </row>
    <row r="15" ht="14.25" customHeight="1">
      <c r="A15" s="38">
        <v>0.11041666666666666</v>
      </c>
      <c r="B15" s="36">
        <v>14.0</v>
      </c>
      <c r="C15" s="36">
        <v>8.9</v>
      </c>
      <c r="D15" s="36">
        <v>797.0</v>
      </c>
      <c r="E15" s="36">
        <v>681.0</v>
      </c>
      <c r="F15" s="36">
        <v>0.85</v>
      </c>
      <c r="G15" s="36">
        <v>23.0</v>
      </c>
      <c r="H15" s="36">
        <v>0.77</v>
      </c>
      <c r="I15" s="36">
        <v>17.8</v>
      </c>
      <c r="J15" s="36">
        <v>90.0</v>
      </c>
      <c r="K15" s="36">
        <v>87.0</v>
      </c>
      <c r="L15" s="36">
        <v>56.2</v>
      </c>
      <c r="M15" s="36">
        <v>96.0</v>
      </c>
      <c r="N15" s="36">
        <v>51.0</v>
      </c>
      <c r="O15" s="36">
        <v>23.0</v>
      </c>
      <c r="P15" s="36">
        <v>24.0</v>
      </c>
      <c r="Q15" s="36">
        <v>0.29</v>
      </c>
      <c r="R15" s="36">
        <v>0.75</v>
      </c>
      <c r="S15" s="36">
        <v>1.85</v>
      </c>
      <c r="T15" s="36">
        <v>2.6</v>
      </c>
      <c r="U15" s="21">
        <f t="shared" si="1"/>
        <v>2600</v>
      </c>
      <c r="V15" s="21">
        <f t="shared" si="2"/>
        <v>22500</v>
      </c>
    </row>
    <row r="16" ht="14.25" customHeight="1">
      <c r="A16" s="38">
        <v>0.1125</v>
      </c>
      <c r="B16" s="36">
        <v>15.0</v>
      </c>
      <c r="C16" s="36">
        <v>8.9</v>
      </c>
      <c r="D16" s="36">
        <v>800.0</v>
      </c>
      <c r="E16" s="36">
        <v>689.0</v>
      </c>
      <c r="F16" s="36">
        <v>0.86</v>
      </c>
      <c r="G16" s="36">
        <v>22.0</v>
      </c>
      <c r="H16" s="36">
        <v>0.82</v>
      </c>
      <c r="I16" s="36">
        <v>17.8</v>
      </c>
      <c r="J16" s="36">
        <v>90.0</v>
      </c>
      <c r="K16" s="36">
        <v>110.0</v>
      </c>
      <c r="L16" s="36">
        <v>44.8</v>
      </c>
      <c r="M16" s="36">
        <v>96.0</v>
      </c>
      <c r="N16" s="36">
        <v>52.0</v>
      </c>
      <c r="O16" s="36">
        <v>22.0</v>
      </c>
      <c r="P16" s="36">
        <v>24.0</v>
      </c>
      <c r="Q16" s="36">
        <v>0.28</v>
      </c>
      <c r="R16" s="36">
        <v>0.77</v>
      </c>
      <c r="S16" s="36">
        <v>1.98</v>
      </c>
      <c r="T16" s="36">
        <v>2.75</v>
      </c>
      <c r="U16" s="21">
        <f t="shared" si="1"/>
        <v>2750</v>
      </c>
      <c r="V16" s="21">
        <f t="shared" si="2"/>
        <v>400</v>
      </c>
    </row>
    <row r="17" ht="14.25" customHeight="1">
      <c r="A17" s="38">
        <v>0.11458333333333333</v>
      </c>
      <c r="B17" s="36">
        <v>17.0</v>
      </c>
      <c r="C17" s="36">
        <v>9.6</v>
      </c>
      <c r="D17" s="36">
        <v>862.0</v>
      </c>
      <c r="E17" s="36">
        <v>743.0</v>
      </c>
      <c r="F17" s="36">
        <v>0.86</v>
      </c>
      <c r="G17" s="36">
        <v>22.0</v>
      </c>
      <c r="H17" s="36">
        <v>0.86</v>
      </c>
      <c r="I17" s="36">
        <v>18.9</v>
      </c>
      <c r="J17" s="36">
        <v>89.4</v>
      </c>
      <c r="K17" s="36">
        <v>110.0</v>
      </c>
      <c r="L17" s="36">
        <v>44.8</v>
      </c>
      <c r="M17" s="36">
        <v>96.0</v>
      </c>
      <c r="N17" s="36">
        <v>52.0</v>
      </c>
      <c r="O17" s="36">
        <v>22.0</v>
      </c>
      <c r="P17" s="36">
        <v>26.0</v>
      </c>
      <c r="Q17" s="36">
        <v>0.29</v>
      </c>
      <c r="R17" s="36">
        <v>0.79</v>
      </c>
      <c r="S17" s="36">
        <v>1.94</v>
      </c>
      <c r="T17" s="36">
        <v>2.73</v>
      </c>
      <c r="U17" s="21">
        <f t="shared" si="1"/>
        <v>2730</v>
      </c>
      <c r="V17" s="21">
        <f t="shared" si="2"/>
        <v>10000</v>
      </c>
    </row>
    <row r="18" ht="14.25" customHeight="1">
      <c r="A18" s="38">
        <v>0.11597222222222223</v>
      </c>
      <c r="B18" s="36">
        <v>18.0</v>
      </c>
      <c r="C18" s="36">
        <v>9.9</v>
      </c>
      <c r="D18" s="36">
        <v>887.0</v>
      </c>
      <c r="E18" s="36">
        <v>769.0</v>
      </c>
      <c r="F18" s="36">
        <v>0.87</v>
      </c>
      <c r="G18" s="36">
        <v>23.0</v>
      </c>
      <c r="H18" s="36">
        <v>0.86</v>
      </c>
      <c r="I18" s="36">
        <v>19.6</v>
      </c>
      <c r="J18" s="36">
        <v>89.0</v>
      </c>
      <c r="K18" s="36">
        <v>114.0</v>
      </c>
      <c r="L18" s="36">
        <v>42.5</v>
      </c>
      <c r="M18" s="36">
        <v>96.0</v>
      </c>
      <c r="N18" s="36">
        <v>51.0</v>
      </c>
      <c r="O18" s="36">
        <v>23.0</v>
      </c>
      <c r="P18" s="36">
        <v>26.0</v>
      </c>
      <c r="Q18" s="36">
        <v>0.3</v>
      </c>
      <c r="R18" s="36">
        <v>0.8</v>
      </c>
      <c r="S18" s="36">
        <v>1.83</v>
      </c>
      <c r="T18" s="36">
        <v>2.63</v>
      </c>
      <c r="U18" s="21">
        <f t="shared" si="1"/>
        <v>2630</v>
      </c>
      <c r="V18" s="21">
        <f t="shared" si="2"/>
        <v>1600</v>
      </c>
    </row>
    <row r="19" ht="14.25" customHeight="1">
      <c r="A19" s="38">
        <v>0.11805555555555555</v>
      </c>
      <c r="B19" s="36">
        <v>20.0</v>
      </c>
      <c r="C19" s="36">
        <v>9.9</v>
      </c>
      <c r="D19" s="36">
        <v>882.0</v>
      </c>
      <c r="E19" s="36">
        <v>772.0</v>
      </c>
      <c r="F19" s="36">
        <v>0.87</v>
      </c>
      <c r="G19" s="36">
        <v>22.0</v>
      </c>
      <c r="H19" s="36">
        <v>0.87</v>
      </c>
      <c r="I19" s="36">
        <v>19.6</v>
      </c>
      <c r="J19" s="36">
        <v>89.0</v>
      </c>
      <c r="K19" s="36">
        <v>117.0</v>
      </c>
      <c r="L19" s="36">
        <v>41.2</v>
      </c>
      <c r="M19" s="36">
        <v>97.0</v>
      </c>
      <c r="N19" s="36">
        <v>51.0</v>
      </c>
      <c r="O19" s="36">
        <v>22.0</v>
      </c>
      <c r="P19" s="36">
        <v>26.0</v>
      </c>
      <c r="Q19" s="36">
        <v>0.34</v>
      </c>
      <c r="R19" s="36">
        <v>0.9</v>
      </c>
      <c r="S19" s="36">
        <v>1.78</v>
      </c>
      <c r="T19" s="36">
        <v>2.67</v>
      </c>
      <c r="U19" s="21">
        <f t="shared" si="1"/>
        <v>2670</v>
      </c>
      <c r="V19" s="21">
        <f t="shared" si="2"/>
        <v>78400</v>
      </c>
    </row>
    <row r="20" ht="14.25" customHeight="1">
      <c r="A20" s="38">
        <v>0.12083333333333333</v>
      </c>
      <c r="B20" s="36">
        <v>21.0</v>
      </c>
      <c r="C20" s="36">
        <v>9.6</v>
      </c>
      <c r="D20" s="36">
        <v>855.0</v>
      </c>
      <c r="E20" s="36">
        <v>754.0</v>
      </c>
      <c r="F20" s="36">
        <v>0.88</v>
      </c>
      <c r="G20" s="36">
        <v>20.0</v>
      </c>
      <c r="H20" s="36">
        <v>0.94</v>
      </c>
      <c r="I20" s="36">
        <v>19.0</v>
      </c>
      <c r="J20" s="36">
        <v>89.3</v>
      </c>
      <c r="K20" s="36">
        <v>117.0</v>
      </c>
      <c r="L20" s="36">
        <v>41.2</v>
      </c>
      <c r="M20" s="36">
        <v>97.0</v>
      </c>
      <c r="N20" s="36">
        <v>51.0</v>
      </c>
      <c r="O20" s="36">
        <v>20.0</v>
      </c>
      <c r="P20" s="36">
        <v>25.0</v>
      </c>
      <c r="Q20" s="36">
        <v>0.34</v>
      </c>
      <c r="R20" s="36">
        <v>1.0</v>
      </c>
      <c r="S20" s="36">
        <v>1.95</v>
      </c>
      <c r="T20" s="36">
        <v>2.95</v>
      </c>
      <c r="U20" s="21">
        <f t="shared" si="1"/>
        <v>2950</v>
      </c>
      <c r="V20" s="21">
        <f t="shared" si="2"/>
        <v>2500</v>
      </c>
    </row>
    <row r="21" ht="14.25" customHeight="1">
      <c r="A21" s="38">
        <v>0.12291666666666666</v>
      </c>
      <c r="B21" s="36">
        <v>23.0</v>
      </c>
      <c r="C21" s="36">
        <v>9.3</v>
      </c>
      <c r="D21" s="36">
        <v>833.0</v>
      </c>
      <c r="E21" s="36">
        <v>748.0</v>
      </c>
      <c r="F21" s="36">
        <v>0.9</v>
      </c>
      <c r="G21" s="36">
        <v>21.0</v>
      </c>
      <c r="H21" s="36">
        <v>0.92</v>
      </c>
      <c r="I21" s="36">
        <v>19.0</v>
      </c>
      <c r="J21" s="36">
        <v>89.4</v>
      </c>
      <c r="K21" s="36">
        <v>115.0</v>
      </c>
      <c r="L21" s="36">
        <v>42.3</v>
      </c>
      <c r="M21" s="36">
        <v>98.0</v>
      </c>
      <c r="N21" s="36">
        <v>51.0</v>
      </c>
      <c r="O21" s="36">
        <v>21.0</v>
      </c>
      <c r="P21" s="36">
        <v>25.0</v>
      </c>
      <c r="Q21" s="36">
        <v>0.34</v>
      </c>
      <c r="R21" s="36">
        <v>0.98</v>
      </c>
      <c r="S21" s="36">
        <v>1.92</v>
      </c>
      <c r="T21" s="36">
        <v>2.9</v>
      </c>
      <c r="U21" s="21">
        <f t="shared" si="1"/>
        <v>2900</v>
      </c>
      <c r="V21" s="21">
        <f t="shared" si="2"/>
        <v>36100</v>
      </c>
    </row>
    <row r="22" ht="14.25" customHeight="1">
      <c r="A22" s="38">
        <v>0.12569444444444444</v>
      </c>
      <c r="B22" s="36">
        <v>25.0</v>
      </c>
      <c r="C22" s="36">
        <v>8.9</v>
      </c>
      <c r="D22" s="36">
        <v>799.0</v>
      </c>
      <c r="E22" s="36">
        <v>719.0</v>
      </c>
      <c r="F22" s="36">
        <v>0.9</v>
      </c>
      <c r="G22" s="36">
        <v>19.0</v>
      </c>
      <c r="H22" s="36">
        <v>0.93</v>
      </c>
      <c r="I22" s="36">
        <v>18.1</v>
      </c>
      <c r="J22" s="36">
        <v>89.9</v>
      </c>
      <c r="K22" s="36">
        <v>112.0</v>
      </c>
      <c r="L22" s="36">
        <v>43.7</v>
      </c>
      <c r="M22" s="36">
        <v>98.0</v>
      </c>
      <c r="N22" s="36">
        <v>51.0</v>
      </c>
      <c r="O22" s="36">
        <v>19.0</v>
      </c>
      <c r="P22" s="36">
        <v>24.0</v>
      </c>
      <c r="Q22" s="36">
        <v>0.31</v>
      </c>
      <c r="R22" s="36">
        <v>0.95</v>
      </c>
      <c r="S22" s="36">
        <v>2.14</v>
      </c>
      <c r="T22" s="36">
        <v>3.09</v>
      </c>
      <c r="U22" s="21">
        <f t="shared" si="1"/>
        <v>3090</v>
      </c>
      <c r="V22" s="21">
        <f t="shared" si="2"/>
        <v>400</v>
      </c>
    </row>
    <row r="23" ht="14.25" customHeight="1">
      <c r="A23" s="38">
        <v>0.12777777777777777</v>
      </c>
      <c r="B23" s="36">
        <v>26.0</v>
      </c>
      <c r="C23" s="36">
        <v>9.0</v>
      </c>
      <c r="D23" s="36">
        <v>808.0</v>
      </c>
      <c r="E23" s="36">
        <v>731.0</v>
      </c>
      <c r="F23" s="36">
        <v>0.9</v>
      </c>
      <c r="G23" s="36">
        <v>20.0</v>
      </c>
      <c r="H23" s="36">
        <v>0.94</v>
      </c>
      <c r="I23" s="36">
        <v>18.3</v>
      </c>
      <c r="J23" s="36">
        <v>89.7</v>
      </c>
      <c r="K23" s="36">
        <v>110.0</v>
      </c>
      <c r="L23" s="36">
        <v>44.8</v>
      </c>
      <c r="M23" s="36">
        <v>98.0</v>
      </c>
      <c r="N23" s="36">
        <v>51.0</v>
      </c>
      <c r="O23" s="36">
        <v>20.0</v>
      </c>
      <c r="P23" s="36">
        <v>24.0</v>
      </c>
      <c r="Q23" s="36">
        <v>0.32</v>
      </c>
      <c r="R23" s="36">
        <v>0.98</v>
      </c>
      <c r="S23" s="36">
        <v>2.09</v>
      </c>
      <c r="T23" s="36">
        <v>3.07</v>
      </c>
      <c r="U23" s="21">
        <f t="shared" si="1"/>
        <v>3070</v>
      </c>
      <c r="V23" s="21">
        <f t="shared" si="2"/>
        <v>44100</v>
      </c>
    </row>
    <row r="24" ht="14.25" customHeight="1">
      <c r="A24" s="38">
        <v>0.13055555555555556</v>
      </c>
      <c r="B24" s="36">
        <v>28.0</v>
      </c>
      <c r="C24" s="36">
        <v>8.4</v>
      </c>
      <c r="D24" s="36">
        <v>752.0</v>
      </c>
      <c r="E24" s="36">
        <v>696.0</v>
      </c>
      <c r="F24" s="36">
        <v>0.93</v>
      </c>
      <c r="G24" s="36">
        <v>18.0</v>
      </c>
      <c r="H24" s="36">
        <v>0.95</v>
      </c>
      <c r="I24" s="36">
        <v>17.4</v>
      </c>
      <c r="J24" s="36">
        <v>90.3</v>
      </c>
      <c r="K24" s="36">
        <v>106.0</v>
      </c>
      <c r="L24" s="36">
        <v>47.0</v>
      </c>
      <c r="M24" s="36">
        <v>98.0</v>
      </c>
      <c r="N24" s="36">
        <v>51.0</v>
      </c>
      <c r="O24" s="36">
        <v>18.0</v>
      </c>
      <c r="P24" s="36">
        <v>22.0</v>
      </c>
      <c r="Q24" s="36">
        <v>0.3</v>
      </c>
      <c r="R24" s="36">
        <v>1.0</v>
      </c>
      <c r="S24" s="36">
        <v>2.29</v>
      </c>
      <c r="T24" s="36">
        <v>3.28</v>
      </c>
      <c r="U24" s="21">
        <f t="shared" si="1"/>
        <v>3280</v>
      </c>
      <c r="V24" s="21">
        <f t="shared" si="2"/>
        <v>22500</v>
      </c>
    </row>
    <row r="25" ht="14.25" customHeight="1">
      <c r="A25" s="38">
        <v>0.1326388888888889</v>
      </c>
      <c r="B25" s="36">
        <v>30.0</v>
      </c>
      <c r="C25" s="36">
        <v>8.1</v>
      </c>
      <c r="D25" s="36">
        <v>725.0</v>
      </c>
      <c r="E25" s="36">
        <v>671.0</v>
      </c>
      <c r="F25" s="36">
        <v>0.92</v>
      </c>
      <c r="G25" s="36">
        <v>17.0</v>
      </c>
      <c r="H25" s="36">
        <v>0.95</v>
      </c>
      <c r="I25" s="36">
        <v>16.6</v>
      </c>
      <c r="J25" s="36">
        <v>90.7</v>
      </c>
      <c r="K25" s="36">
        <v>101.0</v>
      </c>
      <c r="L25" s="36">
        <v>49.1</v>
      </c>
      <c r="M25" s="36">
        <v>97.0</v>
      </c>
      <c r="N25" s="36">
        <v>52.0</v>
      </c>
      <c r="O25" s="36">
        <v>17.0</v>
      </c>
      <c r="P25" s="36">
        <v>22.0</v>
      </c>
      <c r="Q25" s="36">
        <v>0.29</v>
      </c>
      <c r="R25" s="36">
        <v>1.01</v>
      </c>
      <c r="S25" s="36">
        <v>2.42</v>
      </c>
      <c r="T25" s="36">
        <v>3.43</v>
      </c>
      <c r="U25" s="21">
        <f t="shared" si="1"/>
        <v>3430</v>
      </c>
      <c r="V25" s="21">
        <f t="shared" si="2"/>
        <v>1600</v>
      </c>
    </row>
    <row r="26" ht="14.25" customHeight="1">
      <c r="A26" s="38">
        <v>0.13472222222222222</v>
      </c>
      <c r="B26" s="36">
        <v>31.0</v>
      </c>
      <c r="C26" s="36">
        <v>7.7</v>
      </c>
      <c r="D26" s="36">
        <v>693.0</v>
      </c>
      <c r="E26" s="36">
        <v>641.0</v>
      </c>
      <c r="F26" s="36">
        <v>0.93</v>
      </c>
      <c r="G26" s="36">
        <v>18.0</v>
      </c>
      <c r="H26" s="36">
        <v>0.91</v>
      </c>
      <c r="I26" s="36">
        <v>16.1</v>
      </c>
      <c r="J26" s="36">
        <v>91.0</v>
      </c>
      <c r="K26" s="36">
        <v>98.0</v>
      </c>
      <c r="L26" s="36">
        <v>50.8</v>
      </c>
      <c r="M26" s="36">
        <v>97.0</v>
      </c>
      <c r="N26" s="36">
        <v>52.0</v>
      </c>
      <c r="O26" s="36">
        <v>18.0</v>
      </c>
      <c r="P26" s="36">
        <v>21.0</v>
      </c>
      <c r="Q26" s="36">
        <v>0.28</v>
      </c>
      <c r="R26" s="36">
        <v>0.97</v>
      </c>
      <c r="S26" s="36">
        <v>2.42</v>
      </c>
      <c r="T26" s="36">
        <v>3.39</v>
      </c>
      <c r="U26" s="21">
        <f t="shared" si="1"/>
        <v>3390</v>
      </c>
      <c r="V26" s="21">
        <f t="shared" si="2"/>
        <v>19600</v>
      </c>
    </row>
    <row r="27" ht="14.25" customHeight="1">
      <c r="A27" s="38">
        <v>0.13680555555555557</v>
      </c>
      <c r="B27" s="36">
        <v>33.0</v>
      </c>
      <c r="C27" s="36">
        <v>7.8</v>
      </c>
      <c r="D27" s="36">
        <v>695.0</v>
      </c>
      <c r="E27" s="36">
        <v>642.0</v>
      </c>
      <c r="F27" s="36">
        <v>0.92</v>
      </c>
      <c r="G27" s="36">
        <v>18.0</v>
      </c>
      <c r="H27" s="36">
        <v>0.88</v>
      </c>
      <c r="I27" s="36">
        <v>16.2</v>
      </c>
      <c r="J27" s="36">
        <v>90.9</v>
      </c>
      <c r="K27" s="36">
        <v>94.0</v>
      </c>
      <c r="L27" s="36">
        <v>52.7</v>
      </c>
      <c r="M27" s="36">
        <v>98.0</v>
      </c>
      <c r="N27" s="36">
        <v>51.0</v>
      </c>
      <c r="O27" s="36">
        <v>18.0</v>
      </c>
      <c r="P27" s="36">
        <v>21.0</v>
      </c>
      <c r="Q27" s="36">
        <v>0.3</v>
      </c>
      <c r="R27" s="36">
        <v>0.96</v>
      </c>
      <c r="S27" s="36">
        <v>2.29</v>
      </c>
      <c r="T27" s="36">
        <v>3.25</v>
      </c>
      <c r="U27" s="21">
        <f t="shared" si="1"/>
        <v>3250</v>
      </c>
      <c r="V27" s="21">
        <f t="shared" si="2"/>
        <v>0</v>
      </c>
    </row>
    <row r="28" ht="14.25" customHeight="1">
      <c r="A28" s="38">
        <v>0.1388888888888889</v>
      </c>
      <c r="B28" s="36">
        <v>34.0</v>
      </c>
      <c r="C28" s="36">
        <v>7.6</v>
      </c>
      <c r="D28" s="36">
        <v>684.0</v>
      </c>
      <c r="E28" s="36">
        <v>634.0</v>
      </c>
      <c r="F28" s="36">
        <v>0.93</v>
      </c>
      <c r="G28" s="36">
        <v>18.0</v>
      </c>
      <c r="H28" s="36">
        <v>0.87</v>
      </c>
      <c r="I28" s="36">
        <v>16.1</v>
      </c>
      <c r="J28" s="36">
        <v>91.0</v>
      </c>
      <c r="K28" s="36">
        <v>92.0</v>
      </c>
      <c r="L28" s="36">
        <v>53.6</v>
      </c>
      <c r="M28" s="36">
        <v>98.0</v>
      </c>
      <c r="N28" s="36">
        <v>51.0</v>
      </c>
      <c r="O28" s="36">
        <v>18.0</v>
      </c>
      <c r="P28" s="36">
        <v>20.0</v>
      </c>
      <c r="Q28" s="36">
        <v>0.29</v>
      </c>
      <c r="R28" s="36">
        <v>0.96</v>
      </c>
      <c r="S28" s="36">
        <v>2.29</v>
      </c>
      <c r="T28" s="36">
        <v>3.25</v>
      </c>
      <c r="U28" s="21">
        <f t="shared" si="1"/>
        <v>3250</v>
      </c>
      <c r="V28" s="21">
        <f t="shared" si="2"/>
        <v>0</v>
      </c>
    </row>
    <row r="29" ht="14.25" customHeight="1">
      <c r="A29" s="38">
        <v>0.14097222222222222</v>
      </c>
      <c r="B29" s="36">
        <v>36.0</v>
      </c>
      <c r="C29" s="36">
        <v>7.6</v>
      </c>
      <c r="D29" s="36">
        <v>684.0</v>
      </c>
      <c r="E29" s="36">
        <v>634.0</v>
      </c>
      <c r="F29" s="36">
        <v>0.93</v>
      </c>
      <c r="G29" s="36">
        <v>18.0</v>
      </c>
      <c r="H29" s="36">
        <v>0.87</v>
      </c>
      <c r="I29" s="36">
        <v>16.1</v>
      </c>
      <c r="J29" s="36">
        <v>91.0</v>
      </c>
      <c r="K29" s="36">
        <v>92.0</v>
      </c>
      <c r="L29" s="36">
        <v>53.6</v>
      </c>
      <c r="M29" s="36">
        <v>98.0</v>
      </c>
      <c r="N29" s="36">
        <v>51.0</v>
      </c>
      <c r="O29" s="36">
        <v>18.0</v>
      </c>
      <c r="P29" s="36">
        <v>20.0</v>
      </c>
      <c r="Q29" s="36">
        <v>0.29</v>
      </c>
      <c r="R29" s="36">
        <v>0.96</v>
      </c>
      <c r="S29" s="36">
        <v>2.29</v>
      </c>
      <c r="T29" s="36">
        <v>3.25</v>
      </c>
      <c r="U29" s="21">
        <f t="shared" si="1"/>
        <v>3250</v>
      </c>
      <c r="V29" s="21">
        <f t="shared" si="2"/>
        <v>2500</v>
      </c>
    </row>
    <row r="30" ht="14.25" customHeight="1">
      <c r="A30" s="38">
        <v>0.14305555555555555</v>
      </c>
      <c r="B30" s="36">
        <v>37.0</v>
      </c>
      <c r="C30" s="36">
        <v>7.4</v>
      </c>
      <c r="D30" s="36">
        <v>659.0</v>
      </c>
      <c r="E30" s="36">
        <v>621.0</v>
      </c>
      <c r="F30" s="36">
        <v>0.94</v>
      </c>
      <c r="G30" s="36">
        <v>19.0</v>
      </c>
      <c r="H30" s="36">
        <v>0.85</v>
      </c>
      <c r="I30" s="36">
        <v>15.9</v>
      </c>
      <c r="J30" s="36">
        <v>91.1</v>
      </c>
      <c r="K30" s="36">
        <v>89.0</v>
      </c>
      <c r="L30" s="36">
        <v>55.3</v>
      </c>
      <c r="M30" s="36">
        <v>99.0</v>
      </c>
      <c r="N30" s="36">
        <v>51.0</v>
      </c>
      <c r="O30" s="36">
        <v>19.0</v>
      </c>
      <c r="P30" s="36">
        <v>20.0</v>
      </c>
      <c r="Q30" s="36">
        <v>0.3</v>
      </c>
      <c r="R30" s="36">
        <v>0.95</v>
      </c>
      <c r="S30" s="36">
        <v>2.24</v>
      </c>
      <c r="T30" s="36">
        <v>3.2</v>
      </c>
      <c r="U30" s="21">
        <f t="shared" si="1"/>
        <v>3200</v>
      </c>
      <c r="V30" s="21">
        <f t="shared" si="2"/>
        <v>36100</v>
      </c>
    </row>
    <row r="31" ht="14.25" customHeight="1">
      <c r="A31" s="38">
        <v>0.1451388888888889</v>
      </c>
      <c r="B31" s="36">
        <v>39.0</v>
      </c>
      <c r="C31" s="36">
        <v>7.3</v>
      </c>
      <c r="D31" s="36">
        <v>654.0</v>
      </c>
      <c r="E31" s="36">
        <v>615.0</v>
      </c>
      <c r="F31" s="36">
        <v>0.94</v>
      </c>
      <c r="G31" s="36">
        <v>20.0</v>
      </c>
      <c r="H31" s="36">
        <v>0.81</v>
      </c>
      <c r="I31" s="36">
        <v>16.2</v>
      </c>
      <c r="J31" s="36">
        <v>90.9</v>
      </c>
      <c r="K31" s="36">
        <v>90.0</v>
      </c>
      <c r="L31" s="36">
        <v>54.9</v>
      </c>
      <c r="M31" s="36">
        <v>100.0</v>
      </c>
      <c r="N31" s="36">
        <v>51.0</v>
      </c>
      <c r="O31" s="36">
        <v>20.0</v>
      </c>
      <c r="P31" s="36">
        <v>19.0</v>
      </c>
      <c r="Q31" s="36">
        <v>0.3</v>
      </c>
      <c r="R31" s="36">
        <v>0.92</v>
      </c>
      <c r="S31" s="36">
        <v>2.09</v>
      </c>
      <c r="T31" s="36">
        <v>3.01</v>
      </c>
      <c r="U31" s="21">
        <f t="shared" si="1"/>
        <v>3010</v>
      </c>
      <c r="V31" s="21">
        <f t="shared" si="2"/>
        <v>10000</v>
      </c>
    </row>
    <row r="32" ht="14.25" customHeight="1">
      <c r="A32" s="38">
        <v>0.14722222222222223</v>
      </c>
      <c r="B32" s="36">
        <v>40.0</v>
      </c>
      <c r="C32" s="36">
        <v>7.2</v>
      </c>
      <c r="D32" s="36">
        <v>646.0</v>
      </c>
      <c r="E32" s="36">
        <v>614.0</v>
      </c>
      <c r="F32" s="36">
        <v>0.95</v>
      </c>
      <c r="G32" s="36">
        <v>21.0</v>
      </c>
      <c r="H32" s="36">
        <v>0.79</v>
      </c>
      <c r="I32" s="36">
        <v>16.3</v>
      </c>
      <c r="J32" s="36">
        <v>90.8</v>
      </c>
      <c r="K32" s="36">
        <v>89.0</v>
      </c>
      <c r="L32" s="36">
        <v>55.5</v>
      </c>
      <c r="M32" s="36">
        <v>101.0</v>
      </c>
      <c r="N32" s="36">
        <v>50.0</v>
      </c>
      <c r="O32" s="36">
        <v>21.0</v>
      </c>
      <c r="P32" s="36">
        <v>19.0</v>
      </c>
      <c r="Q32" s="36">
        <v>0.31</v>
      </c>
      <c r="R32" s="36">
        <v>0.91</v>
      </c>
      <c r="S32" s="36">
        <v>2.0</v>
      </c>
      <c r="T32" s="36">
        <v>2.91</v>
      </c>
      <c r="U32" s="21">
        <f t="shared" si="1"/>
        <v>2910</v>
      </c>
      <c r="V32" s="21">
        <f t="shared" si="2"/>
        <v>100</v>
      </c>
    </row>
    <row r="33" ht="14.25" customHeight="1">
      <c r="A33" s="38">
        <v>0.1486111111111111</v>
      </c>
      <c r="B33" s="36">
        <v>41.0</v>
      </c>
      <c r="C33" s="36">
        <v>7.2</v>
      </c>
      <c r="D33" s="36">
        <v>644.0</v>
      </c>
      <c r="E33" s="36">
        <v>618.0</v>
      </c>
      <c r="F33" s="36">
        <v>0.96</v>
      </c>
      <c r="G33" s="36">
        <v>21.0</v>
      </c>
      <c r="H33" s="36">
        <v>0.8</v>
      </c>
      <c r="I33" s="36">
        <v>16.5</v>
      </c>
      <c r="J33" s="36">
        <v>90.8</v>
      </c>
      <c r="K33" s="36">
        <v>83.0</v>
      </c>
      <c r="L33" s="36">
        <v>58.2</v>
      </c>
      <c r="M33" s="36">
        <v>101.0</v>
      </c>
      <c r="N33" s="36">
        <v>50.0</v>
      </c>
      <c r="O33" s="36">
        <v>21.0</v>
      </c>
      <c r="P33" s="36">
        <v>19.0</v>
      </c>
      <c r="Q33" s="36">
        <v>0.31</v>
      </c>
      <c r="R33" s="36">
        <v>0.9</v>
      </c>
      <c r="S33" s="36">
        <v>2.0</v>
      </c>
      <c r="T33" s="36">
        <v>2.9</v>
      </c>
      <c r="U33" s="21">
        <f t="shared" si="1"/>
        <v>2900</v>
      </c>
      <c r="V33" s="21">
        <f t="shared" si="2"/>
        <v>2500</v>
      </c>
    </row>
    <row r="34" ht="14.25" customHeight="1">
      <c r="A34" s="38">
        <v>0.15069444444444444</v>
      </c>
      <c r="B34" s="36">
        <v>43.0</v>
      </c>
      <c r="C34" s="36">
        <v>6.9</v>
      </c>
      <c r="D34" s="36">
        <v>615.0</v>
      </c>
      <c r="E34" s="36">
        <v>596.0</v>
      </c>
      <c r="F34" s="36">
        <v>0.97</v>
      </c>
      <c r="G34" s="36">
        <v>21.0</v>
      </c>
      <c r="H34" s="36">
        <v>0.77</v>
      </c>
      <c r="I34" s="36">
        <v>16.1</v>
      </c>
      <c r="J34" s="36">
        <v>91.0</v>
      </c>
      <c r="K34" s="36">
        <v>83.0</v>
      </c>
      <c r="L34" s="36">
        <v>58.5</v>
      </c>
      <c r="M34" s="36">
        <v>101.0</v>
      </c>
      <c r="N34" s="36">
        <v>50.0</v>
      </c>
      <c r="O34" s="36">
        <v>21.0</v>
      </c>
      <c r="P34" s="36">
        <v>18.0</v>
      </c>
      <c r="Q34" s="36">
        <v>0.31</v>
      </c>
      <c r="R34" s="36">
        <v>0.88</v>
      </c>
      <c r="S34" s="36">
        <v>1.97</v>
      </c>
      <c r="T34" s="36">
        <v>2.85</v>
      </c>
      <c r="U34" s="21">
        <f t="shared" si="1"/>
        <v>2850</v>
      </c>
      <c r="V34" s="21">
        <f t="shared" si="2"/>
        <v>2500</v>
      </c>
    </row>
    <row r="35" ht="14.25" customHeight="1">
      <c r="A35" s="38">
        <v>0.15347222222222223</v>
      </c>
      <c r="B35" s="36">
        <v>45.0</v>
      </c>
      <c r="C35" s="36">
        <v>6.7</v>
      </c>
      <c r="D35" s="36">
        <v>598.0</v>
      </c>
      <c r="E35" s="36">
        <v>580.0</v>
      </c>
      <c r="F35" s="36">
        <v>0.97</v>
      </c>
      <c r="G35" s="36">
        <v>21.0</v>
      </c>
      <c r="H35" s="36">
        <v>0.76</v>
      </c>
      <c r="I35" s="36">
        <v>15.8</v>
      </c>
      <c r="J35" s="36">
        <v>91.2</v>
      </c>
      <c r="K35" s="36">
        <v>83.0</v>
      </c>
      <c r="L35" s="36">
        <v>58.2</v>
      </c>
      <c r="M35" s="36">
        <v>101.0</v>
      </c>
      <c r="N35" s="36">
        <v>50.0</v>
      </c>
      <c r="O35" s="36">
        <v>21.0</v>
      </c>
      <c r="P35" s="36">
        <v>18.0</v>
      </c>
      <c r="Q35" s="36">
        <v>0.31</v>
      </c>
      <c r="R35" s="36">
        <v>0.91</v>
      </c>
      <c r="S35" s="36">
        <v>1.99</v>
      </c>
      <c r="T35" s="36">
        <v>2.9</v>
      </c>
      <c r="U35" s="21">
        <f t="shared" si="1"/>
        <v>2900</v>
      </c>
      <c r="V35" s="21">
        <f t="shared" si="2"/>
        <v>10000</v>
      </c>
    </row>
    <row r="36" ht="14.25" customHeight="1">
      <c r="A36" s="38">
        <v>0.15555555555555556</v>
      </c>
      <c r="B36" s="36">
        <v>46.0</v>
      </c>
      <c r="C36" s="36">
        <v>6.6</v>
      </c>
      <c r="D36" s="36">
        <v>595.0</v>
      </c>
      <c r="E36" s="36">
        <v>571.0</v>
      </c>
      <c r="F36" s="36">
        <v>0.96</v>
      </c>
      <c r="G36" s="36">
        <v>20.0</v>
      </c>
      <c r="H36" s="36">
        <v>0.77</v>
      </c>
      <c r="I36" s="36">
        <v>15.4</v>
      </c>
      <c r="J36" s="36">
        <v>91.4</v>
      </c>
      <c r="K36" s="36">
        <v>82.0</v>
      </c>
      <c r="L36" s="36">
        <v>59.0</v>
      </c>
      <c r="M36" s="36">
        <v>101.0</v>
      </c>
      <c r="N36" s="36">
        <v>50.0</v>
      </c>
      <c r="O36" s="36">
        <v>20.0</v>
      </c>
      <c r="P36" s="36">
        <v>18.0</v>
      </c>
      <c r="Q36" s="36">
        <v>0.3</v>
      </c>
      <c r="R36" s="36">
        <v>0.89</v>
      </c>
      <c r="S36" s="36">
        <v>2.11</v>
      </c>
      <c r="T36" s="36">
        <v>3.0</v>
      </c>
      <c r="U36" s="21">
        <f t="shared" si="1"/>
        <v>3000</v>
      </c>
      <c r="V36" s="21">
        <f t="shared" si="2"/>
        <v>6400</v>
      </c>
    </row>
    <row r="37" ht="14.25" customHeight="1">
      <c r="A37" s="38">
        <v>0.15763888888888888</v>
      </c>
      <c r="B37" s="36">
        <v>48.0</v>
      </c>
      <c r="C37" s="36">
        <v>6.5</v>
      </c>
      <c r="D37" s="36">
        <v>580.0</v>
      </c>
      <c r="E37" s="36">
        <v>552.0</v>
      </c>
      <c r="F37" s="36">
        <v>0.95</v>
      </c>
      <c r="G37" s="36">
        <v>19.0</v>
      </c>
      <c r="H37" s="36">
        <v>0.76</v>
      </c>
      <c r="I37" s="36">
        <v>14.9</v>
      </c>
      <c r="J37" s="36">
        <v>91.6</v>
      </c>
      <c r="K37" s="36">
        <v>81.0</v>
      </c>
      <c r="L37" s="36">
        <v>59.5</v>
      </c>
      <c r="M37" s="36">
        <v>101.0</v>
      </c>
      <c r="N37" s="36">
        <v>50.0</v>
      </c>
      <c r="O37" s="36">
        <v>19.0</v>
      </c>
      <c r="P37" s="36">
        <v>17.0</v>
      </c>
      <c r="Q37" s="36">
        <v>0.29</v>
      </c>
      <c r="R37" s="36">
        <v>0.9</v>
      </c>
      <c r="S37" s="36">
        <v>2.18</v>
      </c>
      <c r="T37" s="36">
        <v>3.08</v>
      </c>
      <c r="U37" s="21">
        <f t="shared" si="1"/>
        <v>3080</v>
      </c>
      <c r="V37" s="21">
        <f t="shared" si="2"/>
        <v>100</v>
      </c>
    </row>
    <row r="38" ht="14.25" customHeight="1">
      <c r="A38" s="38">
        <v>0.1597222222222222</v>
      </c>
      <c r="B38" s="36">
        <v>50.0</v>
      </c>
      <c r="C38" s="36">
        <v>6.3</v>
      </c>
      <c r="D38" s="36">
        <v>565.0</v>
      </c>
      <c r="E38" s="36">
        <v>527.0</v>
      </c>
      <c r="F38" s="36">
        <v>0.93</v>
      </c>
      <c r="G38" s="36">
        <v>19.0</v>
      </c>
      <c r="H38" s="36">
        <v>0.73</v>
      </c>
      <c r="I38" s="36">
        <v>14.3</v>
      </c>
      <c r="J38" s="36">
        <v>92.0</v>
      </c>
      <c r="K38" s="36">
        <v>79.0</v>
      </c>
      <c r="L38" s="36">
        <v>60.4</v>
      </c>
      <c r="M38" s="36">
        <v>99.0</v>
      </c>
      <c r="N38" s="36">
        <v>51.0</v>
      </c>
      <c r="O38" s="36">
        <v>19.0</v>
      </c>
      <c r="P38" s="36">
        <v>17.0</v>
      </c>
      <c r="Q38" s="36">
        <v>0.28</v>
      </c>
      <c r="R38" s="36">
        <v>0.86</v>
      </c>
      <c r="S38" s="36">
        <v>2.23</v>
      </c>
      <c r="T38" s="36">
        <v>3.09</v>
      </c>
      <c r="U38" s="21">
        <f t="shared" si="1"/>
        <v>3090</v>
      </c>
      <c r="V38" s="21">
        <f t="shared" si="2"/>
        <v>100</v>
      </c>
    </row>
    <row r="39" ht="14.25" customHeight="1">
      <c r="A39" s="38">
        <v>0.16180555555555556</v>
      </c>
      <c r="B39" s="36">
        <v>51.0</v>
      </c>
      <c r="C39" s="36">
        <v>6.4</v>
      </c>
      <c r="D39" s="36">
        <v>577.0</v>
      </c>
      <c r="E39" s="36">
        <v>527.0</v>
      </c>
      <c r="F39" s="36">
        <v>0.91</v>
      </c>
      <c r="G39" s="36">
        <v>19.0</v>
      </c>
      <c r="H39" s="36">
        <v>0.74</v>
      </c>
      <c r="I39" s="36">
        <v>14.2</v>
      </c>
      <c r="J39" s="36">
        <v>92.0</v>
      </c>
      <c r="K39" s="36">
        <v>77.0</v>
      </c>
      <c r="L39" s="36">
        <v>61.2</v>
      </c>
      <c r="M39" s="36">
        <v>98.0</v>
      </c>
      <c r="N39" s="36">
        <v>51.0</v>
      </c>
      <c r="O39" s="36">
        <v>19.0</v>
      </c>
      <c r="P39" s="36">
        <v>17.0</v>
      </c>
      <c r="Q39" s="36">
        <v>0.28</v>
      </c>
      <c r="R39" s="36">
        <v>0.88</v>
      </c>
      <c r="S39" s="36">
        <v>2.22</v>
      </c>
      <c r="T39" s="36">
        <v>3.1</v>
      </c>
      <c r="U39" s="21">
        <f t="shared" si="1"/>
        <v>3100</v>
      </c>
      <c r="V39" s="21">
        <f t="shared" si="2"/>
        <v>136900</v>
      </c>
    </row>
    <row r="40" ht="14.25" customHeight="1">
      <c r="A40" s="38">
        <v>0.16527777777777777</v>
      </c>
      <c r="B40" s="36">
        <v>53.0</v>
      </c>
      <c r="C40" s="36">
        <v>6.0</v>
      </c>
      <c r="D40" s="36">
        <v>541.0</v>
      </c>
      <c r="E40" s="36">
        <v>495.0</v>
      </c>
      <c r="F40" s="36">
        <v>0.92</v>
      </c>
      <c r="G40" s="36">
        <v>17.0</v>
      </c>
      <c r="H40" s="36">
        <v>0.76</v>
      </c>
      <c r="I40" s="36">
        <v>13.2</v>
      </c>
      <c r="J40" s="36">
        <v>92.6</v>
      </c>
      <c r="K40" s="36">
        <v>78.0</v>
      </c>
      <c r="L40" s="36">
        <v>61.0</v>
      </c>
      <c r="M40" s="36">
        <v>98.0</v>
      </c>
      <c r="N40" s="36">
        <v>51.0</v>
      </c>
      <c r="O40" s="36">
        <v>17.0</v>
      </c>
      <c r="P40" s="36">
        <v>16.0</v>
      </c>
      <c r="Q40" s="36">
        <v>0.25</v>
      </c>
      <c r="R40" s="36">
        <v>0.88</v>
      </c>
      <c r="S40" s="36">
        <v>2.59</v>
      </c>
      <c r="T40" s="36">
        <v>3.47</v>
      </c>
      <c r="U40" s="21">
        <f t="shared" si="1"/>
        <v>3470</v>
      </c>
      <c r="V40" s="21">
        <f t="shared" si="2"/>
        <v>52900</v>
      </c>
    </row>
    <row r="41" ht="14.25" customHeight="1">
      <c r="A41" s="38">
        <v>0.16805555555555557</v>
      </c>
      <c r="B41" s="36">
        <v>55.0</v>
      </c>
      <c r="C41" s="36">
        <v>5.9</v>
      </c>
      <c r="D41" s="36">
        <v>529.0</v>
      </c>
      <c r="E41" s="36">
        <v>473.0</v>
      </c>
      <c r="F41" s="36">
        <v>0.89</v>
      </c>
      <c r="G41" s="36">
        <v>16.0</v>
      </c>
      <c r="H41" s="36">
        <v>0.77</v>
      </c>
      <c r="I41" s="36">
        <v>12.5</v>
      </c>
      <c r="J41" s="36">
        <v>93.0</v>
      </c>
      <c r="K41" s="36">
        <v>78.0</v>
      </c>
      <c r="L41" s="36">
        <v>61.0</v>
      </c>
      <c r="M41" s="36">
        <v>97.0</v>
      </c>
      <c r="N41" s="36">
        <v>52.0</v>
      </c>
      <c r="O41" s="36">
        <v>16.0</v>
      </c>
      <c r="P41" s="36">
        <v>16.0</v>
      </c>
      <c r="Q41" s="36">
        <v>0.24</v>
      </c>
      <c r="R41" s="36">
        <v>0.9</v>
      </c>
      <c r="S41" s="36">
        <v>2.8</v>
      </c>
      <c r="T41" s="36">
        <v>3.7</v>
      </c>
      <c r="U41" s="21">
        <f t="shared" si="1"/>
        <v>3700</v>
      </c>
      <c r="V41" s="21">
        <f t="shared" si="2"/>
        <v>2500</v>
      </c>
    </row>
    <row r="42" ht="14.25" customHeight="1">
      <c r="A42" s="38">
        <v>0.1701388888888889</v>
      </c>
      <c r="B42" s="36">
        <v>57.0</v>
      </c>
      <c r="C42" s="36">
        <v>6.1</v>
      </c>
      <c r="D42" s="36">
        <v>550.0</v>
      </c>
      <c r="E42" s="36">
        <v>483.0</v>
      </c>
      <c r="F42" s="36">
        <v>0.88</v>
      </c>
      <c r="G42" s="36">
        <v>16.0</v>
      </c>
      <c r="H42" s="36">
        <v>0.77</v>
      </c>
      <c r="I42" s="36">
        <v>12.7</v>
      </c>
      <c r="J42" s="36">
        <v>92.9</v>
      </c>
      <c r="K42" s="36">
        <v>77.0</v>
      </c>
      <c r="L42" s="36">
        <v>61.2</v>
      </c>
      <c r="M42" s="36">
        <v>96.0</v>
      </c>
      <c r="N42" s="36">
        <v>52.0</v>
      </c>
      <c r="O42" s="36">
        <v>16.0</v>
      </c>
      <c r="P42" s="36">
        <v>16.0</v>
      </c>
      <c r="Q42" s="36">
        <v>0.25</v>
      </c>
      <c r="R42" s="36">
        <v>0.93</v>
      </c>
      <c r="S42" s="36">
        <v>2.72</v>
      </c>
      <c r="T42" s="36">
        <v>3.65</v>
      </c>
      <c r="U42" s="21">
        <f t="shared" si="1"/>
        <v>3650</v>
      </c>
      <c r="V42" s="21">
        <f t="shared" si="2"/>
        <v>12100</v>
      </c>
    </row>
    <row r="43" ht="14.25" customHeight="1">
      <c r="A43" s="38">
        <v>0.17222222222222222</v>
      </c>
      <c r="B43" s="36">
        <v>59.0</v>
      </c>
      <c r="C43" s="36">
        <v>6.5</v>
      </c>
      <c r="D43" s="36">
        <v>584.0</v>
      </c>
      <c r="E43" s="36">
        <v>497.0</v>
      </c>
      <c r="F43" s="36">
        <v>0.85</v>
      </c>
      <c r="G43" s="36">
        <v>17.0</v>
      </c>
      <c r="H43" s="36">
        <v>0.77</v>
      </c>
      <c r="I43" s="36">
        <v>13.0</v>
      </c>
      <c r="J43" s="36">
        <v>92.7</v>
      </c>
      <c r="K43" s="36">
        <v>77.0</v>
      </c>
      <c r="L43" s="36">
        <v>61.2</v>
      </c>
      <c r="M43" s="36">
        <v>94.0</v>
      </c>
      <c r="N43" s="36">
        <v>52.0</v>
      </c>
      <c r="O43" s="36">
        <v>17.0</v>
      </c>
      <c r="P43" s="36">
        <v>17.0</v>
      </c>
      <c r="Q43" s="36">
        <v>0.25</v>
      </c>
      <c r="R43" s="36">
        <v>0.89</v>
      </c>
      <c r="S43" s="36">
        <v>2.65</v>
      </c>
      <c r="T43" s="36">
        <v>3.54</v>
      </c>
      <c r="U43" s="21">
        <f t="shared" si="1"/>
        <v>3540</v>
      </c>
      <c r="V43" s="21">
        <f t="shared" si="2"/>
        <v>102400</v>
      </c>
    </row>
    <row r="44" ht="14.25" customHeight="1">
      <c r="A44" s="38">
        <v>0.17430555555555555</v>
      </c>
      <c r="B44" s="36">
        <v>60.0</v>
      </c>
      <c r="C44" s="36">
        <v>7.4</v>
      </c>
      <c r="D44" s="36">
        <v>658.0</v>
      </c>
      <c r="E44" s="36">
        <v>549.0</v>
      </c>
      <c r="F44" s="36">
        <v>0.83</v>
      </c>
      <c r="G44" s="36">
        <v>19.0</v>
      </c>
      <c r="H44" s="36">
        <v>0.77</v>
      </c>
      <c r="I44" s="36">
        <v>14.3</v>
      </c>
      <c r="J44" s="36">
        <v>92.0</v>
      </c>
      <c r="K44" s="36">
        <v>81.0</v>
      </c>
      <c r="L44" s="36">
        <v>59.3</v>
      </c>
      <c r="M44" s="36">
        <v>94.0</v>
      </c>
      <c r="N44" s="36">
        <v>52.0</v>
      </c>
      <c r="O44" s="36">
        <v>19.0</v>
      </c>
      <c r="P44" s="36">
        <v>20.0</v>
      </c>
      <c r="Q44" s="36">
        <v>0.28</v>
      </c>
      <c r="R44" s="36">
        <v>0.9</v>
      </c>
      <c r="S44" s="36">
        <v>2.33</v>
      </c>
      <c r="T44" s="36">
        <v>3.22</v>
      </c>
      <c r="U44" s="21">
        <f t="shared" si="1"/>
        <v>3220</v>
      </c>
      <c r="V44" s="21">
        <f t="shared" si="2"/>
        <v>2500</v>
      </c>
    </row>
    <row r="45" ht="14.25" customHeight="1">
      <c r="A45" s="38">
        <v>0.1763888888888889</v>
      </c>
      <c r="B45" s="36">
        <v>61.0</v>
      </c>
      <c r="C45" s="36">
        <v>7.9</v>
      </c>
      <c r="D45" s="36">
        <v>706.0</v>
      </c>
      <c r="E45" s="36">
        <v>577.0</v>
      </c>
      <c r="F45" s="36">
        <v>0.82</v>
      </c>
      <c r="G45" s="36">
        <v>19.0</v>
      </c>
      <c r="H45" s="36">
        <v>0.79</v>
      </c>
      <c r="I45" s="36">
        <v>14.9</v>
      </c>
      <c r="J45" s="36">
        <v>91.7</v>
      </c>
      <c r="K45" s="36">
        <v>90.0</v>
      </c>
      <c r="L45" s="36">
        <v>54.6</v>
      </c>
      <c r="M45" s="36">
        <v>93.0</v>
      </c>
      <c r="N45" s="36">
        <v>52.0</v>
      </c>
      <c r="O45" s="36">
        <v>19.0</v>
      </c>
      <c r="P45" s="36">
        <v>21.0</v>
      </c>
      <c r="Q45" s="36">
        <v>0.3</v>
      </c>
      <c r="R45" s="36">
        <v>0.94</v>
      </c>
      <c r="S45" s="36">
        <v>2.23</v>
      </c>
      <c r="T45" s="36">
        <v>3.17</v>
      </c>
      <c r="U45" s="21">
        <f t="shared" si="1"/>
        <v>3170</v>
      </c>
      <c r="V45" s="21">
        <f t="shared" si="2"/>
        <v>100</v>
      </c>
    </row>
    <row r="46" ht="14.25" customHeight="1">
      <c r="A46" s="38">
        <v>0.17847222222222223</v>
      </c>
      <c r="B46" s="36">
        <v>62.0</v>
      </c>
      <c r="C46" s="36">
        <v>8.2</v>
      </c>
      <c r="D46" s="36">
        <v>738.0</v>
      </c>
      <c r="E46" s="36">
        <v>594.0</v>
      </c>
      <c r="F46" s="36">
        <v>0.81</v>
      </c>
      <c r="G46" s="36">
        <v>19.0</v>
      </c>
      <c r="H46" s="36">
        <v>0.8</v>
      </c>
      <c r="I46" s="36">
        <v>15.2</v>
      </c>
      <c r="J46" s="36">
        <v>91.5</v>
      </c>
      <c r="K46" s="36">
        <v>94.0</v>
      </c>
      <c r="L46" s="36">
        <v>52.8</v>
      </c>
      <c r="M46" s="36">
        <v>92.0</v>
      </c>
      <c r="N46" s="36">
        <v>52.0</v>
      </c>
      <c r="O46" s="36">
        <v>19.0</v>
      </c>
      <c r="P46" s="36">
        <v>22.0</v>
      </c>
      <c r="Q46" s="36">
        <v>0.3</v>
      </c>
      <c r="R46" s="36">
        <v>0.96</v>
      </c>
      <c r="S46" s="36">
        <v>2.22</v>
      </c>
      <c r="T46" s="36">
        <v>3.18</v>
      </c>
      <c r="U46" s="21">
        <f t="shared" si="1"/>
        <v>3180</v>
      </c>
      <c r="V46" s="21">
        <f t="shared" si="2"/>
        <v>90000</v>
      </c>
    </row>
    <row r="47" ht="14.25" customHeight="1">
      <c r="A47" s="38">
        <v>0.1798611111111111</v>
      </c>
      <c r="B47" s="36">
        <v>64.0</v>
      </c>
      <c r="C47" s="36">
        <v>9.4</v>
      </c>
      <c r="D47" s="36">
        <v>842.0</v>
      </c>
      <c r="E47" s="36">
        <v>666.0</v>
      </c>
      <c r="F47" s="36">
        <v>0.79</v>
      </c>
      <c r="G47" s="36">
        <v>21.0</v>
      </c>
      <c r="H47" s="36">
        <v>0.81</v>
      </c>
      <c r="I47" s="36">
        <v>16.8</v>
      </c>
      <c r="J47" s="36">
        <v>90.6</v>
      </c>
      <c r="K47" s="36">
        <v>99.0</v>
      </c>
      <c r="L47" s="36">
        <v>50.2</v>
      </c>
      <c r="M47" s="36">
        <v>91.0</v>
      </c>
      <c r="N47" s="36">
        <v>52.0</v>
      </c>
      <c r="O47" s="36">
        <v>21.0</v>
      </c>
      <c r="P47" s="36">
        <v>25.0</v>
      </c>
      <c r="Q47" s="36">
        <v>0.32</v>
      </c>
      <c r="R47" s="36">
        <v>0.92</v>
      </c>
      <c r="S47" s="36">
        <v>1.97</v>
      </c>
      <c r="T47" s="36">
        <v>2.88</v>
      </c>
      <c r="U47" s="21">
        <f t="shared" si="1"/>
        <v>2880</v>
      </c>
      <c r="V47" s="21">
        <f t="shared" si="2"/>
        <v>0</v>
      </c>
    </row>
    <row r="48" ht="14.25" customHeight="1">
      <c r="A48" s="38">
        <v>0.18194444444444444</v>
      </c>
      <c r="B48" s="36">
        <v>65.0</v>
      </c>
      <c r="C48" s="36">
        <v>9.5</v>
      </c>
      <c r="D48" s="36">
        <v>852.0</v>
      </c>
      <c r="E48" s="36">
        <v>683.0</v>
      </c>
      <c r="F48" s="36">
        <v>0.8</v>
      </c>
      <c r="G48" s="36">
        <v>21.0</v>
      </c>
      <c r="H48" s="36">
        <v>0.83</v>
      </c>
      <c r="I48" s="36">
        <v>17.4</v>
      </c>
      <c r="J48" s="36">
        <v>90.3</v>
      </c>
      <c r="K48" s="36">
        <v>94.0</v>
      </c>
      <c r="L48" s="36">
        <v>52.9</v>
      </c>
      <c r="M48" s="36">
        <v>92.0</v>
      </c>
      <c r="N48" s="36">
        <v>52.0</v>
      </c>
      <c r="O48" s="36">
        <v>21.0</v>
      </c>
      <c r="P48" s="36">
        <v>25.0</v>
      </c>
      <c r="Q48" s="36">
        <v>0.33</v>
      </c>
      <c r="R48" s="36">
        <v>0.96</v>
      </c>
      <c r="S48" s="36">
        <v>1.91</v>
      </c>
      <c r="T48" s="36">
        <v>2.88</v>
      </c>
      <c r="U48" s="21">
        <f t="shared" si="1"/>
        <v>2880</v>
      </c>
      <c r="V48" s="21">
        <f t="shared" si="2"/>
        <v>16900</v>
      </c>
    </row>
    <row r="49" ht="14.25" customHeight="1">
      <c r="A49" s="38">
        <v>0.18472222222222223</v>
      </c>
      <c r="B49" s="36">
        <v>67.0</v>
      </c>
      <c r="C49" s="36">
        <v>9.6</v>
      </c>
      <c r="D49" s="36">
        <v>861.0</v>
      </c>
      <c r="E49" s="36">
        <v>695.0</v>
      </c>
      <c r="F49" s="36">
        <v>0.81</v>
      </c>
      <c r="G49" s="36">
        <v>20.0</v>
      </c>
      <c r="H49" s="36">
        <v>0.88</v>
      </c>
      <c r="I49" s="36">
        <v>17.5</v>
      </c>
      <c r="J49" s="36">
        <v>90.2</v>
      </c>
      <c r="K49" s="36">
        <v>96.0</v>
      </c>
      <c r="L49" s="36">
        <v>51.8</v>
      </c>
      <c r="M49" s="36">
        <v>92.0</v>
      </c>
      <c r="N49" s="36">
        <v>52.0</v>
      </c>
      <c r="O49" s="36">
        <v>20.0</v>
      </c>
      <c r="P49" s="36">
        <v>26.0</v>
      </c>
      <c r="Q49" s="36">
        <v>0.32</v>
      </c>
      <c r="R49" s="36">
        <v>0.95</v>
      </c>
      <c r="S49" s="36">
        <v>2.06</v>
      </c>
      <c r="T49" s="36">
        <v>3.01</v>
      </c>
      <c r="U49" s="21">
        <f t="shared" si="1"/>
        <v>3010</v>
      </c>
      <c r="V49" s="21">
        <f t="shared" si="2"/>
        <v>2500</v>
      </c>
    </row>
    <row r="50" ht="14.25" customHeight="1">
      <c r="A50" s="38">
        <v>0.18680555555555556</v>
      </c>
      <c r="B50" s="36">
        <v>69.0</v>
      </c>
      <c r="C50" s="36">
        <v>9.5</v>
      </c>
      <c r="D50" s="36">
        <v>850.0</v>
      </c>
      <c r="E50" s="36">
        <v>684.0</v>
      </c>
      <c r="F50" s="36">
        <v>0.8</v>
      </c>
      <c r="G50" s="36">
        <v>20.0</v>
      </c>
      <c r="H50" s="36">
        <v>0.86</v>
      </c>
      <c r="I50" s="36">
        <v>17.3</v>
      </c>
      <c r="J50" s="36">
        <v>90.3</v>
      </c>
      <c r="K50" s="36">
        <v>98.0</v>
      </c>
      <c r="L50" s="36">
        <v>51.0</v>
      </c>
      <c r="M50" s="36">
        <v>92.0</v>
      </c>
      <c r="N50" s="36">
        <v>52.0</v>
      </c>
      <c r="O50" s="36">
        <v>20.0</v>
      </c>
      <c r="P50" s="36">
        <v>25.0</v>
      </c>
      <c r="Q50" s="36">
        <v>0.32</v>
      </c>
      <c r="R50" s="36">
        <v>0.93</v>
      </c>
      <c r="S50" s="36">
        <v>2.03</v>
      </c>
      <c r="T50" s="36">
        <v>2.96</v>
      </c>
      <c r="U50" s="21">
        <f t="shared" si="1"/>
        <v>2960</v>
      </c>
      <c r="V50" s="21">
        <f t="shared" si="2"/>
        <v>4900</v>
      </c>
    </row>
    <row r="51" ht="14.25" customHeight="1">
      <c r="A51" s="38">
        <v>0.18819444444444444</v>
      </c>
      <c r="B51" s="36">
        <v>70.0</v>
      </c>
      <c r="C51" s="36">
        <v>9.5</v>
      </c>
      <c r="D51" s="36">
        <v>851.0</v>
      </c>
      <c r="E51" s="36">
        <v>703.0</v>
      </c>
      <c r="F51" s="36">
        <v>0.83</v>
      </c>
      <c r="G51" s="36">
        <v>21.0</v>
      </c>
      <c r="H51" s="36">
        <v>0.86</v>
      </c>
      <c r="I51" s="36">
        <v>17.8</v>
      </c>
      <c r="J51" s="36">
        <v>90.0</v>
      </c>
      <c r="K51" s="36">
        <v>97.0</v>
      </c>
      <c r="L51" s="36">
        <v>51.3</v>
      </c>
      <c r="M51" s="36">
        <v>92.0</v>
      </c>
      <c r="N51" s="36">
        <v>52.0</v>
      </c>
      <c r="O51" s="36">
        <v>21.0</v>
      </c>
      <c r="P51" s="36">
        <v>25.0</v>
      </c>
      <c r="Q51" s="36">
        <v>0.31</v>
      </c>
      <c r="R51" s="36">
        <v>0.89</v>
      </c>
      <c r="S51" s="36">
        <v>2.0</v>
      </c>
      <c r="T51" s="36">
        <v>2.89</v>
      </c>
      <c r="U51" s="21">
        <f t="shared" si="1"/>
        <v>2890</v>
      </c>
      <c r="V51" s="21">
        <f t="shared" si="2"/>
        <v>400</v>
      </c>
    </row>
    <row r="52" ht="14.25" customHeight="1">
      <c r="A52" s="38">
        <v>0.19027777777777777</v>
      </c>
      <c r="B52" s="36">
        <v>71.0</v>
      </c>
      <c r="C52" s="36">
        <v>9.7</v>
      </c>
      <c r="D52" s="36">
        <v>868.0</v>
      </c>
      <c r="E52" s="36">
        <v>724.0</v>
      </c>
      <c r="F52" s="36">
        <v>0.83</v>
      </c>
      <c r="G52" s="36">
        <v>21.0</v>
      </c>
      <c r="H52" s="36">
        <v>0.88</v>
      </c>
      <c r="I52" s="36">
        <v>18.4</v>
      </c>
      <c r="J52" s="36">
        <v>89.7</v>
      </c>
      <c r="K52" s="36">
        <v>98.0</v>
      </c>
      <c r="L52" s="36">
        <v>51.0</v>
      </c>
      <c r="M52" s="36">
        <v>93.0</v>
      </c>
      <c r="N52" s="36">
        <v>51.0</v>
      </c>
      <c r="O52" s="36">
        <v>21.0</v>
      </c>
      <c r="P52" s="36">
        <v>26.0</v>
      </c>
      <c r="Q52" s="36">
        <v>0.3</v>
      </c>
      <c r="R52" s="36">
        <v>0.86</v>
      </c>
      <c r="S52" s="36">
        <v>2.01</v>
      </c>
      <c r="T52" s="36">
        <v>2.87</v>
      </c>
      <c r="U52" s="21">
        <f t="shared" si="1"/>
        <v>2870</v>
      </c>
      <c r="V52" s="21">
        <f t="shared" si="2"/>
        <v>900</v>
      </c>
    </row>
    <row r="53" ht="14.25" customHeight="1">
      <c r="A53" s="38">
        <v>0.19166666666666668</v>
      </c>
      <c r="B53" s="36">
        <v>73.0</v>
      </c>
      <c r="C53" s="36">
        <v>9.6</v>
      </c>
      <c r="D53" s="36">
        <v>855.0</v>
      </c>
      <c r="E53" s="36">
        <v>726.0</v>
      </c>
      <c r="F53" s="36">
        <v>0.85</v>
      </c>
      <c r="G53" s="36">
        <v>21.0</v>
      </c>
      <c r="H53" s="36">
        <v>0.88</v>
      </c>
      <c r="I53" s="36">
        <v>18.6</v>
      </c>
      <c r="J53" s="36">
        <v>89.6</v>
      </c>
      <c r="K53" s="36">
        <v>99.0</v>
      </c>
      <c r="L53" s="36">
        <v>50.5</v>
      </c>
      <c r="M53" s="36">
        <v>94.0</v>
      </c>
      <c r="N53" s="36">
        <v>51.0</v>
      </c>
      <c r="O53" s="36">
        <v>21.0</v>
      </c>
      <c r="P53" s="36">
        <v>25.0</v>
      </c>
      <c r="Q53" s="36">
        <v>0.3</v>
      </c>
      <c r="R53" s="36">
        <v>0.86</v>
      </c>
      <c r="S53" s="36">
        <v>1.97</v>
      </c>
      <c r="T53" s="36">
        <v>2.84</v>
      </c>
      <c r="U53" s="21">
        <f t="shared" si="1"/>
        <v>2840</v>
      </c>
      <c r="V53" s="21">
        <f t="shared" si="2"/>
        <v>3600</v>
      </c>
    </row>
    <row r="54" ht="14.25" customHeight="1">
      <c r="A54" s="38">
        <v>0.19375</v>
      </c>
      <c r="B54" s="36">
        <v>74.0</v>
      </c>
      <c r="C54" s="36">
        <v>9.6</v>
      </c>
      <c r="D54" s="36">
        <v>857.0</v>
      </c>
      <c r="E54" s="36">
        <v>713.0</v>
      </c>
      <c r="F54" s="36">
        <v>0.83</v>
      </c>
      <c r="G54" s="36">
        <v>21.0</v>
      </c>
      <c r="H54" s="36">
        <v>0.88</v>
      </c>
      <c r="I54" s="36">
        <v>18.2</v>
      </c>
      <c r="J54" s="36">
        <v>89.8</v>
      </c>
      <c r="K54" s="36">
        <v>99.0</v>
      </c>
      <c r="L54" s="36">
        <v>50.5</v>
      </c>
      <c r="M54" s="36">
        <v>94.0</v>
      </c>
      <c r="N54" s="36">
        <v>51.0</v>
      </c>
      <c r="O54" s="36">
        <v>21.0</v>
      </c>
      <c r="P54" s="36">
        <v>25.0</v>
      </c>
      <c r="Q54" s="36">
        <v>0.3</v>
      </c>
      <c r="R54" s="36">
        <v>0.88</v>
      </c>
      <c r="S54" s="36">
        <v>2.02</v>
      </c>
      <c r="T54" s="36">
        <v>2.9</v>
      </c>
      <c r="U54" s="21">
        <f t="shared" si="1"/>
        <v>2900</v>
      </c>
      <c r="V54" s="21">
        <f t="shared" si="2"/>
        <v>3600</v>
      </c>
    </row>
    <row r="55" ht="14.25" customHeight="1">
      <c r="A55" s="38">
        <v>0.19583333333333333</v>
      </c>
      <c r="B55" s="36">
        <v>75.0</v>
      </c>
      <c r="C55" s="36">
        <v>9.6</v>
      </c>
      <c r="D55" s="36">
        <v>859.0</v>
      </c>
      <c r="E55" s="36">
        <v>722.0</v>
      </c>
      <c r="F55" s="36">
        <v>0.84</v>
      </c>
      <c r="G55" s="36">
        <v>21.0</v>
      </c>
      <c r="H55" s="36">
        <v>0.87</v>
      </c>
      <c r="I55" s="36">
        <v>18.4</v>
      </c>
      <c r="J55" s="36">
        <v>89.7</v>
      </c>
      <c r="K55" s="36">
        <v>101.0</v>
      </c>
      <c r="L55" s="36">
        <v>49.2</v>
      </c>
      <c r="M55" s="36">
        <v>94.0</v>
      </c>
      <c r="N55" s="36">
        <v>51.0</v>
      </c>
      <c r="O55" s="36">
        <v>21.0</v>
      </c>
      <c r="P55" s="36">
        <v>25.0</v>
      </c>
      <c r="Q55" s="36">
        <v>0.31</v>
      </c>
      <c r="R55" s="36">
        <v>0.87</v>
      </c>
      <c r="S55" s="36">
        <v>1.97</v>
      </c>
      <c r="T55" s="36">
        <v>2.84</v>
      </c>
      <c r="U55" s="21">
        <f t="shared" si="1"/>
        <v>2840</v>
      </c>
      <c r="V55" s="21">
        <f t="shared" si="2"/>
        <v>8100</v>
      </c>
    </row>
    <row r="56" ht="14.25" customHeight="1">
      <c r="A56" s="38">
        <v>0.19791666666666666</v>
      </c>
      <c r="B56" s="36">
        <v>76.0</v>
      </c>
      <c r="C56" s="36">
        <v>9.6</v>
      </c>
      <c r="D56" s="36">
        <v>856.0</v>
      </c>
      <c r="E56" s="36">
        <v>725.0</v>
      </c>
      <c r="F56" s="36">
        <v>0.85</v>
      </c>
      <c r="G56" s="36">
        <v>22.0</v>
      </c>
      <c r="H56" s="36">
        <v>0.85</v>
      </c>
      <c r="I56" s="36">
        <v>18.6</v>
      </c>
      <c r="J56" s="36">
        <v>89.6</v>
      </c>
      <c r="K56" s="36">
        <v>102.0</v>
      </c>
      <c r="L56" s="36">
        <v>48.7</v>
      </c>
      <c r="M56" s="36">
        <v>94.0</v>
      </c>
      <c r="N56" s="36">
        <v>51.0</v>
      </c>
      <c r="O56" s="36">
        <v>22.0</v>
      </c>
      <c r="P56" s="36">
        <v>25.0</v>
      </c>
      <c r="Q56" s="36">
        <v>0.31</v>
      </c>
      <c r="R56" s="36">
        <v>0.87</v>
      </c>
      <c r="S56" s="36">
        <v>1.89</v>
      </c>
      <c r="T56" s="36">
        <v>2.75</v>
      </c>
      <c r="U56" s="21">
        <f t="shared" si="1"/>
        <v>2750</v>
      </c>
      <c r="V56" s="21">
        <f t="shared" si="2"/>
        <v>0</v>
      </c>
    </row>
    <row r="57" ht="14.25" customHeight="1">
      <c r="A57" s="38">
        <v>0.2</v>
      </c>
      <c r="B57" s="36">
        <v>78.0</v>
      </c>
      <c r="C57" s="36">
        <v>9.6</v>
      </c>
      <c r="D57" s="36">
        <v>857.0</v>
      </c>
      <c r="E57" s="36">
        <v>725.0</v>
      </c>
      <c r="F57" s="36">
        <v>0.85</v>
      </c>
      <c r="G57" s="36">
        <v>22.0</v>
      </c>
      <c r="H57" s="36">
        <v>0.85</v>
      </c>
      <c r="I57" s="36">
        <v>18.6</v>
      </c>
      <c r="J57" s="36">
        <v>89.6</v>
      </c>
      <c r="K57" s="36">
        <v>103.0</v>
      </c>
      <c r="L57" s="36">
        <v>48.3</v>
      </c>
      <c r="M57" s="36">
        <v>94.0</v>
      </c>
      <c r="N57" s="36">
        <v>51.0</v>
      </c>
      <c r="O57" s="36">
        <v>22.0</v>
      </c>
      <c r="P57" s="36">
        <v>25.0</v>
      </c>
      <c r="Q57" s="36">
        <v>0.31</v>
      </c>
      <c r="R57" s="36">
        <v>0.87</v>
      </c>
      <c r="S57" s="36">
        <v>1.89</v>
      </c>
      <c r="T57" s="36">
        <v>2.75</v>
      </c>
      <c r="U57" s="21">
        <f t="shared" si="1"/>
        <v>2750</v>
      </c>
      <c r="V57" s="21">
        <f t="shared" si="2"/>
        <v>12100</v>
      </c>
    </row>
    <row r="58" ht="14.25" customHeight="1">
      <c r="A58" s="38">
        <v>0.20208333333333334</v>
      </c>
      <c r="B58" s="36">
        <v>79.0</v>
      </c>
      <c r="C58" s="36">
        <v>9.5</v>
      </c>
      <c r="D58" s="36">
        <v>851.0</v>
      </c>
      <c r="E58" s="36">
        <v>705.0</v>
      </c>
      <c r="F58" s="36">
        <v>0.83</v>
      </c>
      <c r="G58" s="36">
        <v>21.0</v>
      </c>
      <c r="H58" s="36">
        <v>0.86</v>
      </c>
      <c r="I58" s="36">
        <v>18.0</v>
      </c>
      <c r="J58" s="36">
        <v>89.9</v>
      </c>
      <c r="K58" s="36">
        <v>103.0</v>
      </c>
      <c r="L58" s="36">
        <v>48.2</v>
      </c>
      <c r="M58" s="36">
        <v>94.0</v>
      </c>
      <c r="N58" s="36">
        <v>51.0</v>
      </c>
      <c r="O58" s="36">
        <v>21.0</v>
      </c>
      <c r="P58" s="36">
        <v>25.0</v>
      </c>
      <c r="Q58" s="36">
        <v>0.31</v>
      </c>
      <c r="R58" s="36">
        <v>0.9</v>
      </c>
      <c r="S58" s="36">
        <v>1.96</v>
      </c>
      <c r="T58" s="36">
        <v>2.86</v>
      </c>
      <c r="U58" s="21">
        <f t="shared" si="1"/>
        <v>2860</v>
      </c>
      <c r="V58" s="21">
        <f t="shared" si="2"/>
        <v>100</v>
      </c>
    </row>
    <row r="59" ht="14.25" customHeight="1">
      <c r="A59" s="38">
        <v>0.20347222222222222</v>
      </c>
      <c r="B59" s="36">
        <v>81.0</v>
      </c>
      <c r="C59" s="36">
        <v>9.5</v>
      </c>
      <c r="D59" s="36">
        <v>852.0</v>
      </c>
      <c r="E59" s="36">
        <v>702.0</v>
      </c>
      <c r="F59" s="36">
        <v>0.82</v>
      </c>
      <c r="G59" s="36">
        <v>21.0</v>
      </c>
      <c r="H59" s="36">
        <v>0.85</v>
      </c>
      <c r="I59" s="36">
        <v>18.0</v>
      </c>
      <c r="J59" s="36">
        <v>89.9</v>
      </c>
      <c r="K59" s="36">
        <v>104.0</v>
      </c>
      <c r="L59" s="36">
        <v>47.7</v>
      </c>
      <c r="M59" s="36">
        <v>94.0</v>
      </c>
      <c r="N59" s="36">
        <v>51.0</v>
      </c>
      <c r="O59" s="36">
        <v>21.0</v>
      </c>
      <c r="P59" s="36">
        <v>25.0</v>
      </c>
      <c r="Q59" s="36">
        <v>0.32</v>
      </c>
      <c r="R59" s="36">
        <v>0.91</v>
      </c>
      <c r="S59" s="36">
        <v>1.94</v>
      </c>
      <c r="T59" s="36">
        <v>2.85</v>
      </c>
      <c r="U59" s="21">
        <f t="shared" si="1"/>
        <v>2850</v>
      </c>
      <c r="V59" s="21">
        <f t="shared" si="2"/>
        <v>900</v>
      </c>
    </row>
    <row r="60" ht="14.25" customHeight="1">
      <c r="A60" s="38">
        <v>0.20555555555555555</v>
      </c>
      <c r="B60" s="36">
        <v>82.0</v>
      </c>
      <c r="C60" s="36">
        <v>9.5</v>
      </c>
      <c r="D60" s="36">
        <v>849.0</v>
      </c>
      <c r="E60" s="36">
        <v>693.0</v>
      </c>
      <c r="F60" s="36">
        <v>0.82</v>
      </c>
      <c r="G60" s="36">
        <v>21.0</v>
      </c>
      <c r="H60" s="36">
        <v>0.85</v>
      </c>
      <c r="I60" s="36">
        <v>17.7</v>
      </c>
      <c r="J60" s="36">
        <v>90.1</v>
      </c>
      <c r="K60" s="36">
        <v>105.0</v>
      </c>
      <c r="L60" s="36">
        <v>47.2</v>
      </c>
      <c r="M60" s="36">
        <v>94.0</v>
      </c>
      <c r="N60" s="36">
        <v>51.0</v>
      </c>
      <c r="O60" s="36">
        <v>21.0</v>
      </c>
      <c r="P60" s="36">
        <v>25.0</v>
      </c>
      <c r="Q60" s="36">
        <v>0.32</v>
      </c>
      <c r="R60" s="36">
        <v>0.93</v>
      </c>
      <c r="S60" s="36">
        <v>1.96</v>
      </c>
      <c r="T60" s="36">
        <v>2.88</v>
      </c>
      <c r="U60" s="21">
        <f t="shared" si="1"/>
        <v>2880</v>
      </c>
      <c r="V60" s="21">
        <f t="shared" si="2"/>
        <v>1600</v>
      </c>
    </row>
    <row r="61" ht="14.25" customHeight="1">
      <c r="A61" s="38">
        <v>0.2076388888888889</v>
      </c>
      <c r="B61" s="36">
        <v>84.0</v>
      </c>
      <c r="C61" s="36">
        <v>9.7</v>
      </c>
      <c r="D61" s="36">
        <v>865.0</v>
      </c>
      <c r="E61" s="36">
        <v>700.0</v>
      </c>
      <c r="F61" s="36">
        <v>0.81</v>
      </c>
      <c r="G61" s="36">
        <v>21.0</v>
      </c>
      <c r="H61" s="36">
        <v>0.85</v>
      </c>
      <c r="I61" s="36">
        <v>17.9</v>
      </c>
      <c r="J61" s="36">
        <v>90.0</v>
      </c>
      <c r="K61" s="36">
        <v>105.0</v>
      </c>
      <c r="L61" s="36">
        <v>47.4</v>
      </c>
      <c r="M61" s="36">
        <v>93.0</v>
      </c>
      <c r="N61" s="36">
        <v>52.0</v>
      </c>
      <c r="O61" s="36">
        <v>21.0</v>
      </c>
      <c r="P61" s="36">
        <v>26.0</v>
      </c>
      <c r="Q61" s="36">
        <v>0.32</v>
      </c>
      <c r="R61" s="36">
        <v>0.91</v>
      </c>
      <c r="S61" s="36">
        <v>1.93</v>
      </c>
      <c r="T61" s="36">
        <v>2.84</v>
      </c>
      <c r="U61" s="21">
        <f t="shared" si="1"/>
        <v>2840</v>
      </c>
      <c r="V61" s="21">
        <f t="shared" si="2"/>
        <v>0</v>
      </c>
    </row>
    <row r="62" ht="14.25" customHeight="1">
      <c r="A62" s="38">
        <v>0.20902777777777778</v>
      </c>
      <c r="B62" s="36">
        <v>85.0</v>
      </c>
      <c r="C62" s="36">
        <v>9.7</v>
      </c>
      <c r="D62" s="36">
        <v>865.0</v>
      </c>
      <c r="E62" s="36">
        <v>700.0</v>
      </c>
      <c r="F62" s="36">
        <v>0.81</v>
      </c>
      <c r="G62" s="36">
        <v>21.0</v>
      </c>
      <c r="H62" s="36">
        <v>0.85</v>
      </c>
      <c r="I62" s="36">
        <v>17.9</v>
      </c>
      <c r="J62" s="36">
        <v>90.0</v>
      </c>
      <c r="K62" s="36">
        <v>106.0</v>
      </c>
      <c r="L62" s="36">
        <v>46.6</v>
      </c>
      <c r="M62" s="36">
        <v>93.0</v>
      </c>
      <c r="N62" s="36">
        <v>52.0</v>
      </c>
      <c r="O62" s="36">
        <v>21.0</v>
      </c>
      <c r="P62" s="36">
        <v>26.0</v>
      </c>
      <c r="Q62" s="36">
        <v>0.32</v>
      </c>
      <c r="R62" s="36">
        <v>0.91</v>
      </c>
      <c r="S62" s="36">
        <v>1.93</v>
      </c>
      <c r="T62" s="36">
        <v>2.84</v>
      </c>
      <c r="U62" s="21">
        <f t="shared" si="1"/>
        <v>2840</v>
      </c>
      <c r="V62" s="21">
        <f t="shared" si="2"/>
        <v>900</v>
      </c>
    </row>
    <row r="63" ht="14.25" customHeight="1">
      <c r="A63" s="38">
        <v>0.2111111111111111</v>
      </c>
      <c r="B63" s="36">
        <v>86.0</v>
      </c>
      <c r="C63" s="36">
        <v>9.8</v>
      </c>
      <c r="D63" s="36">
        <v>880.0</v>
      </c>
      <c r="E63" s="36">
        <v>701.0</v>
      </c>
      <c r="F63" s="36">
        <v>0.8</v>
      </c>
      <c r="G63" s="36">
        <v>21.0</v>
      </c>
      <c r="H63" s="36">
        <v>0.83</v>
      </c>
      <c r="I63" s="36">
        <v>17.8</v>
      </c>
      <c r="J63" s="36">
        <v>90.0</v>
      </c>
      <c r="K63" s="36">
        <v>108.0</v>
      </c>
      <c r="L63" s="36">
        <v>45.8</v>
      </c>
      <c r="M63" s="36">
        <v>92.0</v>
      </c>
      <c r="N63" s="36">
        <v>52.0</v>
      </c>
      <c r="O63" s="36">
        <v>21.0</v>
      </c>
      <c r="P63" s="36">
        <v>26.0</v>
      </c>
      <c r="Q63" s="36">
        <v>0.34</v>
      </c>
      <c r="R63" s="36">
        <v>0.94</v>
      </c>
      <c r="S63" s="36">
        <v>1.87</v>
      </c>
      <c r="T63" s="36">
        <v>2.81</v>
      </c>
      <c r="U63" s="21">
        <f t="shared" si="1"/>
        <v>2810</v>
      </c>
      <c r="V63" s="21">
        <f t="shared" si="2"/>
        <v>900</v>
      </c>
    </row>
    <row r="64" ht="14.25" customHeight="1">
      <c r="A64" s="38">
        <v>0.21319444444444444</v>
      </c>
      <c r="B64" s="36">
        <v>88.0</v>
      </c>
      <c r="C64" s="36">
        <v>10.1</v>
      </c>
      <c r="D64" s="36">
        <v>905.0</v>
      </c>
      <c r="E64" s="36">
        <v>721.0</v>
      </c>
      <c r="F64" s="36">
        <v>0.8</v>
      </c>
      <c r="G64" s="36">
        <v>22.0</v>
      </c>
      <c r="H64" s="36">
        <v>0.85</v>
      </c>
      <c r="I64" s="36">
        <v>18.4</v>
      </c>
      <c r="J64" s="36">
        <v>89.7</v>
      </c>
      <c r="K64" s="36">
        <v>107.0</v>
      </c>
      <c r="L64" s="36">
        <v>46.4</v>
      </c>
      <c r="M64" s="36">
        <v>92.0</v>
      </c>
      <c r="N64" s="36">
        <v>52.0</v>
      </c>
      <c r="O64" s="36">
        <v>22.0</v>
      </c>
      <c r="P64" s="36">
        <v>27.0</v>
      </c>
      <c r="Q64" s="36">
        <v>0.34</v>
      </c>
      <c r="R64" s="36">
        <v>0.94</v>
      </c>
      <c r="S64" s="36">
        <v>1.83</v>
      </c>
      <c r="T64" s="36">
        <v>2.78</v>
      </c>
      <c r="U64" s="21">
        <f t="shared" si="1"/>
        <v>2780</v>
      </c>
      <c r="V64" s="21">
        <f t="shared" si="2"/>
        <v>1600</v>
      </c>
    </row>
    <row r="65" ht="14.25" customHeight="1">
      <c r="A65" s="38">
        <v>0.2152777777777778</v>
      </c>
      <c r="B65" s="36">
        <v>89.0</v>
      </c>
      <c r="C65" s="36">
        <v>10.5</v>
      </c>
      <c r="D65" s="36">
        <v>938.0</v>
      </c>
      <c r="E65" s="36">
        <v>747.0</v>
      </c>
      <c r="F65" s="36">
        <v>0.8</v>
      </c>
      <c r="G65" s="36">
        <v>21.0</v>
      </c>
      <c r="H65" s="36">
        <v>0.89</v>
      </c>
      <c r="I65" s="36">
        <v>18.9</v>
      </c>
      <c r="J65" s="36">
        <v>89.4</v>
      </c>
      <c r="K65" s="36">
        <v>107.0</v>
      </c>
      <c r="L65" s="36">
        <v>46.4</v>
      </c>
      <c r="M65" s="36">
        <v>92.0</v>
      </c>
      <c r="N65" s="36">
        <v>52.0</v>
      </c>
      <c r="O65" s="36">
        <v>21.0</v>
      </c>
      <c r="P65" s="36">
        <v>28.0</v>
      </c>
      <c r="Q65" s="36">
        <v>0.34</v>
      </c>
      <c r="R65" s="36">
        <v>0.95</v>
      </c>
      <c r="S65" s="36">
        <v>1.87</v>
      </c>
      <c r="T65" s="36">
        <v>2.82</v>
      </c>
      <c r="U65" s="21">
        <f t="shared" si="1"/>
        <v>2820</v>
      </c>
      <c r="V65" s="21">
        <f t="shared" si="2"/>
        <v>0</v>
      </c>
    </row>
    <row r="66" ht="14.25" customHeight="1">
      <c r="A66" s="38">
        <v>0.21736111111111112</v>
      </c>
      <c r="B66" s="36">
        <v>91.0</v>
      </c>
      <c r="C66" s="36">
        <v>10.7</v>
      </c>
      <c r="D66" s="36">
        <v>953.0</v>
      </c>
      <c r="E66" s="36">
        <v>759.0</v>
      </c>
      <c r="F66" s="36">
        <v>0.8</v>
      </c>
      <c r="G66" s="36">
        <v>21.0</v>
      </c>
      <c r="H66" s="36">
        <v>0.9</v>
      </c>
      <c r="I66" s="36">
        <v>19.1</v>
      </c>
      <c r="J66" s="36">
        <v>89.3</v>
      </c>
      <c r="K66" s="36">
        <v>108.0</v>
      </c>
      <c r="L66" s="36">
        <v>45.9</v>
      </c>
      <c r="M66" s="36">
        <v>91.0</v>
      </c>
      <c r="N66" s="36">
        <v>52.0</v>
      </c>
      <c r="O66" s="36">
        <v>21.0</v>
      </c>
      <c r="P66" s="36">
        <v>28.0</v>
      </c>
      <c r="Q66" s="36">
        <v>0.33</v>
      </c>
      <c r="R66" s="36">
        <v>0.94</v>
      </c>
      <c r="S66" s="36">
        <v>1.88</v>
      </c>
      <c r="T66" s="36">
        <v>2.82</v>
      </c>
      <c r="U66" s="21">
        <f t="shared" si="1"/>
        <v>2820</v>
      </c>
      <c r="V66" s="21">
        <f t="shared" si="2"/>
        <v>900</v>
      </c>
    </row>
    <row r="67" ht="14.25" customHeight="1">
      <c r="A67" s="38">
        <v>0.21944444444444444</v>
      </c>
      <c r="B67" s="36">
        <v>92.0</v>
      </c>
      <c r="C67" s="36">
        <v>10.9</v>
      </c>
      <c r="D67" s="36">
        <v>977.0</v>
      </c>
      <c r="E67" s="36">
        <v>785.0</v>
      </c>
      <c r="F67" s="36">
        <v>0.8</v>
      </c>
      <c r="G67" s="36">
        <v>22.0</v>
      </c>
      <c r="H67" s="36">
        <v>0.91</v>
      </c>
      <c r="I67" s="36">
        <v>19.7</v>
      </c>
      <c r="J67" s="36">
        <v>89.0</v>
      </c>
      <c r="K67" s="36">
        <v>110.0</v>
      </c>
      <c r="L67" s="36">
        <v>44.9</v>
      </c>
      <c r="M67" s="36">
        <v>92.0</v>
      </c>
      <c r="N67" s="36">
        <v>52.0</v>
      </c>
      <c r="O67" s="36">
        <v>22.0</v>
      </c>
      <c r="P67" s="36">
        <v>29.0</v>
      </c>
      <c r="Q67" s="36">
        <v>0.33</v>
      </c>
      <c r="R67" s="36">
        <v>0.92</v>
      </c>
      <c r="S67" s="36">
        <v>1.87</v>
      </c>
      <c r="T67" s="36">
        <v>2.79</v>
      </c>
      <c r="U67" s="21">
        <f t="shared" si="1"/>
        <v>2790</v>
      </c>
      <c r="V67" s="21">
        <f t="shared" si="2"/>
        <v>0</v>
      </c>
    </row>
    <row r="68" ht="14.25" customHeight="1">
      <c r="A68" s="38">
        <v>0.22083333333333333</v>
      </c>
      <c r="B68" s="36">
        <v>94.0</v>
      </c>
      <c r="C68" s="36">
        <v>10.9</v>
      </c>
      <c r="D68" s="36">
        <v>977.0</v>
      </c>
      <c r="E68" s="36">
        <v>788.0</v>
      </c>
      <c r="F68" s="36">
        <v>0.81</v>
      </c>
      <c r="G68" s="36">
        <v>22.0</v>
      </c>
      <c r="H68" s="36">
        <v>0.92</v>
      </c>
      <c r="I68" s="36">
        <v>19.8</v>
      </c>
      <c r="J68" s="36">
        <v>88.9</v>
      </c>
      <c r="K68" s="36">
        <v>110.0</v>
      </c>
      <c r="L68" s="36">
        <v>45.0</v>
      </c>
      <c r="M68" s="36">
        <v>92.0</v>
      </c>
      <c r="N68" s="36">
        <v>52.0</v>
      </c>
      <c r="O68" s="36">
        <v>22.0</v>
      </c>
      <c r="P68" s="36">
        <v>29.0</v>
      </c>
      <c r="Q68" s="36">
        <v>0.34</v>
      </c>
      <c r="R68" s="36">
        <v>0.95</v>
      </c>
      <c r="S68" s="36">
        <v>1.84</v>
      </c>
      <c r="T68" s="36">
        <v>2.79</v>
      </c>
      <c r="U68" s="21">
        <f t="shared" si="1"/>
        <v>2790</v>
      </c>
      <c r="V68" s="21">
        <f t="shared" si="2"/>
        <v>0</v>
      </c>
    </row>
    <row r="69" ht="14.25" customHeight="1">
      <c r="A69" s="38">
        <v>0.22291666666666668</v>
      </c>
      <c r="B69" s="36">
        <v>95.0</v>
      </c>
      <c r="C69" s="36">
        <v>10.9</v>
      </c>
      <c r="D69" s="36">
        <v>977.0</v>
      </c>
      <c r="E69" s="36">
        <v>788.0</v>
      </c>
      <c r="F69" s="36">
        <v>0.81</v>
      </c>
      <c r="G69" s="36">
        <v>22.0</v>
      </c>
      <c r="H69" s="36">
        <v>0.92</v>
      </c>
      <c r="I69" s="36">
        <v>19.8</v>
      </c>
      <c r="J69" s="36">
        <v>88.9</v>
      </c>
      <c r="K69" s="36">
        <v>108.0</v>
      </c>
      <c r="L69" s="36">
        <v>45.7</v>
      </c>
      <c r="M69" s="36">
        <v>92.0</v>
      </c>
      <c r="N69" s="36">
        <v>52.0</v>
      </c>
      <c r="O69" s="36">
        <v>22.0</v>
      </c>
      <c r="P69" s="36">
        <v>29.0</v>
      </c>
      <c r="Q69" s="36">
        <v>0.34</v>
      </c>
      <c r="R69" s="36">
        <v>0.95</v>
      </c>
      <c r="S69" s="36">
        <v>1.84</v>
      </c>
      <c r="T69" s="36">
        <v>2.79</v>
      </c>
      <c r="U69" s="21">
        <f t="shared" si="1"/>
        <v>2790</v>
      </c>
      <c r="V69" s="21">
        <f t="shared" si="2"/>
        <v>0</v>
      </c>
    </row>
    <row r="70" ht="14.25" customHeight="1">
      <c r="A70" s="38">
        <v>0.22430555555555556</v>
      </c>
      <c r="B70" s="36">
        <v>96.0</v>
      </c>
      <c r="C70" s="36">
        <v>11.3</v>
      </c>
      <c r="D70" s="36">
        <v>1008.0</v>
      </c>
      <c r="E70" s="36">
        <v>818.0</v>
      </c>
      <c r="F70" s="36">
        <v>0.81</v>
      </c>
      <c r="G70" s="36">
        <v>21.0</v>
      </c>
      <c r="H70" s="36">
        <v>0.95</v>
      </c>
      <c r="I70" s="36">
        <v>20.4</v>
      </c>
      <c r="J70" s="36">
        <v>88.5</v>
      </c>
      <c r="K70" s="36">
        <v>108.0</v>
      </c>
      <c r="L70" s="36">
        <v>45.7</v>
      </c>
      <c r="M70" s="36">
        <v>92.0</v>
      </c>
      <c r="N70" s="36">
        <v>52.0</v>
      </c>
      <c r="O70" s="36">
        <v>21.0</v>
      </c>
      <c r="P70" s="36">
        <v>30.0</v>
      </c>
      <c r="Q70" s="36">
        <v>0.33</v>
      </c>
      <c r="R70" s="36">
        <v>0.93</v>
      </c>
      <c r="S70" s="36">
        <v>1.86</v>
      </c>
      <c r="T70" s="36">
        <v>2.79</v>
      </c>
      <c r="U70" s="21">
        <f t="shared" si="1"/>
        <v>2790</v>
      </c>
      <c r="V70" s="21">
        <f t="shared" si="2"/>
        <v>1600</v>
      </c>
    </row>
    <row r="71" ht="14.25" customHeight="1">
      <c r="A71" s="38">
        <v>0.22708333333333333</v>
      </c>
      <c r="B71" s="36">
        <v>98.0</v>
      </c>
      <c r="C71" s="36">
        <v>11.3</v>
      </c>
      <c r="D71" s="36">
        <v>1010.0</v>
      </c>
      <c r="E71" s="36">
        <v>819.0</v>
      </c>
      <c r="F71" s="36">
        <v>0.81</v>
      </c>
      <c r="G71" s="36">
        <v>22.0</v>
      </c>
      <c r="H71" s="36">
        <v>0.93</v>
      </c>
      <c r="I71" s="36">
        <v>20.3</v>
      </c>
      <c r="J71" s="36">
        <v>88.6</v>
      </c>
      <c r="K71" s="36">
        <v>109.0</v>
      </c>
      <c r="L71" s="36">
        <v>45.1</v>
      </c>
      <c r="M71" s="36">
        <v>92.0</v>
      </c>
      <c r="N71" s="36">
        <v>52.0</v>
      </c>
      <c r="O71" s="36">
        <v>22.0</v>
      </c>
      <c r="P71" s="36">
        <v>30.0</v>
      </c>
      <c r="Q71" s="36">
        <v>0.34</v>
      </c>
      <c r="R71" s="36">
        <v>0.93</v>
      </c>
      <c r="S71" s="36">
        <v>1.81</v>
      </c>
      <c r="T71" s="36">
        <v>2.75</v>
      </c>
      <c r="U71" s="21">
        <f t="shared" si="1"/>
        <v>2750</v>
      </c>
      <c r="V71" s="21">
        <f t="shared" si="2"/>
        <v>900</v>
      </c>
    </row>
    <row r="72" ht="14.25" customHeight="1">
      <c r="A72" s="38">
        <v>0.22916666666666666</v>
      </c>
      <c r="B72" s="36">
        <v>99.0</v>
      </c>
      <c r="C72" s="36">
        <v>11.4</v>
      </c>
      <c r="D72" s="36">
        <v>1018.0</v>
      </c>
      <c r="E72" s="36">
        <v>826.0</v>
      </c>
      <c r="F72" s="36">
        <v>0.81</v>
      </c>
      <c r="G72" s="36">
        <v>22.0</v>
      </c>
      <c r="H72" s="36">
        <v>0.95</v>
      </c>
      <c r="I72" s="36">
        <v>20.4</v>
      </c>
      <c r="J72" s="36">
        <v>88.6</v>
      </c>
      <c r="K72" s="36">
        <v>112.0</v>
      </c>
      <c r="L72" s="36">
        <v>43.9</v>
      </c>
      <c r="M72" s="36">
        <v>92.0</v>
      </c>
      <c r="N72" s="36">
        <v>52.0</v>
      </c>
      <c r="O72" s="36">
        <v>22.0</v>
      </c>
      <c r="P72" s="36">
        <v>30.0</v>
      </c>
      <c r="Q72" s="36">
        <v>0.34</v>
      </c>
      <c r="R72" s="36">
        <v>0.96</v>
      </c>
      <c r="S72" s="36">
        <v>1.83</v>
      </c>
      <c r="T72" s="36">
        <v>2.78</v>
      </c>
      <c r="U72" s="21">
        <f t="shared" si="1"/>
        <v>2780</v>
      </c>
      <c r="V72" s="21">
        <f t="shared" si="2"/>
        <v>100</v>
      </c>
    </row>
    <row r="73" ht="14.25" customHeight="1">
      <c r="A73" s="38">
        <v>0.23125</v>
      </c>
      <c r="B73" s="36">
        <v>100.0</v>
      </c>
      <c r="C73" s="36">
        <v>11.4</v>
      </c>
      <c r="D73" s="36">
        <v>1020.0</v>
      </c>
      <c r="E73" s="36">
        <v>832.0</v>
      </c>
      <c r="F73" s="36">
        <v>0.82</v>
      </c>
      <c r="G73" s="36">
        <v>22.0</v>
      </c>
      <c r="H73" s="36">
        <v>0.96</v>
      </c>
      <c r="I73" s="36">
        <v>20.6</v>
      </c>
      <c r="J73" s="36">
        <v>88.4</v>
      </c>
      <c r="K73" s="36">
        <v>112.0</v>
      </c>
      <c r="L73" s="36">
        <v>43.8</v>
      </c>
      <c r="M73" s="36">
        <v>92.0</v>
      </c>
      <c r="N73" s="36">
        <v>52.0</v>
      </c>
      <c r="O73" s="36">
        <v>22.0</v>
      </c>
      <c r="P73" s="36">
        <v>30.0</v>
      </c>
      <c r="Q73" s="36">
        <v>0.35</v>
      </c>
      <c r="R73" s="36">
        <v>0.98</v>
      </c>
      <c r="S73" s="36">
        <v>1.81</v>
      </c>
      <c r="T73" s="36">
        <v>2.79</v>
      </c>
      <c r="U73" s="21">
        <f t="shared" si="1"/>
        <v>2790</v>
      </c>
      <c r="V73" s="21">
        <f t="shared" si="2"/>
        <v>100</v>
      </c>
    </row>
    <row r="74" ht="14.25" customHeight="1">
      <c r="A74" s="38">
        <v>0.2326388888888889</v>
      </c>
      <c r="B74" s="36">
        <v>102.0</v>
      </c>
      <c r="C74" s="36">
        <v>11.6</v>
      </c>
      <c r="D74" s="36">
        <v>1038.0</v>
      </c>
      <c r="E74" s="36">
        <v>844.0</v>
      </c>
      <c r="F74" s="36">
        <v>0.81</v>
      </c>
      <c r="G74" s="36">
        <v>22.0</v>
      </c>
      <c r="H74" s="36">
        <v>0.97</v>
      </c>
      <c r="I74" s="36">
        <v>20.9</v>
      </c>
      <c r="J74" s="36">
        <v>88.3</v>
      </c>
      <c r="K74" s="36">
        <v>113.0</v>
      </c>
      <c r="L74" s="36">
        <v>43.3</v>
      </c>
      <c r="M74" s="36">
        <v>92.0</v>
      </c>
      <c r="N74" s="36">
        <v>52.0</v>
      </c>
      <c r="O74" s="36">
        <v>22.0</v>
      </c>
      <c r="P74" s="36">
        <v>31.0</v>
      </c>
      <c r="Q74" s="36">
        <v>0.35</v>
      </c>
      <c r="R74" s="36">
        <v>0.98</v>
      </c>
      <c r="S74" s="36">
        <v>1.8</v>
      </c>
      <c r="T74" s="36">
        <v>2.78</v>
      </c>
      <c r="U74" s="21">
        <f t="shared" si="1"/>
        <v>2780</v>
      </c>
      <c r="V74" s="21">
        <f t="shared" si="2"/>
        <v>400</v>
      </c>
    </row>
    <row r="75" ht="14.25" customHeight="1">
      <c r="A75" s="38">
        <v>0.23472222222222222</v>
      </c>
      <c r="B75" s="36">
        <v>103.0</v>
      </c>
      <c r="C75" s="36">
        <v>12.1</v>
      </c>
      <c r="D75" s="36">
        <v>1085.0</v>
      </c>
      <c r="E75" s="36">
        <v>883.0</v>
      </c>
      <c r="F75" s="36">
        <v>0.81</v>
      </c>
      <c r="G75" s="36">
        <v>21.0</v>
      </c>
      <c r="H75" s="36">
        <v>1.01</v>
      </c>
      <c r="I75" s="36">
        <v>21.6</v>
      </c>
      <c r="J75" s="36">
        <v>87.9</v>
      </c>
      <c r="K75" s="36">
        <v>115.0</v>
      </c>
      <c r="L75" s="36">
        <v>42.3</v>
      </c>
      <c r="M75" s="36">
        <v>92.0</v>
      </c>
      <c r="N75" s="36">
        <v>53.0</v>
      </c>
      <c r="O75" s="36">
        <v>21.0</v>
      </c>
      <c r="P75" s="36">
        <v>32.0</v>
      </c>
      <c r="Q75" s="36">
        <v>0.35</v>
      </c>
      <c r="R75" s="36">
        <v>0.98</v>
      </c>
      <c r="S75" s="36">
        <v>1.82</v>
      </c>
      <c r="T75" s="36">
        <v>2.8</v>
      </c>
      <c r="U75" s="21">
        <f t="shared" si="1"/>
        <v>2800</v>
      </c>
      <c r="V75" s="21">
        <f t="shared" si="2"/>
        <v>4900</v>
      </c>
    </row>
    <row r="76" ht="14.25" customHeight="1">
      <c r="A76" s="38">
        <v>0.23680555555555555</v>
      </c>
      <c r="B76" s="36">
        <v>105.0</v>
      </c>
      <c r="C76" s="36">
        <v>12.0</v>
      </c>
      <c r="D76" s="36">
        <v>1073.0</v>
      </c>
      <c r="E76" s="36">
        <v>878.0</v>
      </c>
      <c r="F76" s="36">
        <v>0.82</v>
      </c>
      <c r="G76" s="36">
        <v>21.0</v>
      </c>
      <c r="H76" s="36">
        <v>1.03</v>
      </c>
      <c r="I76" s="36">
        <v>21.5</v>
      </c>
      <c r="J76" s="36">
        <v>88.0</v>
      </c>
      <c r="K76" s="36">
        <v>117.0</v>
      </c>
      <c r="L76" s="36">
        <v>41.3</v>
      </c>
      <c r="M76" s="36">
        <v>92.0</v>
      </c>
      <c r="N76" s="36">
        <v>53.0</v>
      </c>
      <c r="O76" s="36">
        <v>21.0</v>
      </c>
      <c r="P76" s="36">
        <v>32.0</v>
      </c>
      <c r="Q76" s="36">
        <v>0.34</v>
      </c>
      <c r="R76" s="36">
        <v>0.99</v>
      </c>
      <c r="S76" s="36">
        <v>1.89</v>
      </c>
      <c r="T76" s="36">
        <v>2.87</v>
      </c>
      <c r="U76" s="21">
        <f t="shared" si="1"/>
        <v>2870</v>
      </c>
      <c r="V76" s="21">
        <f t="shared" si="2"/>
        <v>1600</v>
      </c>
    </row>
    <row r="77" ht="14.25" customHeight="1">
      <c r="A77" s="38">
        <v>0.2388888888888889</v>
      </c>
      <c r="B77" s="36">
        <v>106.0</v>
      </c>
      <c r="C77" s="36">
        <v>12.0</v>
      </c>
      <c r="D77" s="36">
        <v>1076.0</v>
      </c>
      <c r="E77" s="36">
        <v>879.0</v>
      </c>
      <c r="F77" s="36">
        <v>0.82</v>
      </c>
      <c r="G77" s="36">
        <v>21.0</v>
      </c>
      <c r="H77" s="36">
        <v>1.04</v>
      </c>
      <c r="I77" s="36">
        <v>21.4</v>
      </c>
      <c r="J77" s="36">
        <v>88.0</v>
      </c>
      <c r="K77" s="36">
        <v>119.0</v>
      </c>
      <c r="L77" s="36">
        <v>40.4</v>
      </c>
      <c r="M77" s="36">
        <v>92.0</v>
      </c>
      <c r="N77" s="36">
        <v>53.0</v>
      </c>
      <c r="O77" s="36">
        <v>21.0</v>
      </c>
      <c r="P77" s="36">
        <v>32.0</v>
      </c>
      <c r="Q77" s="36">
        <v>0.35</v>
      </c>
      <c r="R77" s="36">
        <v>1.01</v>
      </c>
      <c r="S77" s="36">
        <v>1.9</v>
      </c>
      <c r="T77" s="36">
        <v>2.91</v>
      </c>
      <c r="U77" s="21">
        <f t="shared" si="1"/>
        <v>2910</v>
      </c>
      <c r="V77" s="21">
        <f t="shared" si="2"/>
        <v>19600</v>
      </c>
    </row>
    <row r="78" ht="14.25" customHeight="1">
      <c r="A78" s="38">
        <v>0.24166666666666667</v>
      </c>
      <c r="B78" s="36">
        <v>108.0</v>
      </c>
      <c r="C78" s="36">
        <v>12.2</v>
      </c>
      <c r="D78" s="36">
        <v>1088.0</v>
      </c>
      <c r="E78" s="36">
        <v>884.0</v>
      </c>
      <c r="F78" s="36">
        <v>0.81</v>
      </c>
      <c r="G78" s="36">
        <v>20.0</v>
      </c>
      <c r="H78" s="36">
        <v>1.07</v>
      </c>
      <c r="I78" s="36">
        <v>21.1</v>
      </c>
      <c r="J78" s="36">
        <v>88.2</v>
      </c>
      <c r="K78" s="36">
        <v>121.0</v>
      </c>
      <c r="L78" s="36">
        <v>39.2</v>
      </c>
      <c r="M78" s="36">
        <v>91.0</v>
      </c>
      <c r="N78" s="36">
        <v>53.0</v>
      </c>
      <c r="O78" s="36">
        <v>20.0</v>
      </c>
      <c r="P78" s="36">
        <v>32.0</v>
      </c>
      <c r="Q78" s="36">
        <v>0.33</v>
      </c>
      <c r="R78" s="36">
        <v>0.99</v>
      </c>
      <c r="S78" s="36">
        <v>2.06</v>
      </c>
      <c r="T78" s="36">
        <v>3.05</v>
      </c>
      <c r="U78" s="21">
        <f t="shared" si="1"/>
        <v>3050</v>
      </c>
      <c r="V78" s="21">
        <f t="shared" si="2"/>
        <v>4900</v>
      </c>
    </row>
    <row r="79" ht="14.25" customHeight="1">
      <c r="A79" s="38">
        <v>0.24375</v>
      </c>
      <c r="B79" s="36">
        <v>110.0</v>
      </c>
      <c r="C79" s="36">
        <v>12.0</v>
      </c>
      <c r="D79" s="36">
        <v>1077.0</v>
      </c>
      <c r="E79" s="36">
        <v>880.0</v>
      </c>
      <c r="F79" s="36">
        <v>0.82</v>
      </c>
      <c r="G79" s="36">
        <v>20.0</v>
      </c>
      <c r="H79" s="36">
        <v>1.05</v>
      </c>
      <c r="I79" s="36">
        <v>21.1</v>
      </c>
      <c r="J79" s="36">
        <v>88.2</v>
      </c>
      <c r="K79" s="36">
        <v>121.0</v>
      </c>
      <c r="L79" s="36">
        <v>39.2</v>
      </c>
      <c r="M79" s="36">
        <v>91.0</v>
      </c>
      <c r="N79" s="36">
        <v>53.0</v>
      </c>
      <c r="O79" s="36">
        <v>20.0</v>
      </c>
      <c r="P79" s="36">
        <v>32.0</v>
      </c>
      <c r="Q79" s="36">
        <v>0.33</v>
      </c>
      <c r="R79" s="36">
        <v>0.98</v>
      </c>
      <c r="S79" s="36">
        <v>2.0</v>
      </c>
      <c r="T79" s="36">
        <v>2.98</v>
      </c>
      <c r="U79" s="21">
        <f t="shared" si="1"/>
        <v>2980</v>
      </c>
      <c r="V79" s="21">
        <f t="shared" si="2"/>
        <v>10000</v>
      </c>
    </row>
    <row r="80" ht="14.25" customHeight="1">
      <c r="A80" s="38">
        <v>0.24583333333333332</v>
      </c>
      <c r="B80" s="36">
        <v>112.0</v>
      </c>
      <c r="C80" s="36">
        <v>12.2</v>
      </c>
      <c r="D80" s="36">
        <v>1088.0</v>
      </c>
      <c r="E80" s="36">
        <v>886.0</v>
      </c>
      <c r="F80" s="36">
        <v>0.81</v>
      </c>
      <c r="G80" s="36">
        <v>19.0</v>
      </c>
      <c r="H80" s="36">
        <v>1.08</v>
      </c>
      <c r="I80" s="36">
        <v>21.0</v>
      </c>
      <c r="J80" s="36">
        <v>88.2</v>
      </c>
      <c r="K80" s="36">
        <v>121.0</v>
      </c>
      <c r="L80" s="36">
        <v>39.2</v>
      </c>
      <c r="M80" s="36">
        <v>91.0</v>
      </c>
      <c r="N80" s="36">
        <v>53.0</v>
      </c>
      <c r="O80" s="36">
        <v>19.0</v>
      </c>
      <c r="P80" s="36">
        <v>32.0</v>
      </c>
      <c r="Q80" s="36">
        <v>0.33</v>
      </c>
      <c r="R80" s="36">
        <v>1.01</v>
      </c>
      <c r="S80" s="36">
        <v>2.07</v>
      </c>
      <c r="T80" s="36">
        <v>3.08</v>
      </c>
      <c r="U80" s="21">
        <f t="shared" si="1"/>
        <v>3080</v>
      </c>
      <c r="V80" s="21">
        <f t="shared" si="2"/>
        <v>100</v>
      </c>
    </row>
    <row r="81" ht="14.25" customHeight="1">
      <c r="A81" s="38">
        <v>0.24791666666666667</v>
      </c>
      <c r="B81" s="36">
        <v>112.0</v>
      </c>
      <c r="C81" s="36">
        <v>12.3</v>
      </c>
      <c r="D81" s="36">
        <v>1105.0</v>
      </c>
      <c r="E81" s="36">
        <v>900.0</v>
      </c>
      <c r="F81" s="36">
        <v>0.81</v>
      </c>
      <c r="G81" s="36">
        <v>19.0</v>
      </c>
      <c r="H81" s="36">
        <v>1.09</v>
      </c>
      <c r="I81" s="36">
        <v>21.2</v>
      </c>
      <c r="J81" s="36">
        <v>88.1</v>
      </c>
      <c r="K81" s="36">
        <v>121.0</v>
      </c>
      <c r="L81" s="36">
        <v>39.2</v>
      </c>
      <c r="M81" s="36">
        <v>91.0</v>
      </c>
      <c r="N81" s="36">
        <v>53.0</v>
      </c>
      <c r="O81" s="36">
        <v>19.0</v>
      </c>
      <c r="P81" s="36">
        <v>33.0</v>
      </c>
      <c r="Q81" s="36">
        <v>0.33</v>
      </c>
      <c r="R81" s="36">
        <v>1.02</v>
      </c>
      <c r="S81" s="36">
        <v>2.07</v>
      </c>
      <c r="T81" s="36">
        <v>3.09</v>
      </c>
      <c r="U81" s="21">
        <f t="shared" si="1"/>
        <v>3090</v>
      </c>
      <c r="V81" s="21">
        <f t="shared" si="2"/>
        <v>16900</v>
      </c>
    </row>
    <row r="82" ht="14.25" customHeight="1">
      <c r="A82" s="38">
        <v>0.24930555555555556</v>
      </c>
      <c r="B82" s="36">
        <v>114.0</v>
      </c>
      <c r="C82" s="36">
        <v>12.4</v>
      </c>
      <c r="D82" s="36">
        <v>1110.0</v>
      </c>
      <c r="E82" s="36">
        <v>908.0</v>
      </c>
      <c r="F82" s="36">
        <v>0.82</v>
      </c>
      <c r="G82" s="36">
        <v>20.0</v>
      </c>
      <c r="H82" s="36">
        <v>1.07</v>
      </c>
      <c r="I82" s="36">
        <v>21.6</v>
      </c>
      <c r="J82" s="36">
        <v>87.9</v>
      </c>
      <c r="K82" s="36">
        <v>120.0</v>
      </c>
      <c r="L82" s="36">
        <v>39.7</v>
      </c>
      <c r="M82" s="36">
        <v>91.0</v>
      </c>
      <c r="N82" s="36">
        <v>53.0</v>
      </c>
      <c r="O82" s="36">
        <v>20.0</v>
      </c>
      <c r="P82" s="36">
        <v>33.0</v>
      </c>
      <c r="Q82" s="36">
        <v>0.33</v>
      </c>
      <c r="R82" s="36">
        <v>0.97</v>
      </c>
      <c r="S82" s="36">
        <v>2.0</v>
      </c>
      <c r="T82" s="36">
        <v>2.96</v>
      </c>
      <c r="U82" s="21">
        <f t="shared" si="1"/>
        <v>2960</v>
      </c>
      <c r="V82" s="21">
        <f t="shared" si="2"/>
        <v>22500</v>
      </c>
    </row>
    <row r="83" ht="14.25" customHeight="1">
      <c r="A83" s="38">
        <v>0.2520833333333333</v>
      </c>
      <c r="B83" s="36">
        <v>116.0</v>
      </c>
      <c r="C83" s="36">
        <v>12.7</v>
      </c>
      <c r="D83" s="36">
        <v>1135.0</v>
      </c>
      <c r="E83" s="36">
        <v>933.0</v>
      </c>
      <c r="F83" s="36">
        <v>0.82</v>
      </c>
      <c r="G83" s="36">
        <v>21.0</v>
      </c>
      <c r="H83" s="36">
        <v>1.05</v>
      </c>
      <c r="I83" s="36">
        <v>22.4</v>
      </c>
      <c r="J83" s="36">
        <v>87.4</v>
      </c>
      <c r="K83" s="36">
        <v>117.0</v>
      </c>
      <c r="L83" s="36">
        <v>41.1</v>
      </c>
      <c r="M83" s="36">
        <v>92.0</v>
      </c>
      <c r="N83" s="36">
        <v>53.0</v>
      </c>
      <c r="O83" s="36">
        <v>21.0</v>
      </c>
      <c r="P83" s="36">
        <v>34.0</v>
      </c>
      <c r="Q83" s="36">
        <v>0.32</v>
      </c>
      <c r="R83" s="36">
        <v>0.9</v>
      </c>
      <c r="S83" s="36">
        <v>1.9</v>
      </c>
      <c r="T83" s="36">
        <v>2.81</v>
      </c>
      <c r="U83" s="21">
        <f t="shared" si="1"/>
        <v>2810</v>
      </c>
      <c r="V83" s="21">
        <f t="shared" si="2"/>
        <v>25600</v>
      </c>
    </row>
    <row r="84" ht="14.25" customHeight="1">
      <c r="A84" s="38">
        <v>0.25277777777777777</v>
      </c>
      <c r="B84" s="36">
        <v>116.0</v>
      </c>
      <c r="C84" s="36">
        <v>12.4</v>
      </c>
      <c r="D84" s="36">
        <v>1110.0</v>
      </c>
      <c r="E84" s="36">
        <v>907.0</v>
      </c>
      <c r="F84" s="36">
        <v>0.82</v>
      </c>
      <c r="G84" s="36">
        <v>20.0</v>
      </c>
      <c r="H84" s="36">
        <v>1.07</v>
      </c>
      <c r="I84" s="36">
        <v>21.6</v>
      </c>
      <c r="J84" s="36">
        <v>87.9</v>
      </c>
      <c r="K84" s="36">
        <v>117.0</v>
      </c>
      <c r="L84" s="36">
        <v>41.5</v>
      </c>
      <c r="M84" s="36">
        <v>92.0</v>
      </c>
      <c r="N84" s="36">
        <v>53.0</v>
      </c>
      <c r="O84" s="36">
        <v>20.0</v>
      </c>
      <c r="P84" s="36">
        <v>33.0</v>
      </c>
      <c r="Q84" s="36">
        <v>0.33</v>
      </c>
      <c r="R84" s="36">
        <v>0.97</v>
      </c>
      <c r="S84" s="36">
        <v>2.0</v>
      </c>
      <c r="T84" s="36">
        <v>2.97</v>
      </c>
      <c r="U84" s="21">
        <f t="shared" si="1"/>
        <v>2970</v>
      </c>
      <c r="V84" s="21">
        <f t="shared" si="2"/>
        <v>90000</v>
      </c>
    </row>
    <row r="85" ht="14.25" customHeight="1">
      <c r="A85" s="38">
        <v>0.25416666666666665</v>
      </c>
      <c r="B85" s="36">
        <v>117.0</v>
      </c>
      <c r="C85" s="36">
        <v>12.4</v>
      </c>
      <c r="D85" s="36">
        <v>1114.0</v>
      </c>
      <c r="E85" s="36">
        <v>927.0</v>
      </c>
      <c r="F85" s="36">
        <v>0.83</v>
      </c>
      <c r="G85" s="36">
        <v>23.0</v>
      </c>
      <c r="H85" s="36">
        <v>1.01</v>
      </c>
      <c r="I85" s="36">
        <v>22.8</v>
      </c>
      <c r="J85" s="36">
        <v>87.2</v>
      </c>
      <c r="K85" s="36">
        <v>118.0</v>
      </c>
      <c r="L85" s="36">
        <v>40.9</v>
      </c>
      <c r="M85" s="36">
        <v>94.0</v>
      </c>
      <c r="N85" s="36">
        <v>52.0</v>
      </c>
      <c r="O85" s="36">
        <v>23.0</v>
      </c>
      <c r="P85" s="36">
        <v>33.0</v>
      </c>
      <c r="Q85" s="36">
        <v>0.35</v>
      </c>
      <c r="R85" s="36">
        <v>0.92</v>
      </c>
      <c r="S85" s="36">
        <v>1.74</v>
      </c>
      <c r="T85" s="36">
        <v>2.67</v>
      </c>
      <c r="U85" s="21">
        <f t="shared" si="1"/>
        <v>2670</v>
      </c>
      <c r="V85" s="21">
        <f t="shared" si="2"/>
        <v>40000</v>
      </c>
    </row>
    <row r="86" ht="14.25" customHeight="1">
      <c r="A86" s="38">
        <v>0.25625</v>
      </c>
      <c r="B86" s="36">
        <v>118.0</v>
      </c>
      <c r="C86" s="36">
        <v>12.6</v>
      </c>
      <c r="D86" s="36">
        <v>1124.0</v>
      </c>
      <c r="E86" s="36">
        <v>956.0</v>
      </c>
      <c r="F86" s="36">
        <v>0.85</v>
      </c>
      <c r="G86" s="36">
        <v>24.0</v>
      </c>
      <c r="H86" s="36">
        <v>0.98</v>
      </c>
      <c r="I86" s="36">
        <v>23.9</v>
      </c>
      <c r="J86" s="36">
        <v>86.6</v>
      </c>
      <c r="K86" s="36">
        <v>117.0</v>
      </c>
      <c r="L86" s="36">
        <v>41.2</v>
      </c>
      <c r="M86" s="36">
        <v>95.0</v>
      </c>
      <c r="N86" s="36">
        <v>52.0</v>
      </c>
      <c r="O86" s="36">
        <v>24.0</v>
      </c>
      <c r="P86" s="36">
        <v>33.0</v>
      </c>
      <c r="Q86" s="36">
        <v>0.33</v>
      </c>
      <c r="R86" s="36">
        <v>0.83</v>
      </c>
      <c r="S86" s="36">
        <v>1.65</v>
      </c>
      <c r="T86" s="36">
        <v>2.47</v>
      </c>
      <c r="U86" s="21">
        <f t="shared" si="1"/>
        <v>2470</v>
      </c>
      <c r="V86" s="21">
        <f t="shared" si="2"/>
        <v>12100</v>
      </c>
    </row>
    <row r="87" ht="14.25" customHeight="1">
      <c r="A87" s="38">
        <v>0.25833333333333336</v>
      </c>
      <c r="B87" s="36">
        <v>120.0</v>
      </c>
      <c r="C87" s="36">
        <v>12.8</v>
      </c>
      <c r="D87" s="36">
        <v>1143.0</v>
      </c>
      <c r="E87" s="36">
        <v>989.0</v>
      </c>
      <c r="F87" s="36">
        <v>0.86</v>
      </c>
      <c r="G87" s="36">
        <v>25.0</v>
      </c>
      <c r="H87" s="36">
        <v>0.97</v>
      </c>
      <c r="I87" s="36">
        <v>24.8</v>
      </c>
      <c r="J87" s="36">
        <v>86.1</v>
      </c>
      <c r="K87" s="36">
        <v>117.0</v>
      </c>
      <c r="L87" s="36">
        <v>41.2</v>
      </c>
      <c r="M87" s="36">
        <v>95.0</v>
      </c>
      <c r="N87" s="36">
        <v>52.0</v>
      </c>
      <c r="O87" s="36">
        <v>25.0</v>
      </c>
      <c r="P87" s="36">
        <v>34.0</v>
      </c>
      <c r="Q87" s="36">
        <v>0.32</v>
      </c>
      <c r="R87" s="36">
        <v>0.76</v>
      </c>
      <c r="S87" s="36">
        <v>1.59</v>
      </c>
      <c r="T87" s="36">
        <v>2.36</v>
      </c>
      <c r="U87" s="21">
        <f t="shared" si="1"/>
        <v>2360</v>
      </c>
      <c r="V87" s="21">
        <f t="shared" si="2"/>
        <v>16900</v>
      </c>
    </row>
    <row r="88" ht="14.25" customHeight="1">
      <c r="A88" s="38">
        <v>0.2604166666666667</v>
      </c>
      <c r="B88" s="36">
        <v>122.0</v>
      </c>
      <c r="C88" s="36">
        <v>12.3</v>
      </c>
      <c r="D88" s="36">
        <v>1104.0</v>
      </c>
      <c r="E88" s="36">
        <v>961.0</v>
      </c>
      <c r="F88" s="36">
        <v>0.87</v>
      </c>
      <c r="G88" s="36">
        <v>24.0</v>
      </c>
      <c r="H88" s="36">
        <v>0.99</v>
      </c>
      <c r="I88" s="36">
        <v>23.9</v>
      </c>
      <c r="J88" s="36">
        <v>86.6</v>
      </c>
      <c r="K88" s="36">
        <v>117.0</v>
      </c>
      <c r="L88" s="36">
        <v>41.4</v>
      </c>
      <c r="M88" s="36">
        <v>95.0</v>
      </c>
      <c r="N88" s="36">
        <v>52.0</v>
      </c>
      <c r="O88" s="36">
        <v>24.0</v>
      </c>
      <c r="P88" s="36">
        <v>33.0</v>
      </c>
      <c r="Q88" s="36">
        <v>0.32</v>
      </c>
      <c r="R88" s="36">
        <v>0.79</v>
      </c>
      <c r="S88" s="36">
        <v>1.7</v>
      </c>
      <c r="T88" s="36">
        <v>2.49</v>
      </c>
      <c r="U88" s="21">
        <f t="shared" si="1"/>
        <v>2490</v>
      </c>
      <c r="V88" s="21">
        <f t="shared" si="2"/>
        <v>3600</v>
      </c>
    </row>
    <row r="89" ht="14.25" customHeight="1">
      <c r="A89" s="38">
        <v>0.26180555555555557</v>
      </c>
      <c r="B89" s="36">
        <v>123.0</v>
      </c>
      <c r="C89" s="36">
        <v>11.7</v>
      </c>
      <c r="D89" s="36">
        <v>1045.0</v>
      </c>
      <c r="E89" s="36">
        <v>905.0</v>
      </c>
      <c r="F89" s="36">
        <v>0.87</v>
      </c>
      <c r="G89" s="36">
        <v>24.0</v>
      </c>
      <c r="H89" s="36">
        <v>0.95</v>
      </c>
      <c r="I89" s="36">
        <v>22.4</v>
      </c>
      <c r="J89" s="36">
        <v>87.4</v>
      </c>
      <c r="K89" s="36">
        <v>117.0</v>
      </c>
      <c r="L89" s="36">
        <v>41.4</v>
      </c>
      <c r="M89" s="36">
        <v>95.0</v>
      </c>
      <c r="N89" s="36">
        <v>52.0</v>
      </c>
      <c r="O89" s="36">
        <v>24.0</v>
      </c>
      <c r="P89" s="36">
        <v>31.0</v>
      </c>
      <c r="Q89" s="36">
        <v>0.33</v>
      </c>
      <c r="R89" s="36">
        <v>0.84</v>
      </c>
      <c r="S89" s="36">
        <v>1.71</v>
      </c>
      <c r="T89" s="36">
        <v>2.55</v>
      </c>
      <c r="U89" s="21">
        <f t="shared" si="1"/>
        <v>2550</v>
      </c>
      <c r="V89" s="21">
        <f t="shared" si="2"/>
        <v>84100</v>
      </c>
    </row>
    <row r="90" ht="14.25" customHeight="1">
      <c r="A90" s="38">
        <v>0.26458333333333334</v>
      </c>
      <c r="B90" s="36">
        <v>125.0</v>
      </c>
      <c r="C90" s="36">
        <v>11.8</v>
      </c>
      <c r="D90" s="36">
        <v>1052.0</v>
      </c>
      <c r="E90" s="36">
        <v>890.0</v>
      </c>
      <c r="F90" s="36">
        <v>0.85</v>
      </c>
      <c r="G90" s="36">
        <v>21.0</v>
      </c>
      <c r="H90" s="36">
        <v>1.0</v>
      </c>
      <c r="I90" s="36">
        <v>21.2</v>
      </c>
      <c r="J90" s="36">
        <v>88.1</v>
      </c>
      <c r="K90" s="36">
        <v>116.0</v>
      </c>
      <c r="L90" s="36">
        <v>41.6</v>
      </c>
      <c r="M90" s="36">
        <v>93.0</v>
      </c>
      <c r="N90" s="36">
        <v>53.0</v>
      </c>
      <c r="O90" s="36">
        <v>21.0</v>
      </c>
      <c r="P90" s="36">
        <v>31.0</v>
      </c>
      <c r="Q90" s="36">
        <v>0.31</v>
      </c>
      <c r="R90" s="36">
        <v>0.88</v>
      </c>
      <c r="S90" s="36">
        <v>1.96</v>
      </c>
      <c r="T90" s="36">
        <v>2.84</v>
      </c>
      <c r="U90" s="21">
        <f t="shared" si="1"/>
        <v>2840</v>
      </c>
      <c r="V90" s="21">
        <f t="shared" si="2"/>
        <v>4900</v>
      </c>
    </row>
    <row r="91" ht="14.25" customHeight="1">
      <c r="A91" s="38">
        <v>0.2659722222222222</v>
      </c>
      <c r="B91" s="36">
        <v>126.0</v>
      </c>
      <c r="C91" s="36">
        <v>11.9</v>
      </c>
      <c r="D91" s="36">
        <v>1065.0</v>
      </c>
      <c r="E91" s="36">
        <v>911.0</v>
      </c>
      <c r="F91" s="36">
        <v>0.86</v>
      </c>
      <c r="G91" s="36">
        <v>22.0</v>
      </c>
      <c r="H91" s="36">
        <v>1.01</v>
      </c>
      <c r="I91" s="36">
        <v>21.8</v>
      </c>
      <c r="J91" s="36">
        <v>87.8</v>
      </c>
      <c r="K91" s="36">
        <v>115.0</v>
      </c>
      <c r="L91" s="36">
        <v>42.3</v>
      </c>
      <c r="M91" s="36">
        <v>92.0</v>
      </c>
      <c r="N91" s="36">
        <v>53.0</v>
      </c>
      <c r="O91" s="36">
        <v>22.0</v>
      </c>
      <c r="P91" s="36">
        <v>32.0</v>
      </c>
      <c r="Q91" s="36">
        <v>0.31</v>
      </c>
      <c r="R91" s="36">
        <v>0.85</v>
      </c>
      <c r="S91" s="36">
        <v>1.92</v>
      </c>
      <c r="T91" s="36">
        <v>2.77</v>
      </c>
      <c r="U91" s="21">
        <f t="shared" si="1"/>
        <v>2770</v>
      </c>
      <c r="V91" s="21">
        <f t="shared" si="2"/>
        <v>72900</v>
      </c>
    </row>
    <row r="92" ht="14.25" customHeight="1">
      <c r="A92" s="38">
        <v>0.26875</v>
      </c>
      <c r="B92" s="36">
        <v>128.0</v>
      </c>
      <c r="C92" s="36">
        <v>11.8</v>
      </c>
      <c r="D92" s="36">
        <v>1053.0</v>
      </c>
      <c r="E92" s="36">
        <v>886.0</v>
      </c>
      <c r="F92" s="36">
        <v>0.84</v>
      </c>
      <c r="G92" s="36">
        <v>20.0</v>
      </c>
      <c r="H92" s="36">
        <v>1.06</v>
      </c>
      <c r="I92" s="36">
        <v>21.0</v>
      </c>
      <c r="J92" s="36">
        <v>88.2</v>
      </c>
      <c r="K92" s="36">
        <v>113.0</v>
      </c>
      <c r="L92" s="36">
        <v>43.3</v>
      </c>
      <c r="M92" s="36">
        <v>91.0</v>
      </c>
      <c r="N92" s="36">
        <v>54.0</v>
      </c>
      <c r="O92" s="36">
        <v>20.0</v>
      </c>
      <c r="P92" s="36">
        <v>31.0</v>
      </c>
      <c r="Q92" s="36">
        <v>0.29</v>
      </c>
      <c r="R92" s="36">
        <v>0.87</v>
      </c>
      <c r="S92" s="36">
        <v>2.17</v>
      </c>
      <c r="T92" s="36">
        <v>3.04</v>
      </c>
      <c r="U92" s="21">
        <f t="shared" si="1"/>
        <v>3040</v>
      </c>
      <c r="V92" s="21">
        <f t="shared" si="2"/>
        <v>0</v>
      </c>
    </row>
    <row r="93" ht="14.25" customHeight="1">
      <c r="A93" s="38">
        <v>0.2708333333333333</v>
      </c>
      <c r="B93" s="36">
        <v>129.0</v>
      </c>
      <c r="C93" s="36">
        <v>11.9</v>
      </c>
      <c r="D93" s="36">
        <v>1065.0</v>
      </c>
      <c r="E93" s="36">
        <v>895.0</v>
      </c>
      <c r="F93" s="36">
        <v>0.84</v>
      </c>
      <c r="G93" s="36">
        <v>20.0</v>
      </c>
      <c r="H93" s="36">
        <v>1.07</v>
      </c>
      <c r="I93" s="36">
        <v>21.1</v>
      </c>
      <c r="J93" s="36">
        <v>88.2</v>
      </c>
      <c r="K93" s="36">
        <v>112.0</v>
      </c>
      <c r="L93" s="36">
        <v>43.6</v>
      </c>
      <c r="M93" s="36">
        <v>90.0</v>
      </c>
      <c r="N93" s="36">
        <v>54.0</v>
      </c>
      <c r="O93" s="36">
        <v>20.0</v>
      </c>
      <c r="P93" s="36">
        <v>32.0</v>
      </c>
      <c r="Q93" s="36">
        <v>0.28</v>
      </c>
      <c r="R93" s="36">
        <v>0.86</v>
      </c>
      <c r="S93" s="36">
        <v>2.18</v>
      </c>
      <c r="T93" s="36">
        <v>3.04</v>
      </c>
      <c r="U93" s="21">
        <f t="shared" si="1"/>
        <v>3040</v>
      </c>
      <c r="V93" s="21">
        <f t="shared" si="2"/>
        <v>2500</v>
      </c>
    </row>
    <row r="94" ht="14.25" customHeight="1">
      <c r="A94" s="38">
        <v>0.2722222222222222</v>
      </c>
      <c r="B94" s="36">
        <v>131.0</v>
      </c>
      <c r="C94" s="36">
        <v>11.7</v>
      </c>
      <c r="D94" s="36">
        <v>1051.0</v>
      </c>
      <c r="E94" s="36">
        <v>867.0</v>
      </c>
      <c r="F94" s="36">
        <v>0.82</v>
      </c>
      <c r="G94" s="36">
        <v>19.0</v>
      </c>
      <c r="H94" s="36">
        <v>1.05</v>
      </c>
      <c r="I94" s="36">
        <v>20.4</v>
      </c>
      <c r="J94" s="36">
        <v>88.5</v>
      </c>
      <c r="K94" s="36">
        <v>112.0</v>
      </c>
      <c r="L94" s="36">
        <v>43.9</v>
      </c>
      <c r="M94" s="36">
        <v>89.0</v>
      </c>
      <c r="N94" s="36">
        <v>54.0</v>
      </c>
      <c r="O94" s="36">
        <v>19.0</v>
      </c>
      <c r="P94" s="36">
        <v>31.0</v>
      </c>
      <c r="Q94" s="36">
        <v>0.28</v>
      </c>
      <c r="R94" s="36">
        <v>0.87</v>
      </c>
      <c r="S94" s="36">
        <v>2.22</v>
      </c>
      <c r="T94" s="36">
        <v>3.09</v>
      </c>
      <c r="U94" s="21">
        <f t="shared" si="1"/>
        <v>3090</v>
      </c>
      <c r="V94" s="21">
        <f t="shared" si="2"/>
        <v>400</v>
      </c>
    </row>
    <row r="95" ht="14.25" customHeight="1">
      <c r="A95" s="38">
        <v>0.2743055555555556</v>
      </c>
      <c r="B95" s="36">
        <v>132.0</v>
      </c>
      <c r="C95" s="36">
        <v>12.3</v>
      </c>
      <c r="D95" s="36">
        <v>1098.0</v>
      </c>
      <c r="E95" s="36">
        <v>896.0</v>
      </c>
      <c r="F95" s="36">
        <v>0.82</v>
      </c>
      <c r="G95" s="36">
        <v>20.0</v>
      </c>
      <c r="H95" s="36">
        <v>1.08</v>
      </c>
      <c r="I95" s="36">
        <v>21.0</v>
      </c>
      <c r="J95" s="36">
        <v>88.2</v>
      </c>
      <c r="K95" s="36">
        <v>111.0</v>
      </c>
      <c r="L95" s="36">
        <v>44.3</v>
      </c>
      <c r="M95" s="36">
        <v>89.0</v>
      </c>
      <c r="N95" s="36">
        <v>54.0</v>
      </c>
      <c r="O95" s="36">
        <v>20.0</v>
      </c>
      <c r="P95" s="36">
        <v>33.0</v>
      </c>
      <c r="Q95" s="36">
        <v>0.29</v>
      </c>
      <c r="R95" s="36">
        <v>0.89</v>
      </c>
      <c r="S95" s="36">
        <v>2.18</v>
      </c>
      <c r="T95" s="36">
        <v>3.07</v>
      </c>
      <c r="U95" s="21">
        <f t="shared" si="1"/>
        <v>3070</v>
      </c>
      <c r="V95" s="21">
        <f t="shared" si="2"/>
        <v>16900</v>
      </c>
    </row>
    <row r="96" ht="14.25" customHeight="1">
      <c r="A96" s="38">
        <v>0.27569444444444446</v>
      </c>
      <c r="B96" s="36">
        <v>133.0</v>
      </c>
      <c r="C96" s="36">
        <v>12.8</v>
      </c>
      <c r="D96" s="36">
        <v>1148.0</v>
      </c>
      <c r="E96" s="36">
        <v>938.0</v>
      </c>
      <c r="F96" s="36">
        <v>0.82</v>
      </c>
      <c r="G96" s="36">
        <v>20.0</v>
      </c>
      <c r="H96" s="36">
        <v>1.08</v>
      </c>
      <c r="I96" s="36">
        <v>22.0</v>
      </c>
      <c r="J96" s="36">
        <v>87.6</v>
      </c>
      <c r="K96" s="36">
        <v>111.0</v>
      </c>
      <c r="L96" s="36">
        <v>44.3</v>
      </c>
      <c r="M96" s="36">
        <v>89.0</v>
      </c>
      <c r="N96" s="36">
        <v>54.0</v>
      </c>
      <c r="O96" s="36">
        <v>20.0</v>
      </c>
      <c r="P96" s="36">
        <v>34.0</v>
      </c>
      <c r="Q96" s="36">
        <v>0.3</v>
      </c>
      <c r="R96" s="36">
        <v>0.88</v>
      </c>
      <c r="S96" s="36">
        <v>2.07</v>
      </c>
      <c r="T96" s="36">
        <v>2.94</v>
      </c>
      <c r="U96" s="21">
        <f t="shared" si="1"/>
        <v>2940</v>
      </c>
      <c r="V96" s="21">
        <f t="shared" si="2"/>
        <v>36100</v>
      </c>
    </row>
    <row r="97" ht="14.25" customHeight="1">
      <c r="A97" s="38">
        <v>0.2777777777777778</v>
      </c>
      <c r="B97" s="36">
        <v>134.0</v>
      </c>
      <c r="C97" s="36">
        <v>13.7</v>
      </c>
      <c r="D97" s="36">
        <v>1222.0</v>
      </c>
      <c r="E97" s="36">
        <v>999.0</v>
      </c>
      <c r="F97" s="36">
        <v>0.82</v>
      </c>
      <c r="G97" s="36">
        <v>22.0</v>
      </c>
      <c r="H97" s="36">
        <v>1.09</v>
      </c>
      <c r="I97" s="36">
        <v>23.7</v>
      </c>
      <c r="J97" s="36">
        <v>86.7</v>
      </c>
      <c r="K97" s="36">
        <v>112.0</v>
      </c>
      <c r="L97" s="36">
        <v>43.5</v>
      </c>
      <c r="M97" s="36">
        <v>89.0</v>
      </c>
      <c r="N97" s="36">
        <v>54.0</v>
      </c>
      <c r="O97" s="36">
        <v>22.0</v>
      </c>
      <c r="P97" s="36">
        <v>36.0</v>
      </c>
      <c r="Q97" s="36">
        <v>0.31</v>
      </c>
      <c r="R97" s="36">
        <v>0.86</v>
      </c>
      <c r="S97" s="36">
        <v>1.89</v>
      </c>
      <c r="T97" s="36">
        <v>2.75</v>
      </c>
      <c r="U97" s="21">
        <f t="shared" si="1"/>
        <v>2750</v>
      </c>
      <c r="V97" s="21">
        <f t="shared" si="2"/>
        <v>1600</v>
      </c>
    </row>
    <row r="98" ht="14.25" customHeight="1">
      <c r="A98" s="38">
        <v>0.2791666666666667</v>
      </c>
      <c r="B98" s="36">
        <v>136.0</v>
      </c>
      <c r="C98" s="36">
        <v>14.0</v>
      </c>
      <c r="D98" s="36">
        <v>1252.0</v>
      </c>
      <c r="E98" s="36">
        <v>1015.0</v>
      </c>
      <c r="F98" s="36">
        <v>0.81</v>
      </c>
      <c r="G98" s="36">
        <v>21.0</v>
      </c>
      <c r="H98" s="36">
        <v>1.12</v>
      </c>
      <c r="I98" s="36">
        <v>24.0</v>
      </c>
      <c r="J98" s="36">
        <v>86.5</v>
      </c>
      <c r="K98" s="36">
        <v>114.0</v>
      </c>
      <c r="L98" s="36">
        <v>42.9</v>
      </c>
      <c r="M98" s="36">
        <v>90.0</v>
      </c>
      <c r="N98" s="36">
        <v>54.0</v>
      </c>
      <c r="O98" s="36">
        <v>21.0</v>
      </c>
      <c r="P98" s="36">
        <v>37.0</v>
      </c>
      <c r="Q98" s="36">
        <v>0.31</v>
      </c>
      <c r="R98" s="36">
        <v>0.86</v>
      </c>
      <c r="S98" s="36">
        <v>1.93</v>
      </c>
      <c r="T98" s="36">
        <v>2.79</v>
      </c>
      <c r="U98" s="21">
        <f t="shared" si="1"/>
        <v>2790</v>
      </c>
      <c r="V98" s="21">
        <f t="shared" si="2"/>
        <v>102400</v>
      </c>
    </row>
    <row r="99" ht="14.25" customHeight="1">
      <c r="A99" s="38">
        <v>0.28125</v>
      </c>
      <c r="B99" s="36">
        <v>136.0</v>
      </c>
      <c r="C99" s="36">
        <v>14.7</v>
      </c>
      <c r="D99" s="36">
        <v>1317.0</v>
      </c>
      <c r="E99" s="36">
        <v>1070.0</v>
      </c>
      <c r="F99" s="36">
        <v>0.81</v>
      </c>
      <c r="G99" s="36">
        <v>24.0</v>
      </c>
      <c r="H99" s="36">
        <v>1.05</v>
      </c>
      <c r="I99" s="36">
        <v>25.6</v>
      </c>
      <c r="J99" s="36">
        <v>85.7</v>
      </c>
      <c r="K99" s="36">
        <v>115.0</v>
      </c>
      <c r="L99" s="36">
        <v>42.3</v>
      </c>
      <c r="M99" s="36">
        <v>91.0</v>
      </c>
      <c r="N99" s="36">
        <v>53.0</v>
      </c>
      <c r="O99" s="36">
        <v>24.0</v>
      </c>
      <c r="P99" s="36">
        <v>39.0</v>
      </c>
      <c r="Q99" s="36">
        <v>0.35</v>
      </c>
      <c r="R99" s="36">
        <v>0.86</v>
      </c>
      <c r="S99" s="36">
        <v>1.61</v>
      </c>
      <c r="T99" s="36">
        <v>2.47</v>
      </c>
      <c r="U99" s="21">
        <f t="shared" si="1"/>
        <v>2470</v>
      </c>
      <c r="V99" s="21">
        <f t="shared" si="2"/>
        <v>2500</v>
      </c>
    </row>
    <row r="100" ht="14.25" customHeight="1">
      <c r="A100" s="38">
        <v>0.2826388888888889</v>
      </c>
      <c r="B100" s="36">
        <v>138.0</v>
      </c>
      <c r="C100" s="36">
        <v>14.9</v>
      </c>
      <c r="D100" s="36">
        <v>1336.0</v>
      </c>
      <c r="E100" s="36">
        <v>1093.0</v>
      </c>
      <c r="F100" s="36">
        <v>0.82</v>
      </c>
      <c r="G100" s="36">
        <v>25.0</v>
      </c>
      <c r="H100" s="36">
        <v>1.06</v>
      </c>
      <c r="I100" s="36">
        <v>26.3</v>
      </c>
      <c r="J100" s="36">
        <v>85.2</v>
      </c>
      <c r="K100" s="36">
        <v>116.0</v>
      </c>
      <c r="L100" s="36">
        <v>41.7</v>
      </c>
      <c r="M100" s="36">
        <v>92.0</v>
      </c>
      <c r="N100" s="36">
        <v>53.0</v>
      </c>
      <c r="O100" s="36">
        <v>25.0</v>
      </c>
      <c r="P100" s="36">
        <v>40.0</v>
      </c>
      <c r="Q100" s="36">
        <v>0.33</v>
      </c>
      <c r="R100" s="36">
        <v>0.81</v>
      </c>
      <c r="S100" s="36">
        <v>1.61</v>
      </c>
      <c r="T100" s="36">
        <v>2.42</v>
      </c>
      <c r="U100" s="21">
        <f t="shared" si="1"/>
        <v>2420</v>
      </c>
      <c r="V100" s="21">
        <f t="shared" si="2"/>
        <v>400</v>
      </c>
    </row>
    <row r="101" ht="14.25" customHeight="1">
      <c r="A101" s="38">
        <v>0.28402777777777777</v>
      </c>
      <c r="B101" s="36">
        <v>139.0</v>
      </c>
      <c r="C101" s="36">
        <v>15.3</v>
      </c>
      <c r="D101" s="36">
        <v>1367.0</v>
      </c>
      <c r="E101" s="36">
        <v>1115.0</v>
      </c>
      <c r="F101" s="36">
        <v>0.82</v>
      </c>
      <c r="G101" s="36">
        <v>25.0</v>
      </c>
      <c r="H101" s="36">
        <v>1.07</v>
      </c>
      <c r="I101" s="36">
        <v>26.8</v>
      </c>
      <c r="J101" s="36">
        <v>85.0</v>
      </c>
      <c r="K101" s="36">
        <v>117.0</v>
      </c>
      <c r="L101" s="36">
        <v>41.4</v>
      </c>
      <c r="M101" s="36">
        <v>92.0</v>
      </c>
      <c r="N101" s="36">
        <v>53.0</v>
      </c>
      <c r="O101" s="36">
        <v>25.0</v>
      </c>
      <c r="P101" s="36">
        <v>41.0</v>
      </c>
      <c r="Q101" s="36">
        <v>0.34</v>
      </c>
      <c r="R101" s="36">
        <v>0.82</v>
      </c>
      <c r="S101" s="36">
        <v>1.58</v>
      </c>
      <c r="T101" s="36">
        <v>2.4</v>
      </c>
      <c r="U101" s="21">
        <f t="shared" si="1"/>
        <v>2400</v>
      </c>
      <c r="V101" s="21">
        <f t="shared" si="2"/>
        <v>400</v>
      </c>
    </row>
    <row r="102" ht="14.25" customHeight="1">
      <c r="A102" s="38">
        <v>0.2861111111111111</v>
      </c>
      <c r="B102" s="36">
        <v>140.0</v>
      </c>
      <c r="C102" s="36">
        <v>14.7</v>
      </c>
      <c r="D102" s="36">
        <v>1318.0</v>
      </c>
      <c r="E102" s="36">
        <v>1085.0</v>
      </c>
      <c r="F102" s="36">
        <v>0.82</v>
      </c>
      <c r="G102" s="36">
        <v>25.0</v>
      </c>
      <c r="H102" s="36">
        <v>1.05</v>
      </c>
      <c r="I102" s="36">
        <v>26.2</v>
      </c>
      <c r="J102" s="36">
        <v>85.3</v>
      </c>
      <c r="K102" s="36">
        <v>117.0</v>
      </c>
      <c r="L102" s="36">
        <v>41.4</v>
      </c>
      <c r="M102" s="36">
        <v>92.0</v>
      </c>
      <c r="N102" s="36">
        <v>53.0</v>
      </c>
      <c r="O102" s="36">
        <v>25.0</v>
      </c>
      <c r="P102" s="36">
        <v>39.0</v>
      </c>
      <c r="Q102" s="36">
        <v>0.34</v>
      </c>
      <c r="R102" s="36">
        <v>0.82</v>
      </c>
      <c r="S102" s="36">
        <v>1.59</v>
      </c>
      <c r="T102" s="36">
        <v>2.42</v>
      </c>
      <c r="U102" s="21">
        <f t="shared" si="1"/>
        <v>2420</v>
      </c>
      <c r="V102" s="21">
        <f t="shared" si="2"/>
        <v>400</v>
      </c>
    </row>
    <row r="103" ht="14.25" customHeight="1">
      <c r="A103" s="38">
        <v>0.2875</v>
      </c>
      <c r="B103" s="36">
        <v>142.0</v>
      </c>
      <c r="C103" s="36">
        <v>14.9</v>
      </c>
      <c r="D103" s="36">
        <v>1334.0</v>
      </c>
      <c r="E103" s="36">
        <v>1108.0</v>
      </c>
      <c r="F103" s="36">
        <v>0.83</v>
      </c>
      <c r="G103" s="36">
        <v>25.0</v>
      </c>
      <c r="H103" s="36">
        <v>1.08</v>
      </c>
      <c r="I103" s="36">
        <v>26.6</v>
      </c>
      <c r="J103" s="36">
        <v>85.1</v>
      </c>
      <c r="K103" s="36">
        <v>118.0</v>
      </c>
      <c r="L103" s="36">
        <v>40.5</v>
      </c>
      <c r="M103" s="36">
        <v>93.0</v>
      </c>
      <c r="N103" s="36">
        <v>53.0</v>
      </c>
      <c r="O103" s="36">
        <v>25.0</v>
      </c>
      <c r="P103" s="36">
        <v>40.0</v>
      </c>
      <c r="Q103" s="36">
        <v>0.34</v>
      </c>
      <c r="R103" s="36">
        <v>0.83</v>
      </c>
      <c r="S103" s="36">
        <v>1.6</v>
      </c>
      <c r="T103" s="36">
        <v>2.44</v>
      </c>
      <c r="U103" s="21">
        <f t="shared" si="1"/>
        <v>2440</v>
      </c>
      <c r="V103" s="21">
        <f t="shared" si="2"/>
        <v>1600</v>
      </c>
    </row>
    <row r="104" ht="14.25" customHeight="1">
      <c r="A104" s="38">
        <v>0.28958333333333336</v>
      </c>
      <c r="B104" s="36">
        <v>143.0</v>
      </c>
      <c r="C104" s="36">
        <v>14.5</v>
      </c>
      <c r="D104" s="36">
        <v>1301.0</v>
      </c>
      <c r="E104" s="36">
        <v>1082.0</v>
      </c>
      <c r="F104" s="36">
        <v>0.83</v>
      </c>
      <c r="G104" s="36">
        <v>24.0</v>
      </c>
      <c r="H104" s="36">
        <v>1.06</v>
      </c>
      <c r="I104" s="36">
        <v>25.8</v>
      </c>
      <c r="J104" s="36">
        <v>85.6</v>
      </c>
      <c r="K104" s="36">
        <v>120.0</v>
      </c>
      <c r="L104" s="36">
        <v>39.9</v>
      </c>
      <c r="M104" s="36">
        <v>92.0</v>
      </c>
      <c r="N104" s="36">
        <v>53.0</v>
      </c>
      <c r="O104" s="36">
        <v>24.0</v>
      </c>
      <c r="P104" s="36">
        <v>39.0</v>
      </c>
      <c r="Q104" s="36">
        <v>0.34</v>
      </c>
      <c r="R104" s="36">
        <v>0.85</v>
      </c>
      <c r="S104" s="36">
        <v>1.63</v>
      </c>
      <c r="T104" s="36">
        <v>2.48</v>
      </c>
      <c r="U104" s="21">
        <f t="shared" si="1"/>
        <v>2480</v>
      </c>
      <c r="V104" s="21">
        <f t="shared" si="2"/>
        <v>100</v>
      </c>
    </row>
    <row r="105" ht="14.25" customHeight="1">
      <c r="A105" s="38">
        <v>0.2916666666666667</v>
      </c>
      <c r="B105" s="36">
        <v>144.0</v>
      </c>
      <c r="C105" s="36">
        <v>14.9</v>
      </c>
      <c r="D105" s="36">
        <v>1337.0</v>
      </c>
      <c r="E105" s="36">
        <v>1101.0</v>
      </c>
      <c r="F105" s="36">
        <v>0.82</v>
      </c>
      <c r="G105" s="36">
        <v>24.0</v>
      </c>
      <c r="H105" s="36">
        <v>1.07</v>
      </c>
      <c r="I105" s="36">
        <v>26.0</v>
      </c>
      <c r="J105" s="36">
        <v>85.4</v>
      </c>
      <c r="K105" s="36">
        <v>121.0</v>
      </c>
      <c r="L105" s="36">
        <v>39.1</v>
      </c>
      <c r="M105" s="36">
        <v>91.0</v>
      </c>
      <c r="N105" s="36">
        <v>54.0</v>
      </c>
      <c r="O105" s="36">
        <v>24.0</v>
      </c>
      <c r="P105" s="36">
        <v>40.0</v>
      </c>
      <c r="Q105" s="36">
        <v>0.35</v>
      </c>
      <c r="R105" s="36">
        <v>0.86</v>
      </c>
      <c r="S105" s="36">
        <v>1.6</v>
      </c>
      <c r="T105" s="36">
        <v>2.47</v>
      </c>
      <c r="U105" s="21">
        <f t="shared" si="1"/>
        <v>2470</v>
      </c>
      <c r="V105" s="21">
        <f t="shared" si="2"/>
        <v>900</v>
      </c>
    </row>
    <row r="106" ht="14.25" customHeight="1">
      <c r="A106" s="38">
        <v>0.29305555555555557</v>
      </c>
      <c r="B106" s="36">
        <v>145.0</v>
      </c>
      <c r="C106" s="36">
        <v>15.3</v>
      </c>
      <c r="D106" s="36">
        <v>1369.0</v>
      </c>
      <c r="E106" s="36">
        <v>1138.0</v>
      </c>
      <c r="F106" s="36">
        <v>0.83</v>
      </c>
      <c r="G106" s="36">
        <v>25.0</v>
      </c>
      <c r="H106" s="36">
        <v>1.09</v>
      </c>
      <c r="I106" s="36">
        <v>26.9</v>
      </c>
      <c r="J106" s="36">
        <v>84.9</v>
      </c>
      <c r="K106" s="36">
        <v>121.0</v>
      </c>
      <c r="L106" s="36">
        <v>39.1</v>
      </c>
      <c r="M106" s="36">
        <v>91.0</v>
      </c>
      <c r="N106" s="36">
        <v>54.0</v>
      </c>
      <c r="O106" s="36">
        <v>25.0</v>
      </c>
      <c r="P106" s="36">
        <v>41.0</v>
      </c>
      <c r="Q106" s="36">
        <v>0.34</v>
      </c>
      <c r="R106" s="36">
        <v>0.83</v>
      </c>
      <c r="S106" s="36">
        <v>1.61</v>
      </c>
      <c r="T106" s="36">
        <v>2.44</v>
      </c>
      <c r="U106" s="21">
        <f t="shared" si="1"/>
        <v>2440</v>
      </c>
      <c r="V106" s="21">
        <f t="shared" si="2"/>
        <v>6400</v>
      </c>
    </row>
    <row r="107" ht="14.25" customHeight="1">
      <c r="A107" s="38">
        <v>0.29444444444444445</v>
      </c>
      <c r="B107" s="36">
        <v>146.0</v>
      </c>
      <c r="C107" s="36">
        <v>15.1</v>
      </c>
      <c r="D107" s="36">
        <v>1349.0</v>
      </c>
      <c r="E107" s="36">
        <v>1110.0</v>
      </c>
      <c r="F107" s="36">
        <v>0.82</v>
      </c>
      <c r="G107" s="36">
        <v>24.0</v>
      </c>
      <c r="H107" s="36">
        <v>1.09</v>
      </c>
      <c r="I107" s="36">
        <v>25.9</v>
      </c>
      <c r="J107" s="36">
        <v>85.5</v>
      </c>
      <c r="K107" s="36">
        <v>122.0</v>
      </c>
      <c r="L107" s="36">
        <v>38.5</v>
      </c>
      <c r="M107" s="36">
        <v>90.0</v>
      </c>
      <c r="N107" s="36">
        <v>54.0</v>
      </c>
      <c r="O107" s="36">
        <v>24.0</v>
      </c>
      <c r="P107" s="36">
        <v>40.0</v>
      </c>
      <c r="Q107" s="36">
        <v>0.34</v>
      </c>
      <c r="R107" s="36">
        <v>0.85</v>
      </c>
      <c r="S107" s="36">
        <v>1.66</v>
      </c>
      <c r="T107" s="36">
        <v>2.52</v>
      </c>
      <c r="U107" s="21">
        <f t="shared" si="1"/>
        <v>2520</v>
      </c>
      <c r="V107" s="21">
        <f t="shared" si="2"/>
        <v>1600</v>
      </c>
    </row>
    <row r="108" ht="14.25" customHeight="1">
      <c r="A108" s="38">
        <v>0.2965277777777778</v>
      </c>
      <c r="B108" s="36">
        <v>148.0</v>
      </c>
      <c r="C108" s="36">
        <v>15.0</v>
      </c>
      <c r="D108" s="36">
        <v>1346.0</v>
      </c>
      <c r="E108" s="36">
        <v>1094.0</v>
      </c>
      <c r="F108" s="36">
        <v>0.81</v>
      </c>
      <c r="G108" s="36">
        <v>23.0</v>
      </c>
      <c r="H108" s="36">
        <v>1.08</v>
      </c>
      <c r="I108" s="36">
        <v>25.4</v>
      </c>
      <c r="J108" s="36">
        <v>85.8</v>
      </c>
      <c r="K108" s="36">
        <v>123.0</v>
      </c>
      <c r="L108" s="36">
        <v>38.2</v>
      </c>
      <c r="M108" s="36">
        <v>89.0</v>
      </c>
      <c r="N108" s="36">
        <v>55.0</v>
      </c>
      <c r="O108" s="36">
        <v>23.0</v>
      </c>
      <c r="P108" s="36">
        <v>40.0</v>
      </c>
      <c r="Q108" s="36">
        <v>0.34</v>
      </c>
      <c r="R108" s="36">
        <v>0.86</v>
      </c>
      <c r="S108" s="36">
        <v>1.7</v>
      </c>
      <c r="T108" s="36">
        <v>2.56</v>
      </c>
      <c r="U108" s="21">
        <f t="shared" si="1"/>
        <v>2560</v>
      </c>
      <c r="V108" s="21">
        <f t="shared" si="2"/>
        <v>0</v>
      </c>
    </row>
    <row r="109" ht="14.25" customHeight="1">
      <c r="A109" s="38">
        <v>0.2986111111111111</v>
      </c>
      <c r="B109" s="36">
        <v>149.0</v>
      </c>
      <c r="C109" s="36">
        <v>15.0</v>
      </c>
      <c r="D109" s="36">
        <v>1345.0</v>
      </c>
      <c r="E109" s="36">
        <v>1094.0</v>
      </c>
      <c r="F109" s="36">
        <v>0.81</v>
      </c>
      <c r="G109" s="36">
        <v>23.0</v>
      </c>
      <c r="H109" s="36">
        <v>1.08</v>
      </c>
      <c r="I109" s="36">
        <v>25.4</v>
      </c>
      <c r="J109" s="36">
        <v>85.8</v>
      </c>
      <c r="K109" s="36">
        <v>124.0</v>
      </c>
      <c r="L109" s="36">
        <v>37.8</v>
      </c>
      <c r="M109" s="36">
        <v>89.0</v>
      </c>
      <c r="N109" s="36">
        <v>55.0</v>
      </c>
      <c r="O109" s="36">
        <v>23.0</v>
      </c>
      <c r="P109" s="36">
        <v>40.0</v>
      </c>
      <c r="Q109" s="36">
        <v>0.34</v>
      </c>
      <c r="R109" s="36">
        <v>0.86</v>
      </c>
      <c r="S109" s="36">
        <v>1.7</v>
      </c>
      <c r="T109" s="36">
        <v>2.56</v>
      </c>
      <c r="U109" s="21">
        <f t="shared" si="1"/>
        <v>2560</v>
      </c>
      <c r="V109" s="21">
        <f t="shared" si="2"/>
        <v>19600</v>
      </c>
    </row>
    <row r="110" ht="14.25" customHeight="1">
      <c r="A110" s="38">
        <v>0.30069444444444443</v>
      </c>
      <c r="B110" s="36">
        <v>151.0</v>
      </c>
      <c r="C110" s="36">
        <v>15.4</v>
      </c>
      <c r="D110" s="36">
        <v>1381.0</v>
      </c>
      <c r="E110" s="36">
        <v>1097.0</v>
      </c>
      <c r="F110" s="36">
        <v>0.79</v>
      </c>
      <c r="G110" s="36">
        <v>22.0</v>
      </c>
      <c r="H110" s="36">
        <v>1.12</v>
      </c>
      <c r="I110" s="36">
        <v>24.8</v>
      </c>
      <c r="J110" s="36">
        <v>86.1</v>
      </c>
      <c r="K110" s="36">
        <v>124.0</v>
      </c>
      <c r="L110" s="36">
        <v>37.6</v>
      </c>
      <c r="M110" s="36">
        <v>87.0</v>
      </c>
      <c r="N110" s="36">
        <v>55.0</v>
      </c>
      <c r="O110" s="36">
        <v>22.0</v>
      </c>
      <c r="P110" s="36">
        <v>41.0</v>
      </c>
      <c r="Q110" s="36">
        <v>0.34</v>
      </c>
      <c r="R110" s="36">
        <v>0.9</v>
      </c>
      <c r="S110" s="36">
        <v>1.79</v>
      </c>
      <c r="T110" s="36">
        <v>2.7</v>
      </c>
      <c r="U110" s="21">
        <f t="shared" si="1"/>
        <v>2700</v>
      </c>
      <c r="V110" s="21">
        <f t="shared" si="2"/>
        <v>8100</v>
      </c>
    </row>
    <row r="111" ht="14.25" customHeight="1">
      <c r="A111" s="38">
        <v>0.30277777777777776</v>
      </c>
      <c r="B111" s="36">
        <v>152.0</v>
      </c>
      <c r="C111" s="36">
        <v>16.1</v>
      </c>
      <c r="D111" s="36">
        <v>1444.0</v>
      </c>
      <c r="E111" s="36">
        <v>1125.0</v>
      </c>
      <c r="F111" s="36">
        <v>0.78</v>
      </c>
      <c r="G111" s="36">
        <v>22.0</v>
      </c>
      <c r="H111" s="36">
        <v>1.17</v>
      </c>
      <c r="I111" s="36">
        <v>25.1</v>
      </c>
      <c r="J111" s="36">
        <v>85.9</v>
      </c>
      <c r="K111" s="36">
        <v>124.0</v>
      </c>
      <c r="L111" s="36">
        <v>37.7</v>
      </c>
      <c r="M111" s="36">
        <v>86.0</v>
      </c>
      <c r="N111" s="36">
        <v>56.0</v>
      </c>
      <c r="O111" s="36">
        <v>22.0</v>
      </c>
      <c r="P111" s="36">
        <v>43.0</v>
      </c>
      <c r="Q111" s="36">
        <v>0.35</v>
      </c>
      <c r="R111" s="36">
        <v>0.96</v>
      </c>
      <c r="S111" s="36">
        <v>1.83</v>
      </c>
      <c r="T111" s="36">
        <v>2.79</v>
      </c>
      <c r="U111" s="21">
        <f t="shared" si="1"/>
        <v>2790</v>
      </c>
      <c r="V111" s="21">
        <f t="shared" si="2"/>
        <v>6400</v>
      </c>
    </row>
    <row r="112" ht="14.25" customHeight="1">
      <c r="A112" s="38">
        <v>0.30486111111111114</v>
      </c>
      <c r="B112" s="36">
        <v>153.0</v>
      </c>
      <c r="C112" s="36">
        <v>16.3</v>
      </c>
      <c r="D112" s="36">
        <v>1462.0</v>
      </c>
      <c r="E112" s="36">
        <v>1145.0</v>
      </c>
      <c r="F112" s="36">
        <v>0.78</v>
      </c>
      <c r="G112" s="36">
        <v>21.0</v>
      </c>
      <c r="H112" s="36">
        <v>1.21</v>
      </c>
      <c r="I112" s="36">
        <v>25.4</v>
      </c>
      <c r="J112" s="36">
        <v>85.8</v>
      </c>
      <c r="K112" s="36">
        <v>124.0</v>
      </c>
      <c r="L112" s="36">
        <v>37.7</v>
      </c>
      <c r="M112" s="36">
        <v>85.0</v>
      </c>
      <c r="N112" s="36">
        <v>56.0</v>
      </c>
      <c r="O112" s="36">
        <v>21.0</v>
      </c>
      <c r="P112" s="36">
        <v>43.0</v>
      </c>
      <c r="Q112" s="36">
        <v>0.34</v>
      </c>
      <c r="R112" s="36">
        <v>0.98</v>
      </c>
      <c r="S112" s="36">
        <v>1.89</v>
      </c>
      <c r="T112" s="36">
        <v>2.87</v>
      </c>
      <c r="U112" s="21">
        <f t="shared" si="1"/>
        <v>2870</v>
      </c>
      <c r="V112" s="21">
        <f t="shared" si="2"/>
        <v>0</v>
      </c>
    </row>
    <row r="113" ht="14.25" customHeight="1">
      <c r="A113" s="38">
        <v>0.30694444444444446</v>
      </c>
      <c r="B113" s="36">
        <v>155.0</v>
      </c>
      <c r="C113" s="36">
        <v>16.3</v>
      </c>
      <c r="D113" s="36">
        <v>1461.0</v>
      </c>
      <c r="E113" s="36">
        <v>1145.0</v>
      </c>
      <c r="F113" s="36">
        <v>0.78</v>
      </c>
      <c r="G113" s="36">
        <v>21.0</v>
      </c>
      <c r="H113" s="36">
        <v>1.21</v>
      </c>
      <c r="I113" s="36">
        <v>25.4</v>
      </c>
      <c r="J113" s="36">
        <v>85.8</v>
      </c>
      <c r="K113" s="36">
        <v>124.0</v>
      </c>
      <c r="L113" s="36">
        <v>37.6</v>
      </c>
      <c r="M113" s="36">
        <v>85.0</v>
      </c>
      <c r="N113" s="36">
        <v>56.0</v>
      </c>
      <c r="O113" s="36">
        <v>21.0</v>
      </c>
      <c r="P113" s="36">
        <v>43.0</v>
      </c>
      <c r="Q113" s="36">
        <v>0.34</v>
      </c>
      <c r="R113" s="36">
        <v>0.98</v>
      </c>
      <c r="S113" s="36">
        <v>1.89</v>
      </c>
      <c r="T113" s="36">
        <v>2.87</v>
      </c>
      <c r="U113" s="21">
        <f t="shared" si="1"/>
        <v>2870</v>
      </c>
      <c r="V113" s="21">
        <f t="shared" si="2"/>
        <v>6400</v>
      </c>
    </row>
    <row r="114" ht="14.25" customHeight="1">
      <c r="A114" s="38">
        <v>0.3090277777777778</v>
      </c>
      <c r="B114" s="36">
        <v>156.0</v>
      </c>
      <c r="C114" s="36">
        <v>16.5</v>
      </c>
      <c r="D114" s="36">
        <v>1475.0</v>
      </c>
      <c r="E114" s="36">
        <v>1169.0</v>
      </c>
      <c r="F114" s="36">
        <v>0.79</v>
      </c>
      <c r="G114" s="36">
        <v>20.0</v>
      </c>
      <c r="H114" s="36">
        <v>1.26</v>
      </c>
      <c r="I114" s="36">
        <v>25.6</v>
      </c>
      <c r="J114" s="36">
        <v>85.7</v>
      </c>
      <c r="K114" s="36">
        <v>124.0</v>
      </c>
      <c r="L114" s="36">
        <v>37.6</v>
      </c>
      <c r="M114" s="36">
        <v>83.0</v>
      </c>
      <c r="N114" s="36">
        <v>57.0</v>
      </c>
      <c r="O114" s="36">
        <v>20.0</v>
      </c>
      <c r="P114" s="36">
        <v>44.0</v>
      </c>
      <c r="Q114" s="36">
        <v>0.34</v>
      </c>
      <c r="R114" s="36">
        <v>1.0</v>
      </c>
      <c r="S114" s="36">
        <v>1.95</v>
      </c>
      <c r="T114" s="36">
        <v>2.95</v>
      </c>
      <c r="U114" s="21">
        <f t="shared" si="1"/>
        <v>2950</v>
      </c>
      <c r="V114" s="21">
        <f t="shared" si="2"/>
        <v>16900</v>
      </c>
    </row>
    <row r="115" ht="14.25" customHeight="1">
      <c r="A115" s="38">
        <v>0.31180555555555556</v>
      </c>
      <c r="B115" s="36">
        <v>159.0</v>
      </c>
      <c r="C115" s="36">
        <v>16.9</v>
      </c>
      <c r="D115" s="36">
        <v>1511.0</v>
      </c>
      <c r="E115" s="36">
        <v>1201.0</v>
      </c>
      <c r="F115" s="36">
        <v>0.79</v>
      </c>
      <c r="G115" s="36">
        <v>19.0</v>
      </c>
      <c r="H115" s="36">
        <v>1.34</v>
      </c>
      <c r="I115" s="36">
        <v>26.0</v>
      </c>
      <c r="J115" s="36">
        <v>85.4</v>
      </c>
      <c r="K115" s="36">
        <v>125.0</v>
      </c>
      <c r="L115" s="36">
        <v>37.3</v>
      </c>
      <c r="M115" s="36">
        <v>83.0</v>
      </c>
      <c r="N115" s="36">
        <v>57.0</v>
      </c>
      <c r="O115" s="36">
        <v>19.0</v>
      </c>
      <c r="P115" s="36">
        <v>45.0</v>
      </c>
      <c r="Q115" s="36">
        <v>0.34</v>
      </c>
      <c r="R115" s="36">
        <v>1.04</v>
      </c>
      <c r="S115" s="36">
        <v>2.04</v>
      </c>
      <c r="T115" s="36">
        <v>3.08</v>
      </c>
      <c r="U115" s="21">
        <f t="shared" si="1"/>
        <v>3080</v>
      </c>
      <c r="V115" s="21">
        <f t="shared" si="2"/>
        <v>193600</v>
      </c>
    </row>
    <row r="116" ht="14.25" customHeight="1">
      <c r="A116" s="38">
        <v>0.31527777777777777</v>
      </c>
      <c r="B116" s="36">
        <v>161.0</v>
      </c>
      <c r="C116" s="36">
        <v>17.0</v>
      </c>
      <c r="D116" s="36">
        <v>1517.0</v>
      </c>
      <c r="E116" s="36">
        <v>1225.0</v>
      </c>
      <c r="F116" s="36">
        <v>0.81</v>
      </c>
      <c r="G116" s="36">
        <v>17.0</v>
      </c>
      <c r="H116" s="36">
        <v>1.55</v>
      </c>
      <c r="I116" s="36">
        <v>26.4</v>
      </c>
      <c r="J116" s="36">
        <v>85.2</v>
      </c>
      <c r="K116" s="36">
        <v>124.0</v>
      </c>
      <c r="L116" s="36">
        <v>37.9</v>
      </c>
      <c r="M116" s="36">
        <v>84.0</v>
      </c>
      <c r="N116" s="36">
        <v>57.0</v>
      </c>
      <c r="O116" s="36">
        <v>17.0</v>
      </c>
      <c r="P116" s="36">
        <v>45.0</v>
      </c>
      <c r="Q116" s="36">
        <v>0.37</v>
      </c>
      <c r="R116" s="36">
        <v>1.29</v>
      </c>
      <c r="S116" s="36">
        <v>2.23</v>
      </c>
      <c r="T116" s="36">
        <v>3.52</v>
      </c>
      <c r="U116" s="21">
        <f t="shared" si="1"/>
        <v>3520</v>
      </c>
      <c r="V116" s="21">
        <f t="shared" si="2"/>
        <v>10000</v>
      </c>
    </row>
    <row r="117" ht="14.25" customHeight="1">
      <c r="A117" s="38">
        <v>0.31666666666666665</v>
      </c>
      <c r="B117" s="36">
        <v>163.0</v>
      </c>
      <c r="C117" s="36">
        <v>16.9</v>
      </c>
      <c r="D117" s="36">
        <v>1514.0</v>
      </c>
      <c r="E117" s="36">
        <v>1248.0</v>
      </c>
      <c r="F117" s="36">
        <v>0.82</v>
      </c>
      <c r="G117" s="36">
        <v>18.0</v>
      </c>
      <c r="H117" s="36">
        <v>1.53</v>
      </c>
      <c r="I117" s="36">
        <v>26.9</v>
      </c>
      <c r="J117" s="36">
        <v>84.9</v>
      </c>
      <c r="K117" s="36">
        <v>126.0</v>
      </c>
      <c r="L117" s="36">
        <v>36.5</v>
      </c>
      <c r="M117" s="36">
        <v>85.0</v>
      </c>
      <c r="N117" s="36">
        <v>57.0</v>
      </c>
      <c r="O117" s="36">
        <v>18.0</v>
      </c>
      <c r="P117" s="36">
        <v>45.0</v>
      </c>
      <c r="Q117" s="36">
        <v>0.35</v>
      </c>
      <c r="R117" s="36">
        <v>1.2</v>
      </c>
      <c r="S117" s="36">
        <v>2.21</v>
      </c>
      <c r="T117" s="36">
        <v>3.42</v>
      </c>
      <c r="U117" s="21">
        <f t="shared" si="1"/>
        <v>3420</v>
      </c>
      <c r="V117" s="21">
        <f t="shared" si="2"/>
        <v>176400</v>
      </c>
    </row>
    <row r="118" ht="14.25" customHeight="1">
      <c r="A118" s="38">
        <v>0.32083333333333336</v>
      </c>
      <c r="B118" s="36">
        <v>165.0</v>
      </c>
      <c r="C118" s="36">
        <v>16.9</v>
      </c>
      <c r="D118" s="36">
        <v>1511.0</v>
      </c>
      <c r="E118" s="36">
        <v>1277.0</v>
      </c>
      <c r="F118" s="36">
        <v>0.85</v>
      </c>
      <c r="G118" s="36">
        <v>16.0</v>
      </c>
      <c r="H118" s="36">
        <v>1.74</v>
      </c>
      <c r="I118" s="36">
        <v>27.2</v>
      </c>
      <c r="J118" s="36">
        <v>84.8</v>
      </c>
      <c r="K118" s="36">
        <v>125.0</v>
      </c>
      <c r="L118" s="36">
        <v>37.0</v>
      </c>
      <c r="M118" s="36">
        <v>85.0</v>
      </c>
      <c r="N118" s="36">
        <v>57.0</v>
      </c>
      <c r="O118" s="36">
        <v>16.0</v>
      </c>
      <c r="P118" s="36">
        <v>45.0</v>
      </c>
      <c r="Q118" s="36">
        <v>0.37</v>
      </c>
      <c r="R118" s="36">
        <v>1.42</v>
      </c>
      <c r="S118" s="36">
        <v>2.42</v>
      </c>
      <c r="T118" s="36">
        <v>3.84</v>
      </c>
      <c r="U118" s="21">
        <f t="shared" si="1"/>
        <v>3840</v>
      </c>
      <c r="V118" s="21">
        <f t="shared" si="2"/>
        <v>8100</v>
      </c>
    </row>
    <row r="119" ht="14.25" customHeight="1">
      <c r="A119" s="38">
        <v>0.3229166666666667</v>
      </c>
      <c r="B119" s="36">
        <v>167.0</v>
      </c>
      <c r="C119" s="36">
        <v>17.4</v>
      </c>
      <c r="D119" s="36">
        <v>1558.0</v>
      </c>
      <c r="E119" s="36">
        <v>1298.0</v>
      </c>
      <c r="F119" s="36">
        <v>0.83</v>
      </c>
      <c r="G119" s="36">
        <v>15.0</v>
      </c>
      <c r="H119" s="36">
        <v>1.8</v>
      </c>
      <c r="I119" s="36">
        <v>27.5</v>
      </c>
      <c r="J119" s="36">
        <v>84.6</v>
      </c>
      <c r="K119" s="36">
        <v>126.0</v>
      </c>
      <c r="L119" s="36">
        <v>36.9</v>
      </c>
      <c r="M119" s="36">
        <v>85.0</v>
      </c>
      <c r="N119" s="36">
        <v>58.0</v>
      </c>
      <c r="O119" s="36">
        <v>15.0</v>
      </c>
      <c r="P119" s="36">
        <v>46.0</v>
      </c>
      <c r="Q119" s="36">
        <v>0.37</v>
      </c>
      <c r="R119" s="36">
        <v>1.46</v>
      </c>
      <c r="S119" s="36">
        <v>2.47</v>
      </c>
      <c r="T119" s="36">
        <v>3.93</v>
      </c>
      <c r="U119" s="21">
        <f t="shared" si="1"/>
        <v>3930</v>
      </c>
      <c r="V119" s="21">
        <f t="shared" si="2"/>
        <v>900</v>
      </c>
    </row>
    <row r="120" ht="14.25" customHeight="1">
      <c r="A120" s="38">
        <v>0.32430555555555557</v>
      </c>
      <c r="B120" s="36">
        <v>168.0</v>
      </c>
      <c r="C120" s="36">
        <v>17.0</v>
      </c>
      <c r="D120" s="36">
        <v>1517.0</v>
      </c>
      <c r="E120" s="36">
        <v>1291.0</v>
      </c>
      <c r="F120" s="36">
        <v>0.85</v>
      </c>
      <c r="G120" s="36">
        <v>15.0</v>
      </c>
      <c r="H120" s="36">
        <v>1.78</v>
      </c>
      <c r="I120" s="36">
        <v>27.4</v>
      </c>
      <c r="J120" s="36">
        <v>84.6</v>
      </c>
      <c r="K120" s="36">
        <v>125.0</v>
      </c>
      <c r="L120" s="36">
        <v>37.1</v>
      </c>
      <c r="M120" s="36">
        <v>85.0</v>
      </c>
      <c r="N120" s="36">
        <v>58.0</v>
      </c>
      <c r="O120" s="36">
        <v>15.0</v>
      </c>
      <c r="P120" s="36">
        <v>45.0</v>
      </c>
      <c r="Q120" s="36">
        <v>0.37</v>
      </c>
      <c r="R120" s="36">
        <v>1.43</v>
      </c>
      <c r="S120" s="36">
        <v>2.47</v>
      </c>
      <c r="T120" s="36">
        <v>3.9</v>
      </c>
      <c r="U120" s="21">
        <f t="shared" si="1"/>
        <v>3900</v>
      </c>
      <c r="V120" s="21">
        <f t="shared" si="2"/>
        <v>3600</v>
      </c>
    </row>
    <row r="121" ht="14.25" customHeight="1">
      <c r="A121" s="38">
        <v>0.3263888888888889</v>
      </c>
      <c r="B121" s="36">
        <v>170.0</v>
      </c>
      <c r="C121" s="36">
        <v>17.9</v>
      </c>
      <c r="D121" s="36">
        <v>1598.0</v>
      </c>
      <c r="E121" s="36">
        <v>1334.0</v>
      </c>
      <c r="F121" s="36">
        <v>0.83</v>
      </c>
      <c r="G121" s="36">
        <v>15.0</v>
      </c>
      <c r="H121" s="36">
        <v>1.84</v>
      </c>
      <c r="I121" s="36">
        <v>27.9</v>
      </c>
      <c r="J121" s="36">
        <v>84.4</v>
      </c>
      <c r="K121" s="36">
        <v>124.0</v>
      </c>
      <c r="L121" s="36">
        <v>37.6</v>
      </c>
      <c r="M121" s="36">
        <v>85.0</v>
      </c>
      <c r="N121" s="36">
        <v>58.0</v>
      </c>
      <c r="O121" s="36">
        <v>15.0</v>
      </c>
      <c r="P121" s="36">
        <v>47.0</v>
      </c>
      <c r="Q121" s="36">
        <v>0.37</v>
      </c>
      <c r="R121" s="36">
        <v>1.47</v>
      </c>
      <c r="S121" s="36">
        <v>2.49</v>
      </c>
      <c r="T121" s="36">
        <v>3.96</v>
      </c>
      <c r="U121" s="21">
        <f t="shared" si="1"/>
        <v>3960</v>
      </c>
      <c r="V121" s="21">
        <f t="shared" si="2"/>
        <v>3600</v>
      </c>
    </row>
    <row r="122" ht="14.25" customHeight="1">
      <c r="A122" s="38">
        <v>0.3284722222222222</v>
      </c>
      <c r="B122" s="36">
        <v>171.0</v>
      </c>
      <c r="C122" s="36">
        <v>17.7</v>
      </c>
      <c r="D122" s="36">
        <v>1581.0</v>
      </c>
      <c r="E122" s="36">
        <v>1326.0</v>
      </c>
      <c r="F122" s="36">
        <v>0.84</v>
      </c>
      <c r="G122" s="36">
        <v>15.0</v>
      </c>
      <c r="H122" s="36">
        <v>1.8</v>
      </c>
      <c r="I122" s="36">
        <v>27.7</v>
      </c>
      <c r="J122" s="36">
        <v>84.5</v>
      </c>
      <c r="K122" s="36">
        <v>123.0</v>
      </c>
      <c r="L122" s="36">
        <v>38.2</v>
      </c>
      <c r="M122" s="36">
        <v>84.0</v>
      </c>
      <c r="N122" s="36">
        <v>58.0</v>
      </c>
      <c r="O122" s="36">
        <v>15.0</v>
      </c>
      <c r="P122" s="36">
        <v>47.0</v>
      </c>
      <c r="Q122" s="36">
        <v>0.36</v>
      </c>
      <c r="R122" s="36">
        <v>1.42</v>
      </c>
      <c r="S122" s="36">
        <v>2.49</v>
      </c>
      <c r="T122" s="36">
        <v>3.9</v>
      </c>
      <c r="U122" s="21">
        <f t="shared" si="1"/>
        <v>3900</v>
      </c>
      <c r="V122" s="21">
        <f t="shared" si="2"/>
        <v>409600</v>
      </c>
    </row>
    <row r="123" ht="14.25" customHeight="1">
      <c r="A123" s="38">
        <v>0.33055555555555555</v>
      </c>
      <c r="B123" s="36">
        <v>172.0</v>
      </c>
      <c r="C123" s="36">
        <v>17.7</v>
      </c>
      <c r="D123" s="36">
        <v>1582.0</v>
      </c>
      <c r="E123" s="36">
        <v>1314.0</v>
      </c>
      <c r="F123" s="36">
        <v>0.83</v>
      </c>
      <c r="G123" s="36">
        <v>18.0</v>
      </c>
      <c r="H123" s="36">
        <v>1.5</v>
      </c>
      <c r="I123" s="36">
        <v>27.6</v>
      </c>
      <c r="J123" s="36">
        <v>84.5</v>
      </c>
      <c r="K123" s="36">
        <v>123.0</v>
      </c>
      <c r="L123" s="36">
        <v>38.1</v>
      </c>
      <c r="M123" s="36">
        <v>84.0</v>
      </c>
      <c r="N123" s="36">
        <v>58.0</v>
      </c>
      <c r="O123" s="36">
        <v>18.0</v>
      </c>
      <c r="P123" s="36">
        <v>47.0</v>
      </c>
      <c r="Q123" s="36">
        <v>0.35</v>
      </c>
      <c r="R123" s="36">
        <v>1.13</v>
      </c>
      <c r="S123" s="36">
        <v>2.13</v>
      </c>
      <c r="T123" s="36">
        <v>3.26</v>
      </c>
      <c r="U123" s="21">
        <f t="shared" si="1"/>
        <v>3260</v>
      </c>
      <c r="V123" s="21">
        <f t="shared" si="2"/>
        <v>900</v>
      </c>
    </row>
    <row r="124" ht="14.25" customHeight="1">
      <c r="A124" s="38">
        <v>0.3326388888888889</v>
      </c>
      <c r="B124" s="36">
        <v>173.0</v>
      </c>
      <c r="C124" s="36">
        <v>18.0</v>
      </c>
      <c r="D124" s="36">
        <v>1610.0</v>
      </c>
      <c r="E124" s="36">
        <v>1309.0</v>
      </c>
      <c r="F124" s="36">
        <v>0.81</v>
      </c>
      <c r="G124" s="36">
        <v>18.0</v>
      </c>
      <c r="H124" s="36">
        <v>1.5</v>
      </c>
      <c r="I124" s="36">
        <v>27.4</v>
      </c>
      <c r="J124" s="36">
        <v>84.6</v>
      </c>
      <c r="K124" s="36">
        <v>122.0</v>
      </c>
      <c r="L124" s="36">
        <v>38.5</v>
      </c>
      <c r="M124" s="36">
        <v>84.0</v>
      </c>
      <c r="N124" s="36">
        <v>58.0</v>
      </c>
      <c r="O124" s="36">
        <v>18.0</v>
      </c>
      <c r="P124" s="36">
        <v>48.0</v>
      </c>
      <c r="Q124" s="36">
        <v>0.36</v>
      </c>
      <c r="R124" s="36">
        <v>1.17</v>
      </c>
      <c r="S124" s="36">
        <v>2.12</v>
      </c>
      <c r="T124" s="36">
        <v>3.29</v>
      </c>
      <c r="U124" s="21">
        <f t="shared" si="1"/>
        <v>3290</v>
      </c>
      <c r="V124" s="21">
        <f t="shared" si="2"/>
        <v>96100</v>
      </c>
    </row>
    <row r="125" ht="14.25" customHeight="1">
      <c r="A125" s="38">
        <v>0.3347222222222222</v>
      </c>
      <c r="B125" s="36">
        <v>175.0</v>
      </c>
      <c r="C125" s="36">
        <v>18.8</v>
      </c>
      <c r="D125" s="36">
        <v>1685.0</v>
      </c>
      <c r="E125" s="36">
        <v>1364.0</v>
      </c>
      <c r="F125" s="36">
        <v>0.81</v>
      </c>
      <c r="G125" s="36">
        <v>20.0</v>
      </c>
      <c r="H125" s="36">
        <v>1.41</v>
      </c>
      <c r="I125" s="36">
        <v>28.4</v>
      </c>
      <c r="J125" s="36">
        <v>84.1</v>
      </c>
      <c r="K125" s="36">
        <v>123.0</v>
      </c>
      <c r="L125" s="36">
        <v>38.4</v>
      </c>
      <c r="M125" s="36">
        <v>83.0</v>
      </c>
      <c r="N125" s="36">
        <v>58.0</v>
      </c>
      <c r="O125" s="36">
        <v>20.0</v>
      </c>
      <c r="P125" s="36">
        <v>50.0</v>
      </c>
      <c r="Q125" s="36">
        <v>0.33</v>
      </c>
      <c r="R125" s="36">
        <v>0.99</v>
      </c>
      <c r="S125" s="36">
        <v>1.99</v>
      </c>
      <c r="T125" s="36">
        <v>2.98</v>
      </c>
      <c r="U125" s="21">
        <f t="shared" si="1"/>
        <v>2980</v>
      </c>
      <c r="V125" s="21">
        <f t="shared" si="2"/>
        <v>10000</v>
      </c>
    </row>
    <row r="126" ht="14.25" customHeight="1">
      <c r="A126" s="38">
        <v>0.3375</v>
      </c>
      <c r="B126" s="36">
        <v>177.0</v>
      </c>
      <c r="C126" s="36">
        <v>18.0</v>
      </c>
      <c r="D126" s="36">
        <v>1608.0</v>
      </c>
      <c r="E126" s="36">
        <v>1303.0</v>
      </c>
      <c r="F126" s="36">
        <v>0.81</v>
      </c>
      <c r="G126" s="36">
        <v>21.0</v>
      </c>
      <c r="H126" s="36">
        <v>1.31</v>
      </c>
      <c r="I126" s="36">
        <v>27.3</v>
      </c>
      <c r="J126" s="36">
        <v>84.7</v>
      </c>
      <c r="K126" s="36">
        <v>123.0</v>
      </c>
      <c r="L126" s="36">
        <v>38.1</v>
      </c>
      <c r="M126" s="36">
        <v>82.0</v>
      </c>
      <c r="N126" s="36">
        <v>59.0</v>
      </c>
      <c r="O126" s="36">
        <v>21.0</v>
      </c>
      <c r="P126" s="36">
        <v>48.0</v>
      </c>
      <c r="Q126" s="36">
        <v>0.33</v>
      </c>
      <c r="R126" s="36">
        <v>0.96</v>
      </c>
      <c r="S126" s="36">
        <v>1.93</v>
      </c>
      <c r="T126" s="36">
        <v>2.88</v>
      </c>
      <c r="U126" s="21">
        <f t="shared" si="1"/>
        <v>2880</v>
      </c>
      <c r="V126" s="21">
        <f t="shared" si="2"/>
        <v>14400</v>
      </c>
    </row>
    <row r="127" ht="14.25" customHeight="1">
      <c r="A127" s="38">
        <v>0.3402777777777778</v>
      </c>
      <c r="B127" s="36">
        <v>179.0</v>
      </c>
      <c r="C127" s="36">
        <v>18.9</v>
      </c>
      <c r="D127" s="36">
        <v>1690.0</v>
      </c>
      <c r="E127" s="36">
        <v>1356.0</v>
      </c>
      <c r="F127" s="36">
        <v>0.8</v>
      </c>
      <c r="G127" s="36">
        <v>20.0</v>
      </c>
      <c r="H127" s="36">
        <v>1.4</v>
      </c>
      <c r="I127" s="36">
        <v>28.0</v>
      </c>
      <c r="J127" s="36">
        <v>84.3</v>
      </c>
      <c r="K127" s="36">
        <v>124.0</v>
      </c>
      <c r="L127" s="36">
        <v>37.7</v>
      </c>
      <c r="M127" s="36">
        <v>81.0</v>
      </c>
      <c r="N127" s="36">
        <v>59.0</v>
      </c>
      <c r="O127" s="36">
        <v>20.0</v>
      </c>
      <c r="P127" s="36">
        <v>50.0</v>
      </c>
      <c r="Q127" s="36">
        <v>0.32</v>
      </c>
      <c r="R127" s="36">
        <v>0.96</v>
      </c>
      <c r="S127" s="36">
        <v>2.04</v>
      </c>
      <c r="T127" s="36">
        <v>3.0</v>
      </c>
      <c r="U127" s="21">
        <f t="shared" si="1"/>
        <v>3000</v>
      </c>
      <c r="V127" s="21">
        <f t="shared" si="2"/>
        <v>57600</v>
      </c>
    </row>
    <row r="128" ht="14.25" customHeight="1">
      <c r="A128" s="38">
        <v>0.3423611111111111</v>
      </c>
      <c r="B128" s="36">
        <v>181.0</v>
      </c>
      <c r="C128" s="36">
        <v>19.3</v>
      </c>
      <c r="D128" s="36">
        <v>1732.0</v>
      </c>
      <c r="E128" s="36">
        <v>1409.0</v>
      </c>
      <c r="F128" s="36">
        <v>0.81</v>
      </c>
      <c r="G128" s="36">
        <v>18.0</v>
      </c>
      <c r="H128" s="36">
        <v>1.56</v>
      </c>
      <c r="I128" s="36">
        <v>28.8</v>
      </c>
      <c r="J128" s="36">
        <v>83.9</v>
      </c>
      <c r="K128" s="36">
        <v>125.0</v>
      </c>
      <c r="L128" s="36">
        <v>37.0</v>
      </c>
      <c r="M128" s="36">
        <v>81.0</v>
      </c>
      <c r="N128" s="36">
        <v>60.0</v>
      </c>
      <c r="O128" s="36">
        <v>18.0</v>
      </c>
      <c r="P128" s="36">
        <v>51.0</v>
      </c>
      <c r="Q128" s="36">
        <v>0.33</v>
      </c>
      <c r="R128" s="36">
        <v>1.06</v>
      </c>
      <c r="S128" s="36">
        <v>2.19</v>
      </c>
      <c r="T128" s="36">
        <v>3.24</v>
      </c>
      <c r="U128" s="21">
        <f t="shared" si="1"/>
        <v>3240</v>
      </c>
      <c r="V128" s="21">
        <f t="shared" si="2"/>
        <v>19600</v>
      </c>
    </row>
    <row r="129" ht="14.25" customHeight="1">
      <c r="A129" s="38">
        <v>0.3451388888888889</v>
      </c>
      <c r="B129" s="36">
        <v>183.0</v>
      </c>
      <c r="C129" s="36">
        <v>19.5</v>
      </c>
      <c r="D129" s="36">
        <v>1743.0</v>
      </c>
      <c r="E129" s="36">
        <v>1440.0</v>
      </c>
      <c r="F129" s="36">
        <v>0.83</v>
      </c>
      <c r="G129" s="36">
        <v>18.0</v>
      </c>
      <c r="H129" s="36">
        <v>1.65</v>
      </c>
      <c r="I129" s="36">
        <v>29.3</v>
      </c>
      <c r="J129" s="36">
        <v>83.6</v>
      </c>
      <c r="K129" s="36">
        <v>128.0</v>
      </c>
      <c r="L129" s="36">
        <v>35.6</v>
      </c>
      <c r="M129" s="36">
        <v>82.0</v>
      </c>
      <c r="N129" s="36">
        <v>60.0</v>
      </c>
      <c r="O129" s="36">
        <v>18.0</v>
      </c>
      <c r="P129" s="36">
        <v>52.0</v>
      </c>
      <c r="Q129" s="36">
        <v>0.33</v>
      </c>
      <c r="R129" s="36">
        <v>1.13</v>
      </c>
      <c r="S129" s="36">
        <v>2.25</v>
      </c>
      <c r="T129" s="36">
        <v>3.38</v>
      </c>
      <c r="U129" s="21">
        <f t="shared" si="1"/>
        <v>3380</v>
      </c>
      <c r="V129" s="21">
        <f t="shared" si="2"/>
        <v>2500</v>
      </c>
    </row>
    <row r="130" ht="14.25" customHeight="1">
      <c r="A130" s="38">
        <v>0.3472222222222222</v>
      </c>
      <c r="B130" s="36">
        <v>184.0</v>
      </c>
      <c r="C130" s="36">
        <v>20.4</v>
      </c>
      <c r="D130" s="36">
        <v>1826.0</v>
      </c>
      <c r="E130" s="36">
        <v>1510.0</v>
      </c>
      <c r="F130" s="36">
        <v>0.83</v>
      </c>
      <c r="G130" s="36">
        <v>18.0</v>
      </c>
      <c r="H130" s="36">
        <v>1.75</v>
      </c>
      <c r="I130" s="36">
        <v>30.6</v>
      </c>
      <c r="J130" s="36">
        <v>82.8</v>
      </c>
      <c r="K130" s="36">
        <v>128.0</v>
      </c>
      <c r="L130" s="36">
        <v>35.6</v>
      </c>
      <c r="M130" s="36">
        <v>83.0</v>
      </c>
      <c r="N130" s="36">
        <v>60.0</v>
      </c>
      <c r="O130" s="36">
        <v>18.0</v>
      </c>
      <c r="P130" s="36">
        <v>54.0</v>
      </c>
      <c r="Q130" s="36">
        <v>0.34</v>
      </c>
      <c r="R130" s="36">
        <v>1.15</v>
      </c>
      <c r="S130" s="36">
        <v>2.28</v>
      </c>
      <c r="T130" s="36">
        <v>3.43</v>
      </c>
      <c r="U130" s="21">
        <f t="shared" si="1"/>
        <v>3430</v>
      </c>
      <c r="V130" s="21">
        <f t="shared" si="2"/>
        <v>25600</v>
      </c>
    </row>
    <row r="131" ht="14.25" customHeight="1">
      <c r="A131" s="38">
        <v>0.34930555555555554</v>
      </c>
      <c r="B131" s="36">
        <v>186.0</v>
      </c>
      <c r="C131" s="36">
        <v>20.7</v>
      </c>
      <c r="D131" s="36">
        <v>1851.0</v>
      </c>
      <c r="E131" s="36">
        <v>1557.0</v>
      </c>
      <c r="F131" s="36">
        <v>0.84</v>
      </c>
      <c r="G131" s="36">
        <v>17.0</v>
      </c>
      <c r="H131" s="36">
        <v>1.89</v>
      </c>
      <c r="I131" s="36">
        <v>31.5</v>
      </c>
      <c r="J131" s="36">
        <v>82.3</v>
      </c>
      <c r="K131" s="36">
        <v>129.0</v>
      </c>
      <c r="L131" s="36">
        <v>35.0</v>
      </c>
      <c r="M131" s="36">
        <v>83.0</v>
      </c>
      <c r="N131" s="36">
        <v>60.0</v>
      </c>
      <c r="O131" s="36">
        <v>17.0</v>
      </c>
      <c r="P131" s="36">
        <v>55.0</v>
      </c>
      <c r="Q131" s="36">
        <v>0.33</v>
      </c>
      <c r="R131" s="36">
        <v>1.2</v>
      </c>
      <c r="S131" s="36">
        <v>2.4</v>
      </c>
      <c r="T131" s="36">
        <v>3.59</v>
      </c>
      <c r="U131" s="21">
        <f t="shared" si="1"/>
        <v>3590</v>
      </c>
      <c r="V131" s="21">
        <f t="shared" si="2"/>
        <v>0</v>
      </c>
    </row>
    <row r="132" ht="14.25" customHeight="1">
      <c r="A132" s="38">
        <v>0.35208333333333336</v>
      </c>
      <c r="B132" s="36">
        <v>187.0</v>
      </c>
      <c r="C132" s="36">
        <v>21.0</v>
      </c>
      <c r="D132" s="36">
        <v>1876.0</v>
      </c>
      <c r="E132" s="36">
        <v>1565.0</v>
      </c>
      <c r="F132" s="36">
        <v>0.83</v>
      </c>
      <c r="G132" s="36">
        <v>17.0</v>
      </c>
      <c r="H132" s="36">
        <v>1.88</v>
      </c>
      <c r="I132" s="36">
        <v>31.3</v>
      </c>
      <c r="J132" s="36">
        <v>82.4</v>
      </c>
      <c r="K132" s="36">
        <v>129.0</v>
      </c>
      <c r="L132" s="36">
        <v>35.0</v>
      </c>
      <c r="M132" s="36">
        <v>83.0</v>
      </c>
      <c r="N132" s="36">
        <v>61.0</v>
      </c>
      <c r="O132" s="36">
        <v>17.0</v>
      </c>
      <c r="P132" s="36">
        <v>56.0</v>
      </c>
      <c r="Q132" s="36">
        <v>0.34</v>
      </c>
      <c r="R132" s="36">
        <v>1.23</v>
      </c>
      <c r="S132" s="36">
        <v>2.36</v>
      </c>
      <c r="T132" s="36">
        <v>3.59</v>
      </c>
      <c r="U132" s="21">
        <f t="shared" si="1"/>
        <v>3590</v>
      </c>
      <c r="V132" s="21">
        <f t="shared" si="2"/>
        <v>12100</v>
      </c>
    </row>
    <row r="133" ht="14.25" customHeight="1">
      <c r="A133" s="38">
        <v>0.3541666666666667</v>
      </c>
      <c r="B133" s="36">
        <v>189.0</v>
      </c>
      <c r="C133" s="36">
        <v>21.7</v>
      </c>
      <c r="D133" s="36">
        <v>1946.0</v>
      </c>
      <c r="E133" s="36">
        <v>1611.0</v>
      </c>
      <c r="F133" s="36">
        <v>0.83</v>
      </c>
      <c r="G133" s="36">
        <v>17.0</v>
      </c>
      <c r="H133" s="36">
        <v>1.86</v>
      </c>
      <c r="I133" s="36">
        <v>32.1</v>
      </c>
      <c r="J133" s="36">
        <v>82.0</v>
      </c>
      <c r="K133" s="36">
        <v>130.0</v>
      </c>
      <c r="L133" s="36">
        <v>34.8</v>
      </c>
      <c r="M133" s="36">
        <v>82.0</v>
      </c>
      <c r="N133" s="36">
        <v>61.0</v>
      </c>
      <c r="O133" s="36">
        <v>17.0</v>
      </c>
      <c r="P133" s="36">
        <v>58.0</v>
      </c>
      <c r="Q133" s="36">
        <v>0.34</v>
      </c>
      <c r="R133" s="36">
        <v>1.2</v>
      </c>
      <c r="S133" s="36">
        <v>2.28</v>
      </c>
      <c r="T133" s="36">
        <v>3.48</v>
      </c>
      <c r="U133" s="21">
        <f t="shared" si="1"/>
        <v>3480</v>
      </c>
      <c r="V133" s="21">
        <f t="shared" si="2"/>
        <v>16900</v>
      </c>
    </row>
    <row r="134" ht="14.25" customHeight="1">
      <c r="A134" s="38">
        <v>0.3576388888888889</v>
      </c>
      <c r="B134" s="36">
        <v>192.0</v>
      </c>
      <c r="C134" s="36">
        <v>21.4</v>
      </c>
      <c r="D134" s="36">
        <v>1914.0</v>
      </c>
      <c r="E134" s="36">
        <v>1633.0</v>
      </c>
      <c r="F134" s="36">
        <v>0.85</v>
      </c>
      <c r="G134" s="36">
        <v>17.0</v>
      </c>
      <c r="H134" s="36">
        <v>1.97</v>
      </c>
      <c r="I134" s="36">
        <v>32.8</v>
      </c>
      <c r="J134" s="36">
        <v>81.6</v>
      </c>
      <c r="K134" s="36">
        <v>130.0</v>
      </c>
      <c r="L134" s="36">
        <v>34.5</v>
      </c>
      <c r="M134" s="36">
        <v>83.0</v>
      </c>
      <c r="N134" s="36">
        <v>61.0</v>
      </c>
      <c r="O134" s="36">
        <v>17.0</v>
      </c>
      <c r="P134" s="36">
        <v>57.0</v>
      </c>
      <c r="Q134" s="36">
        <v>0.34</v>
      </c>
      <c r="R134" s="36">
        <v>1.24</v>
      </c>
      <c r="S134" s="36">
        <v>2.37</v>
      </c>
      <c r="T134" s="36">
        <v>3.61</v>
      </c>
      <c r="U134" s="21">
        <f t="shared" si="1"/>
        <v>3610</v>
      </c>
      <c r="V134" s="21">
        <f t="shared" si="2"/>
        <v>900</v>
      </c>
    </row>
    <row r="135" ht="14.25" customHeight="1">
      <c r="A135" s="38">
        <v>0.3597222222222222</v>
      </c>
      <c r="B135" s="36">
        <v>194.0</v>
      </c>
      <c r="C135" s="36">
        <v>21.3</v>
      </c>
      <c r="D135" s="36">
        <v>1903.0</v>
      </c>
      <c r="E135" s="36">
        <v>1642.0</v>
      </c>
      <c r="F135" s="36">
        <v>0.86</v>
      </c>
      <c r="G135" s="36">
        <v>16.0</v>
      </c>
      <c r="H135" s="36">
        <v>1.98</v>
      </c>
      <c r="I135" s="36">
        <v>32.6</v>
      </c>
      <c r="J135" s="36">
        <v>81.7</v>
      </c>
      <c r="K135" s="36">
        <v>130.0</v>
      </c>
      <c r="L135" s="36">
        <v>34.9</v>
      </c>
      <c r="M135" s="36">
        <v>83.0</v>
      </c>
      <c r="N135" s="36">
        <v>61.0</v>
      </c>
      <c r="O135" s="36">
        <v>16.0</v>
      </c>
      <c r="P135" s="36">
        <v>56.0</v>
      </c>
      <c r="Q135" s="36">
        <v>0.34</v>
      </c>
      <c r="R135" s="36">
        <v>1.23</v>
      </c>
      <c r="S135" s="36">
        <v>2.41</v>
      </c>
      <c r="T135" s="36">
        <v>3.64</v>
      </c>
      <c r="U135" s="21">
        <f t="shared" si="1"/>
        <v>3640</v>
      </c>
      <c r="V135" s="21">
        <f t="shared" si="2"/>
        <v>14400</v>
      </c>
    </row>
    <row r="136" ht="14.25" customHeight="1">
      <c r="A136" s="38">
        <v>0.36180555555555555</v>
      </c>
      <c r="B136" s="36">
        <v>195.0</v>
      </c>
      <c r="C136" s="36">
        <v>21.6</v>
      </c>
      <c r="D136" s="36">
        <v>1933.0</v>
      </c>
      <c r="E136" s="36">
        <v>1670.0</v>
      </c>
      <c r="F136" s="36">
        <v>0.86</v>
      </c>
      <c r="G136" s="36">
        <v>17.0</v>
      </c>
      <c r="H136" s="36">
        <v>1.94</v>
      </c>
      <c r="I136" s="36">
        <v>33.0</v>
      </c>
      <c r="J136" s="36">
        <v>81.5</v>
      </c>
      <c r="K136" s="36">
        <v>130.0</v>
      </c>
      <c r="L136" s="36">
        <v>34.7</v>
      </c>
      <c r="M136" s="36">
        <v>83.0</v>
      </c>
      <c r="N136" s="36">
        <v>61.0</v>
      </c>
      <c r="O136" s="36">
        <v>17.0</v>
      </c>
      <c r="P136" s="36">
        <v>57.0</v>
      </c>
      <c r="Q136" s="36">
        <v>0.32</v>
      </c>
      <c r="R136" s="36">
        <v>1.13</v>
      </c>
      <c r="S136" s="36">
        <v>2.39</v>
      </c>
      <c r="T136" s="36">
        <v>3.52</v>
      </c>
      <c r="U136" s="21">
        <f t="shared" si="1"/>
        <v>3520</v>
      </c>
      <c r="V136" s="21">
        <f t="shared" si="2"/>
        <v>14400</v>
      </c>
    </row>
    <row r="137" ht="14.25" customHeight="1">
      <c r="A137" s="38">
        <v>0.3645833333333333</v>
      </c>
      <c r="B137" s="36">
        <v>197.0</v>
      </c>
      <c r="C137" s="36">
        <v>21.6</v>
      </c>
      <c r="D137" s="36">
        <v>1930.0</v>
      </c>
      <c r="E137" s="36">
        <v>1668.0</v>
      </c>
      <c r="F137" s="36">
        <v>0.86</v>
      </c>
      <c r="G137" s="36">
        <v>16.0</v>
      </c>
      <c r="H137" s="36">
        <v>1.99</v>
      </c>
      <c r="I137" s="36">
        <v>32.9</v>
      </c>
      <c r="J137" s="36">
        <v>81.6</v>
      </c>
      <c r="K137" s="36">
        <v>127.0</v>
      </c>
      <c r="L137" s="36">
        <v>36.2</v>
      </c>
      <c r="M137" s="36">
        <v>83.0</v>
      </c>
      <c r="N137" s="36">
        <v>62.0</v>
      </c>
      <c r="O137" s="36">
        <v>16.0</v>
      </c>
      <c r="P137" s="36">
        <v>57.0</v>
      </c>
      <c r="Q137" s="36">
        <v>0.33</v>
      </c>
      <c r="R137" s="36">
        <v>1.22</v>
      </c>
      <c r="S137" s="36">
        <v>2.42</v>
      </c>
      <c r="T137" s="36">
        <v>3.64</v>
      </c>
      <c r="U137" s="21">
        <f t="shared" si="1"/>
        <v>3640</v>
      </c>
      <c r="V137" s="21">
        <f t="shared" si="2"/>
        <v>1600</v>
      </c>
    </row>
    <row r="138" ht="14.25" customHeight="1">
      <c r="A138" s="38">
        <v>0.36666666666666664</v>
      </c>
      <c r="B138" s="36">
        <v>198.0</v>
      </c>
      <c r="C138" s="36">
        <v>22.0</v>
      </c>
      <c r="D138" s="36">
        <v>1970.0</v>
      </c>
      <c r="E138" s="36">
        <v>1706.0</v>
      </c>
      <c r="F138" s="36">
        <v>0.87</v>
      </c>
      <c r="G138" s="36">
        <v>17.0</v>
      </c>
      <c r="H138" s="36">
        <v>2.01</v>
      </c>
      <c r="I138" s="36">
        <v>33.4</v>
      </c>
      <c r="J138" s="36">
        <v>81.3</v>
      </c>
      <c r="K138" s="36">
        <v>126.0</v>
      </c>
      <c r="L138" s="36">
        <v>36.9</v>
      </c>
      <c r="M138" s="36">
        <v>83.0</v>
      </c>
      <c r="N138" s="36">
        <v>62.0</v>
      </c>
      <c r="O138" s="36">
        <v>17.0</v>
      </c>
      <c r="P138" s="36">
        <v>58.0</v>
      </c>
      <c r="Q138" s="36">
        <v>0.33</v>
      </c>
      <c r="R138" s="36">
        <v>1.21</v>
      </c>
      <c r="S138" s="36">
        <v>2.4</v>
      </c>
      <c r="T138" s="36">
        <v>3.6</v>
      </c>
      <c r="U138" s="21">
        <f t="shared" si="1"/>
        <v>3600</v>
      </c>
      <c r="V138" s="21">
        <f t="shared" si="2"/>
        <v>12100</v>
      </c>
    </row>
    <row r="139" ht="14.25" customHeight="1">
      <c r="A139" s="38">
        <v>0.36875</v>
      </c>
      <c r="B139" s="36">
        <v>200.0</v>
      </c>
      <c r="C139" s="36">
        <v>22.0</v>
      </c>
      <c r="D139" s="36">
        <v>1970.0</v>
      </c>
      <c r="E139" s="36">
        <v>1708.0</v>
      </c>
      <c r="F139" s="36">
        <v>0.87</v>
      </c>
      <c r="G139" s="36">
        <v>17.0</v>
      </c>
      <c r="H139" s="36">
        <v>1.94</v>
      </c>
      <c r="I139" s="36">
        <v>33.5</v>
      </c>
      <c r="J139" s="36">
        <v>81.2</v>
      </c>
      <c r="K139" s="36">
        <v>130.0</v>
      </c>
      <c r="L139" s="36">
        <v>34.4</v>
      </c>
      <c r="M139" s="36">
        <v>83.0</v>
      </c>
      <c r="N139" s="36">
        <v>62.0</v>
      </c>
      <c r="O139" s="36">
        <v>17.0</v>
      </c>
      <c r="P139" s="36">
        <v>58.0</v>
      </c>
      <c r="Q139" s="36">
        <v>0.33</v>
      </c>
      <c r="R139" s="36">
        <v>1.16</v>
      </c>
      <c r="S139" s="36">
        <v>2.32</v>
      </c>
      <c r="T139" s="36">
        <v>3.49</v>
      </c>
      <c r="U139" s="21">
        <f t="shared" si="1"/>
        <v>3490</v>
      </c>
      <c r="V139" s="21">
        <f t="shared" si="2"/>
        <v>16900</v>
      </c>
    </row>
    <row r="140" ht="14.25" customHeight="1">
      <c r="A140" s="38">
        <v>0.37083333333333335</v>
      </c>
      <c r="B140" s="36">
        <v>202.0</v>
      </c>
      <c r="C140" s="36">
        <v>22.3</v>
      </c>
      <c r="D140" s="36">
        <v>2000.0</v>
      </c>
      <c r="E140" s="36">
        <v>1727.0</v>
      </c>
      <c r="F140" s="36">
        <v>0.86</v>
      </c>
      <c r="G140" s="36">
        <v>18.0</v>
      </c>
      <c r="H140" s="36">
        <v>1.88</v>
      </c>
      <c r="I140" s="36">
        <v>33.6</v>
      </c>
      <c r="J140" s="36">
        <v>81.2</v>
      </c>
      <c r="K140" s="36">
        <v>130.0</v>
      </c>
      <c r="L140" s="36">
        <v>34.4</v>
      </c>
      <c r="M140" s="36">
        <v>82.0</v>
      </c>
      <c r="N140" s="36">
        <v>62.0</v>
      </c>
      <c r="O140" s="36">
        <v>18.0</v>
      </c>
      <c r="P140" s="36">
        <v>59.0</v>
      </c>
      <c r="Q140" s="36">
        <v>0.34</v>
      </c>
      <c r="R140" s="36">
        <v>1.13</v>
      </c>
      <c r="S140" s="36">
        <v>2.24</v>
      </c>
      <c r="T140" s="36">
        <v>3.36</v>
      </c>
      <c r="U140" s="21">
        <f t="shared" si="1"/>
        <v>3360</v>
      </c>
      <c r="V140" s="21">
        <f t="shared" si="2"/>
        <v>57600</v>
      </c>
    </row>
    <row r="141" ht="14.25" customHeight="1">
      <c r="A141" s="38">
        <v>0.3729166666666667</v>
      </c>
      <c r="B141" s="36">
        <v>203.0</v>
      </c>
      <c r="C141" s="36">
        <v>23.5</v>
      </c>
      <c r="D141" s="36">
        <v>2104.0</v>
      </c>
      <c r="E141" s="36">
        <v>1790.0</v>
      </c>
      <c r="F141" s="36">
        <v>0.85</v>
      </c>
      <c r="G141" s="36">
        <v>19.0</v>
      </c>
      <c r="H141" s="36">
        <v>1.79</v>
      </c>
      <c r="I141" s="36">
        <v>34.4</v>
      </c>
      <c r="J141" s="36">
        <v>80.7</v>
      </c>
      <c r="K141" s="36">
        <v>130.0</v>
      </c>
      <c r="L141" s="36">
        <v>34.4</v>
      </c>
      <c r="M141" s="36">
        <v>82.0</v>
      </c>
      <c r="N141" s="36">
        <v>62.0</v>
      </c>
      <c r="O141" s="36">
        <v>19.0</v>
      </c>
      <c r="P141" s="36">
        <v>62.0</v>
      </c>
      <c r="Q141" s="36">
        <v>0.35</v>
      </c>
      <c r="R141" s="36">
        <v>1.11</v>
      </c>
      <c r="S141" s="36">
        <v>2.02</v>
      </c>
      <c r="T141" s="36">
        <v>3.12</v>
      </c>
      <c r="U141" s="21">
        <f t="shared" si="1"/>
        <v>3120</v>
      </c>
      <c r="V141" s="21">
        <f t="shared" si="2"/>
        <v>12100</v>
      </c>
    </row>
    <row r="142" ht="14.25" customHeight="1">
      <c r="A142" s="38">
        <v>0.37569444444444444</v>
      </c>
      <c r="B142" s="36">
        <v>205.0</v>
      </c>
      <c r="C142" s="36">
        <v>23.8</v>
      </c>
      <c r="D142" s="36">
        <v>2133.0</v>
      </c>
      <c r="E142" s="36">
        <v>1853.0</v>
      </c>
      <c r="F142" s="36">
        <v>0.87</v>
      </c>
      <c r="G142" s="36">
        <v>19.0</v>
      </c>
      <c r="H142" s="36">
        <v>1.94</v>
      </c>
      <c r="I142" s="36">
        <v>36.0</v>
      </c>
      <c r="J142" s="36">
        <v>79.8</v>
      </c>
      <c r="K142" s="36">
        <v>133.0</v>
      </c>
      <c r="L142" s="36">
        <v>33.3</v>
      </c>
      <c r="M142" s="36">
        <v>84.0</v>
      </c>
      <c r="N142" s="36">
        <v>62.0</v>
      </c>
      <c r="O142" s="36">
        <v>19.0</v>
      </c>
      <c r="P142" s="36">
        <v>63.0</v>
      </c>
      <c r="Q142" s="36">
        <v>0.38</v>
      </c>
      <c r="R142" s="36">
        <v>1.24</v>
      </c>
      <c r="S142" s="36">
        <v>1.99</v>
      </c>
      <c r="T142" s="36">
        <v>3.23</v>
      </c>
      <c r="U142" s="21">
        <f t="shared" si="1"/>
        <v>3230</v>
      </c>
      <c r="V142" s="21">
        <f t="shared" si="2"/>
        <v>400</v>
      </c>
    </row>
    <row r="143" ht="14.25" customHeight="1">
      <c r="A143" s="38">
        <v>0.37777777777777777</v>
      </c>
      <c r="B143" s="36">
        <v>206.0</v>
      </c>
      <c r="C143" s="36">
        <v>24.6</v>
      </c>
      <c r="D143" s="36">
        <v>2198.0</v>
      </c>
      <c r="E143" s="36">
        <v>1921.0</v>
      </c>
      <c r="F143" s="36">
        <v>0.87</v>
      </c>
      <c r="G143" s="36">
        <v>19.0</v>
      </c>
      <c r="H143" s="36">
        <v>1.99</v>
      </c>
      <c r="I143" s="36">
        <v>37.2</v>
      </c>
      <c r="J143" s="36">
        <v>79.2</v>
      </c>
      <c r="K143" s="36">
        <v>135.0</v>
      </c>
      <c r="L143" s="36">
        <v>32.2</v>
      </c>
      <c r="M143" s="36">
        <v>85.0</v>
      </c>
      <c r="N143" s="36">
        <v>61.0</v>
      </c>
      <c r="O143" s="36">
        <v>19.0</v>
      </c>
      <c r="P143" s="36">
        <v>65.0</v>
      </c>
      <c r="Q143" s="36">
        <v>0.38</v>
      </c>
      <c r="R143" s="36">
        <v>1.21</v>
      </c>
      <c r="S143" s="36">
        <v>2.0</v>
      </c>
      <c r="T143" s="36">
        <v>3.21</v>
      </c>
      <c r="U143" s="21">
        <f t="shared" si="1"/>
        <v>3210</v>
      </c>
      <c r="V143" s="21">
        <f t="shared" si="2"/>
        <v>0</v>
      </c>
    </row>
    <row r="144" ht="14.25" customHeight="1">
      <c r="A144" s="38">
        <v>0.3798611111111111</v>
      </c>
      <c r="B144" s="36">
        <v>208.0</v>
      </c>
      <c r="C144" s="36">
        <v>24.6</v>
      </c>
      <c r="D144" s="36">
        <v>2198.0</v>
      </c>
      <c r="E144" s="36">
        <v>1921.0</v>
      </c>
      <c r="F144" s="36">
        <v>0.87</v>
      </c>
      <c r="G144" s="36">
        <v>19.0</v>
      </c>
      <c r="H144" s="36">
        <v>1.99</v>
      </c>
      <c r="I144" s="36">
        <v>37.2</v>
      </c>
      <c r="J144" s="36">
        <v>79.2</v>
      </c>
      <c r="K144" s="36">
        <v>136.0</v>
      </c>
      <c r="L144" s="36">
        <v>31.5</v>
      </c>
      <c r="M144" s="36">
        <v>85.0</v>
      </c>
      <c r="N144" s="36">
        <v>61.0</v>
      </c>
      <c r="O144" s="36">
        <v>19.0</v>
      </c>
      <c r="P144" s="36">
        <v>65.0</v>
      </c>
      <c r="Q144" s="36">
        <v>0.38</v>
      </c>
      <c r="R144" s="36">
        <v>1.21</v>
      </c>
      <c r="S144" s="36">
        <v>2.0</v>
      </c>
      <c r="T144" s="36">
        <v>3.21</v>
      </c>
      <c r="U144" s="21">
        <f t="shared" si="1"/>
        <v>3210</v>
      </c>
      <c r="V144" s="21">
        <f t="shared" si="2"/>
        <v>900</v>
      </c>
    </row>
    <row r="145" ht="14.25" customHeight="1">
      <c r="A145" s="38">
        <v>0.3819444444444444</v>
      </c>
      <c r="B145" s="36">
        <v>209.0</v>
      </c>
      <c r="C145" s="36">
        <v>24.5</v>
      </c>
      <c r="D145" s="36">
        <v>2194.0</v>
      </c>
      <c r="E145" s="36">
        <v>1969.0</v>
      </c>
      <c r="F145" s="36">
        <v>0.9</v>
      </c>
      <c r="G145" s="36">
        <v>19.0</v>
      </c>
      <c r="H145" s="36">
        <v>2.03</v>
      </c>
      <c r="I145" s="36">
        <v>38.3</v>
      </c>
      <c r="J145" s="36">
        <v>78.5</v>
      </c>
      <c r="K145" s="36">
        <v>138.0</v>
      </c>
      <c r="L145" s="36">
        <v>30.8</v>
      </c>
      <c r="M145" s="36">
        <v>85.0</v>
      </c>
      <c r="N145" s="36">
        <v>62.0</v>
      </c>
      <c r="O145" s="36">
        <v>19.0</v>
      </c>
      <c r="P145" s="36">
        <v>65.0</v>
      </c>
      <c r="Q145" s="36">
        <v>0.37</v>
      </c>
      <c r="R145" s="36">
        <v>1.19</v>
      </c>
      <c r="S145" s="36">
        <v>1.99</v>
      </c>
      <c r="T145" s="36">
        <v>3.18</v>
      </c>
      <c r="U145" s="21">
        <f t="shared" si="1"/>
        <v>3180</v>
      </c>
      <c r="V145" s="21">
        <f t="shared" si="2"/>
        <v>100</v>
      </c>
    </row>
    <row r="146" ht="14.25" customHeight="1">
      <c r="A146" s="38">
        <v>0.3840277777777778</v>
      </c>
      <c r="B146" s="36">
        <v>211.0</v>
      </c>
      <c r="C146" s="36">
        <v>25.7</v>
      </c>
      <c r="D146" s="36">
        <v>2299.0</v>
      </c>
      <c r="E146" s="36">
        <v>2090.0</v>
      </c>
      <c r="F146" s="36">
        <v>0.91</v>
      </c>
      <c r="G146" s="36">
        <v>19.0</v>
      </c>
      <c r="H146" s="36">
        <v>2.13</v>
      </c>
      <c r="I146" s="36">
        <v>40.3</v>
      </c>
      <c r="J146" s="36">
        <v>77.4</v>
      </c>
      <c r="K146" s="36">
        <v>139.0</v>
      </c>
      <c r="L146" s="36">
        <v>30.4</v>
      </c>
      <c r="M146" s="36">
        <v>85.0</v>
      </c>
      <c r="N146" s="36">
        <v>62.0</v>
      </c>
      <c r="O146" s="36">
        <v>19.0</v>
      </c>
      <c r="P146" s="36">
        <v>68.0</v>
      </c>
      <c r="Q146" s="36">
        <v>0.37</v>
      </c>
      <c r="R146" s="36">
        <v>1.17</v>
      </c>
      <c r="S146" s="36">
        <v>1.99</v>
      </c>
      <c r="T146" s="36">
        <v>3.17</v>
      </c>
      <c r="U146" s="21">
        <f t="shared" si="1"/>
        <v>3170</v>
      </c>
      <c r="V146" s="21">
        <f t="shared" si="2"/>
        <v>400</v>
      </c>
    </row>
    <row r="147" ht="14.25" customHeight="1">
      <c r="A147" s="38">
        <v>0.38680555555555557</v>
      </c>
      <c r="B147" s="36">
        <v>213.0</v>
      </c>
      <c r="C147" s="36">
        <v>24.5</v>
      </c>
      <c r="D147" s="36">
        <v>2195.0</v>
      </c>
      <c r="E147" s="36">
        <v>2013.0</v>
      </c>
      <c r="F147" s="36">
        <v>0.92</v>
      </c>
      <c r="G147" s="36">
        <v>19.0</v>
      </c>
      <c r="H147" s="36">
        <v>2.04</v>
      </c>
      <c r="I147" s="36">
        <v>38.8</v>
      </c>
      <c r="J147" s="36">
        <v>78.2</v>
      </c>
      <c r="K147" s="36">
        <v>139.0</v>
      </c>
      <c r="L147" s="36">
        <v>30.4</v>
      </c>
      <c r="M147" s="36">
        <v>85.0</v>
      </c>
      <c r="N147" s="36">
        <v>62.0</v>
      </c>
      <c r="O147" s="36">
        <v>19.0</v>
      </c>
      <c r="P147" s="36">
        <v>65.0</v>
      </c>
      <c r="Q147" s="36">
        <v>0.37</v>
      </c>
      <c r="R147" s="36">
        <v>1.18</v>
      </c>
      <c r="S147" s="36">
        <v>1.97</v>
      </c>
      <c r="T147" s="36">
        <v>3.15</v>
      </c>
      <c r="U147" s="21">
        <f t="shared" si="1"/>
        <v>3150</v>
      </c>
      <c r="V147" s="21">
        <f t="shared" si="2"/>
        <v>0</v>
      </c>
    </row>
    <row r="148" ht="14.25" customHeight="1">
      <c r="A148" s="38">
        <v>0.3888888888888889</v>
      </c>
      <c r="B148" s="36">
        <v>214.0</v>
      </c>
      <c r="C148" s="36">
        <v>25.0</v>
      </c>
      <c r="D148" s="36">
        <v>2240.0</v>
      </c>
      <c r="E148" s="36">
        <v>2075.0</v>
      </c>
      <c r="F148" s="36">
        <v>0.93</v>
      </c>
      <c r="G148" s="36">
        <v>19.0</v>
      </c>
      <c r="H148" s="36">
        <v>2.1</v>
      </c>
      <c r="I148" s="36">
        <v>40.0</v>
      </c>
      <c r="J148" s="36">
        <v>77.6</v>
      </c>
      <c r="K148" s="36">
        <v>140.0</v>
      </c>
      <c r="L148" s="36">
        <v>29.7</v>
      </c>
      <c r="M148" s="36">
        <v>85.0</v>
      </c>
      <c r="N148" s="36">
        <v>62.0</v>
      </c>
      <c r="O148" s="36">
        <v>19.0</v>
      </c>
      <c r="P148" s="36">
        <v>66.0</v>
      </c>
      <c r="Q148" s="36">
        <v>0.38</v>
      </c>
      <c r="R148" s="36">
        <v>1.21</v>
      </c>
      <c r="S148" s="36">
        <v>1.94</v>
      </c>
      <c r="T148" s="36">
        <v>3.15</v>
      </c>
      <c r="U148" s="21">
        <f t="shared" si="1"/>
        <v>3150</v>
      </c>
      <c r="V148" s="21">
        <f t="shared" si="2"/>
        <v>48400</v>
      </c>
    </row>
    <row r="149" ht="14.25" customHeight="1">
      <c r="A149" s="38">
        <v>0.3902777777777778</v>
      </c>
      <c r="B149" s="36">
        <v>215.0</v>
      </c>
      <c r="C149" s="36">
        <v>25.8</v>
      </c>
      <c r="D149" s="36">
        <v>2309.0</v>
      </c>
      <c r="E149" s="36">
        <v>2135.0</v>
      </c>
      <c r="F149" s="36">
        <v>0.92</v>
      </c>
      <c r="G149" s="36">
        <v>20.0</v>
      </c>
      <c r="H149" s="36">
        <v>1.98</v>
      </c>
      <c r="I149" s="36">
        <v>40.7</v>
      </c>
      <c r="J149" s="36">
        <v>77.2</v>
      </c>
      <c r="K149" s="36">
        <v>137.0</v>
      </c>
      <c r="L149" s="36">
        <v>31.2</v>
      </c>
      <c r="M149" s="36">
        <v>85.0</v>
      </c>
      <c r="N149" s="36">
        <v>62.0</v>
      </c>
      <c r="O149" s="36">
        <v>20.0</v>
      </c>
      <c r="P149" s="36">
        <v>69.0</v>
      </c>
      <c r="Q149" s="36">
        <v>0.37</v>
      </c>
      <c r="R149" s="36">
        <v>1.07</v>
      </c>
      <c r="S149" s="36">
        <v>1.86</v>
      </c>
      <c r="T149" s="36">
        <v>2.93</v>
      </c>
      <c r="U149" s="21">
        <f t="shared" si="1"/>
        <v>2930</v>
      </c>
      <c r="V149" s="21">
        <f t="shared" si="2"/>
        <v>100</v>
      </c>
    </row>
    <row r="150" ht="14.25" customHeight="1">
      <c r="A150" s="38">
        <v>0.3923611111111111</v>
      </c>
      <c r="B150" s="36">
        <v>217.0</v>
      </c>
      <c r="C150" s="36">
        <v>25.1</v>
      </c>
      <c r="D150" s="36">
        <v>2248.0</v>
      </c>
      <c r="E150" s="36">
        <v>2062.0</v>
      </c>
      <c r="F150" s="36">
        <v>0.92</v>
      </c>
      <c r="G150" s="36">
        <v>20.0</v>
      </c>
      <c r="H150" s="36">
        <v>1.92</v>
      </c>
      <c r="I150" s="36">
        <v>39.1</v>
      </c>
      <c r="J150" s="36">
        <v>78.1</v>
      </c>
      <c r="K150" s="36">
        <v>137.0</v>
      </c>
      <c r="L150" s="36">
        <v>31.2</v>
      </c>
      <c r="M150" s="36">
        <v>86.0</v>
      </c>
      <c r="N150" s="36">
        <v>62.0</v>
      </c>
      <c r="O150" s="36">
        <v>20.0</v>
      </c>
      <c r="P150" s="36">
        <v>67.0</v>
      </c>
      <c r="Q150" s="36">
        <v>0.39</v>
      </c>
      <c r="R150" s="36">
        <v>1.16</v>
      </c>
      <c r="S150" s="36">
        <v>1.79</v>
      </c>
      <c r="T150" s="36">
        <v>2.94</v>
      </c>
      <c r="U150" s="21">
        <f t="shared" si="1"/>
        <v>2940</v>
      </c>
      <c r="V150" s="21">
        <f t="shared" si="2"/>
        <v>2500</v>
      </c>
    </row>
    <row r="151" ht="14.25" customHeight="1">
      <c r="A151" s="38">
        <v>0.39375</v>
      </c>
      <c r="B151" s="36">
        <v>218.0</v>
      </c>
      <c r="C151" s="36">
        <v>27.5</v>
      </c>
      <c r="D151" s="36">
        <v>2464.0</v>
      </c>
      <c r="E151" s="36">
        <v>2233.0</v>
      </c>
      <c r="F151" s="36">
        <v>0.91</v>
      </c>
      <c r="G151" s="36">
        <v>21.0</v>
      </c>
      <c r="H151" s="36">
        <v>2.0</v>
      </c>
      <c r="I151" s="36">
        <v>41.6</v>
      </c>
      <c r="J151" s="36">
        <v>76.7</v>
      </c>
      <c r="K151" s="36">
        <v>138.0</v>
      </c>
      <c r="L151" s="36">
        <v>30.7</v>
      </c>
      <c r="M151" s="36">
        <v>84.0</v>
      </c>
      <c r="N151" s="36">
        <v>63.0</v>
      </c>
      <c r="O151" s="36">
        <v>21.0</v>
      </c>
      <c r="P151" s="36">
        <v>73.0</v>
      </c>
      <c r="Q151" s="36">
        <v>0.36</v>
      </c>
      <c r="R151" s="36">
        <v>1.03</v>
      </c>
      <c r="S151" s="36">
        <v>1.86</v>
      </c>
      <c r="T151" s="36">
        <v>2.89</v>
      </c>
      <c r="U151" s="21">
        <f t="shared" si="1"/>
        <v>2890</v>
      </c>
      <c r="V151" s="21">
        <f t="shared" si="2"/>
        <v>12100</v>
      </c>
    </row>
    <row r="152" ht="14.25" customHeight="1">
      <c r="A152" s="38">
        <v>0.3958333333333333</v>
      </c>
      <c r="B152" s="36">
        <v>219.0</v>
      </c>
      <c r="C152" s="36">
        <v>26.8</v>
      </c>
      <c r="D152" s="36">
        <v>2397.0</v>
      </c>
      <c r="E152" s="36">
        <v>2233.0</v>
      </c>
      <c r="F152" s="36">
        <v>0.93</v>
      </c>
      <c r="G152" s="36">
        <v>22.0</v>
      </c>
      <c r="H152" s="36">
        <v>1.97</v>
      </c>
      <c r="I152" s="36">
        <v>42.5</v>
      </c>
      <c r="J152" s="36">
        <v>76.2</v>
      </c>
      <c r="K152" s="36">
        <v>140.0</v>
      </c>
      <c r="L152" s="36">
        <v>29.8</v>
      </c>
      <c r="M152" s="36">
        <v>87.0</v>
      </c>
      <c r="N152" s="36">
        <v>62.0</v>
      </c>
      <c r="O152" s="36">
        <v>22.0</v>
      </c>
      <c r="P152" s="36">
        <v>71.0</v>
      </c>
      <c r="Q152" s="36">
        <v>0.38</v>
      </c>
      <c r="R152" s="36">
        <v>1.05</v>
      </c>
      <c r="S152" s="36">
        <v>1.73</v>
      </c>
      <c r="T152" s="36">
        <v>2.78</v>
      </c>
      <c r="U152" s="21">
        <f t="shared" si="1"/>
        <v>2780</v>
      </c>
      <c r="V152" s="21">
        <f t="shared" si="2"/>
        <v>1600</v>
      </c>
    </row>
    <row r="153" ht="14.25" customHeight="1">
      <c r="A153" s="38">
        <v>0.39791666666666664</v>
      </c>
      <c r="B153" s="36">
        <v>220.0</v>
      </c>
      <c r="C153" s="36">
        <v>26.8</v>
      </c>
      <c r="D153" s="36">
        <v>2400.0</v>
      </c>
      <c r="E153" s="36">
        <v>2292.0</v>
      </c>
      <c r="F153" s="36">
        <v>0.96</v>
      </c>
      <c r="G153" s="36">
        <v>22.0</v>
      </c>
      <c r="H153" s="36">
        <v>2.02</v>
      </c>
      <c r="I153" s="36">
        <v>44.2</v>
      </c>
      <c r="J153" s="36">
        <v>75.2</v>
      </c>
      <c r="K153" s="36">
        <v>142.0</v>
      </c>
      <c r="L153" s="36">
        <v>28.8</v>
      </c>
      <c r="M153" s="36">
        <v>89.0</v>
      </c>
      <c r="N153" s="36">
        <v>61.0</v>
      </c>
      <c r="O153" s="36">
        <v>22.0</v>
      </c>
      <c r="P153" s="36">
        <v>71.0</v>
      </c>
      <c r="Q153" s="36">
        <v>0.38</v>
      </c>
      <c r="R153" s="36">
        <v>1.03</v>
      </c>
      <c r="S153" s="36">
        <v>1.71</v>
      </c>
      <c r="T153" s="36">
        <v>2.74</v>
      </c>
      <c r="U153" s="21">
        <f t="shared" si="1"/>
        <v>2740</v>
      </c>
      <c r="V153" s="21">
        <f t="shared" si="2"/>
        <v>400</v>
      </c>
    </row>
    <row r="154" ht="14.25" customHeight="1">
      <c r="A154" s="38">
        <v>0.3993055555555556</v>
      </c>
      <c r="B154" s="36">
        <v>222.0</v>
      </c>
      <c r="C154" s="36">
        <v>28.4</v>
      </c>
      <c r="D154" s="36">
        <v>2543.0</v>
      </c>
      <c r="E154" s="36">
        <v>2461.0</v>
      </c>
      <c r="F154" s="36">
        <v>0.97</v>
      </c>
      <c r="G154" s="36">
        <v>22.0</v>
      </c>
      <c r="H154" s="36">
        <v>2.17</v>
      </c>
      <c r="I154" s="36">
        <v>48.0</v>
      </c>
      <c r="J154" s="36">
        <v>73.1</v>
      </c>
      <c r="K154" s="36">
        <v>146.0</v>
      </c>
      <c r="L154" s="36">
        <v>26.8</v>
      </c>
      <c r="M154" s="36">
        <v>89.0</v>
      </c>
      <c r="N154" s="36">
        <v>62.0</v>
      </c>
      <c r="O154" s="36">
        <v>22.0</v>
      </c>
      <c r="P154" s="36">
        <v>75.0</v>
      </c>
      <c r="Q154" s="36">
        <v>0.36</v>
      </c>
      <c r="R154" s="36">
        <v>0.98</v>
      </c>
      <c r="S154" s="36">
        <v>1.74</v>
      </c>
      <c r="T154" s="36">
        <v>2.72</v>
      </c>
      <c r="U154" s="21">
        <f t="shared" si="1"/>
        <v>2720</v>
      </c>
      <c r="V154" s="21">
        <f t="shared" si="2"/>
        <v>3600</v>
      </c>
    </row>
    <row r="155" ht="14.25" customHeight="1">
      <c r="A155" s="38">
        <v>0.4013888888888889</v>
      </c>
      <c r="B155" s="36">
        <v>223.0</v>
      </c>
      <c r="C155" s="36">
        <v>28.0</v>
      </c>
      <c r="D155" s="36">
        <v>2504.0</v>
      </c>
      <c r="E155" s="36">
        <v>2459.0</v>
      </c>
      <c r="F155" s="36">
        <v>0.98</v>
      </c>
      <c r="G155" s="36">
        <v>23.0</v>
      </c>
      <c r="H155" s="36">
        <v>2.13</v>
      </c>
      <c r="I155" s="36">
        <v>48.0</v>
      </c>
      <c r="J155" s="36">
        <v>73.1</v>
      </c>
      <c r="K155" s="36">
        <v>149.0</v>
      </c>
      <c r="L155" s="36">
        <v>25.2</v>
      </c>
      <c r="M155" s="36">
        <v>90.0</v>
      </c>
      <c r="N155" s="36">
        <v>61.0</v>
      </c>
      <c r="O155" s="36">
        <v>23.0</v>
      </c>
      <c r="P155" s="36">
        <v>74.0</v>
      </c>
      <c r="Q155" s="36">
        <v>0.38</v>
      </c>
      <c r="R155" s="36">
        <v>1.0</v>
      </c>
      <c r="S155" s="36">
        <v>1.66</v>
      </c>
      <c r="T155" s="36">
        <v>2.66</v>
      </c>
      <c r="U155" s="21">
        <f t="shared" si="1"/>
        <v>2660</v>
      </c>
      <c r="V155" s="21">
        <f t="shared" si="2"/>
        <v>3600</v>
      </c>
    </row>
    <row r="156" ht="14.25" customHeight="1">
      <c r="A156" s="38">
        <v>0.40347222222222223</v>
      </c>
      <c r="B156" s="36">
        <v>225.0</v>
      </c>
      <c r="C156" s="36">
        <v>28.0</v>
      </c>
      <c r="D156" s="36">
        <v>2502.0</v>
      </c>
      <c r="E156" s="36">
        <v>2497.0</v>
      </c>
      <c r="F156" s="36">
        <v>1.0</v>
      </c>
      <c r="G156" s="36">
        <v>22.0</v>
      </c>
      <c r="H156" s="36">
        <v>2.22</v>
      </c>
      <c r="I156" s="36">
        <v>49.1</v>
      </c>
      <c r="J156" s="36">
        <v>72.5</v>
      </c>
      <c r="K156" s="36">
        <v>151.0</v>
      </c>
      <c r="L156" s="36">
        <v>24.2</v>
      </c>
      <c r="M156" s="36">
        <v>90.0</v>
      </c>
      <c r="N156" s="36">
        <v>61.0</v>
      </c>
      <c r="O156" s="36">
        <v>22.0</v>
      </c>
      <c r="P156" s="36">
        <v>74.0</v>
      </c>
      <c r="Q156" s="36">
        <v>0.37</v>
      </c>
      <c r="R156" s="36">
        <v>1.02</v>
      </c>
      <c r="S156" s="36">
        <v>1.7</v>
      </c>
      <c r="T156" s="36">
        <v>2.72</v>
      </c>
      <c r="U156" s="21">
        <f t="shared" si="1"/>
        <v>2720</v>
      </c>
      <c r="V156" s="21">
        <f t="shared" si="2"/>
        <v>400</v>
      </c>
    </row>
    <row r="157" ht="14.25" customHeight="1">
      <c r="A157" s="38">
        <v>0.40555555555555556</v>
      </c>
      <c r="B157" s="36">
        <v>226.0</v>
      </c>
      <c r="C157" s="36">
        <v>28.3</v>
      </c>
      <c r="D157" s="36">
        <v>2536.0</v>
      </c>
      <c r="E157" s="36">
        <v>2540.0</v>
      </c>
      <c r="F157" s="36">
        <v>1.0</v>
      </c>
      <c r="G157" s="36">
        <v>22.0</v>
      </c>
      <c r="H157" s="36">
        <v>2.28</v>
      </c>
      <c r="I157" s="36">
        <v>49.8</v>
      </c>
      <c r="J157" s="36">
        <v>72.1</v>
      </c>
      <c r="K157" s="36">
        <v>152.0</v>
      </c>
      <c r="L157" s="36">
        <v>23.9</v>
      </c>
      <c r="M157" s="36">
        <v>90.0</v>
      </c>
      <c r="N157" s="36">
        <v>62.0</v>
      </c>
      <c r="O157" s="36">
        <v>22.0</v>
      </c>
      <c r="P157" s="36">
        <v>75.0</v>
      </c>
      <c r="Q157" s="36">
        <v>0.37</v>
      </c>
      <c r="R157" s="36">
        <v>1.0</v>
      </c>
      <c r="S157" s="36">
        <v>1.74</v>
      </c>
      <c r="T157" s="36">
        <v>2.74</v>
      </c>
      <c r="U157" s="21">
        <f t="shared" si="1"/>
        <v>2740</v>
      </c>
      <c r="V157" s="21">
        <f t="shared" si="2"/>
        <v>6400</v>
      </c>
    </row>
    <row r="158" ht="14.25" customHeight="1">
      <c r="A158" s="38">
        <v>0.4076388888888889</v>
      </c>
      <c r="B158" s="36">
        <v>228.0</v>
      </c>
      <c r="C158" s="36">
        <v>28.3</v>
      </c>
      <c r="D158" s="36">
        <v>2529.0</v>
      </c>
      <c r="E158" s="36">
        <v>2549.0</v>
      </c>
      <c r="F158" s="36">
        <v>1.01</v>
      </c>
      <c r="G158" s="36">
        <v>21.0</v>
      </c>
      <c r="H158" s="36">
        <v>2.33</v>
      </c>
      <c r="I158" s="36">
        <v>49.5</v>
      </c>
      <c r="J158" s="36">
        <v>72.3</v>
      </c>
      <c r="K158" s="36">
        <v>152.0</v>
      </c>
      <c r="L158" s="36">
        <v>23.7</v>
      </c>
      <c r="M158" s="36">
        <v>90.0</v>
      </c>
      <c r="N158" s="36">
        <v>62.0</v>
      </c>
      <c r="O158" s="36">
        <v>21.0</v>
      </c>
      <c r="P158" s="36">
        <v>75.0</v>
      </c>
      <c r="Q158" s="36">
        <v>0.36</v>
      </c>
      <c r="R158" s="36">
        <v>1.03</v>
      </c>
      <c r="S158" s="36">
        <v>1.79</v>
      </c>
      <c r="T158" s="36">
        <v>2.82</v>
      </c>
      <c r="U158" s="21">
        <f t="shared" si="1"/>
        <v>2820</v>
      </c>
      <c r="V158" s="21">
        <f t="shared" si="2"/>
        <v>4900</v>
      </c>
    </row>
    <row r="159" ht="14.25" customHeight="1">
      <c r="A159" s="38">
        <v>0.40902777777777777</v>
      </c>
      <c r="B159" s="36">
        <v>228.0</v>
      </c>
      <c r="C159" s="36">
        <v>28.6</v>
      </c>
      <c r="D159" s="36">
        <v>2560.0</v>
      </c>
      <c r="E159" s="36">
        <v>2594.0</v>
      </c>
      <c r="F159" s="36">
        <v>1.01</v>
      </c>
      <c r="G159" s="36">
        <v>21.0</v>
      </c>
      <c r="H159" s="36">
        <v>2.4</v>
      </c>
      <c r="I159" s="36">
        <v>49.9</v>
      </c>
      <c r="J159" s="36">
        <v>72.0</v>
      </c>
      <c r="K159" s="36">
        <v>152.0</v>
      </c>
      <c r="L159" s="36">
        <v>23.7</v>
      </c>
      <c r="M159" s="36">
        <v>90.0</v>
      </c>
      <c r="N159" s="36">
        <v>62.0</v>
      </c>
      <c r="O159" s="36">
        <v>21.0</v>
      </c>
      <c r="P159" s="36">
        <v>76.0</v>
      </c>
      <c r="Q159" s="36">
        <v>0.36</v>
      </c>
      <c r="R159" s="36">
        <v>1.04</v>
      </c>
      <c r="S159" s="36">
        <v>1.85</v>
      </c>
      <c r="T159" s="36">
        <v>2.89</v>
      </c>
      <c r="U159" s="21">
        <f t="shared" si="1"/>
        <v>2890</v>
      </c>
      <c r="V159" s="21">
        <f t="shared" si="2"/>
        <v>900</v>
      </c>
    </row>
    <row r="160" ht="14.25" customHeight="1">
      <c r="A160" s="38">
        <v>0.4111111111111111</v>
      </c>
      <c r="B160" s="36">
        <v>230.0</v>
      </c>
      <c r="C160" s="36">
        <v>28.7</v>
      </c>
      <c r="D160" s="36">
        <v>2566.0</v>
      </c>
      <c r="E160" s="36">
        <v>2583.0</v>
      </c>
      <c r="F160" s="36">
        <v>1.01</v>
      </c>
      <c r="G160" s="36">
        <v>21.0</v>
      </c>
      <c r="H160" s="36">
        <v>2.35</v>
      </c>
      <c r="I160" s="36">
        <v>49.3</v>
      </c>
      <c r="J160" s="36">
        <v>72.4</v>
      </c>
      <c r="K160" s="36">
        <v>151.0</v>
      </c>
      <c r="L160" s="36">
        <v>24.1</v>
      </c>
      <c r="M160" s="36">
        <v>89.0</v>
      </c>
      <c r="N160" s="36">
        <v>63.0</v>
      </c>
      <c r="O160" s="36">
        <v>21.0</v>
      </c>
      <c r="P160" s="36">
        <v>76.0</v>
      </c>
      <c r="Q160" s="36">
        <v>0.36</v>
      </c>
      <c r="R160" s="36">
        <v>1.04</v>
      </c>
      <c r="S160" s="36">
        <v>1.82</v>
      </c>
      <c r="T160" s="36">
        <v>2.86</v>
      </c>
      <c r="U160" s="21">
        <f t="shared" si="1"/>
        <v>2860</v>
      </c>
      <c r="V160" s="21">
        <f t="shared" si="2"/>
        <v>2500</v>
      </c>
    </row>
    <row r="161" ht="14.25" customHeight="1">
      <c r="A161" s="38">
        <v>0.4131944444444444</v>
      </c>
      <c r="B161" s="36">
        <v>232.0</v>
      </c>
      <c r="C161" s="36">
        <v>28.2</v>
      </c>
      <c r="D161" s="36">
        <v>2521.0</v>
      </c>
      <c r="E161" s="36">
        <v>2543.0</v>
      </c>
      <c r="F161" s="36">
        <v>1.01</v>
      </c>
      <c r="G161" s="36">
        <v>21.0</v>
      </c>
      <c r="H161" s="36">
        <v>2.36</v>
      </c>
      <c r="I161" s="36">
        <v>48.7</v>
      </c>
      <c r="J161" s="36">
        <v>72.7</v>
      </c>
      <c r="K161" s="36">
        <v>149.0</v>
      </c>
      <c r="L161" s="36">
        <v>25.0</v>
      </c>
      <c r="M161" s="36">
        <v>89.0</v>
      </c>
      <c r="N161" s="36">
        <v>63.0</v>
      </c>
      <c r="O161" s="36">
        <v>21.0</v>
      </c>
      <c r="P161" s="36">
        <v>75.0</v>
      </c>
      <c r="Q161" s="36">
        <v>0.36</v>
      </c>
      <c r="R161" s="36">
        <v>1.06</v>
      </c>
      <c r="S161" s="36">
        <v>1.85</v>
      </c>
      <c r="T161" s="36">
        <v>2.91</v>
      </c>
      <c r="U161" s="21">
        <f t="shared" si="1"/>
        <v>2910</v>
      </c>
      <c r="V161" s="21">
        <f t="shared" si="2"/>
        <v>100</v>
      </c>
    </row>
    <row r="162" ht="14.25" customHeight="1">
      <c r="A162" s="38">
        <v>0.41597222222222224</v>
      </c>
      <c r="B162" s="36">
        <v>233.0</v>
      </c>
      <c r="C162" s="36">
        <v>28.7</v>
      </c>
      <c r="D162" s="36">
        <v>2566.0</v>
      </c>
      <c r="E162" s="36">
        <v>2608.0</v>
      </c>
      <c r="F162" s="36">
        <v>1.02</v>
      </c>
      <c r="G162" s="36">
        <v>21.0</v>
      </c>
      <c r="H162" s="36">
        <v>2.43</v>
      </c>
      <c r="I162" s="36">
        <v>50.1</v>
      </c>
      <c r="J162" s="36">
        <v>71.9</v>
      </c>
      <c r="K162" s="36">
        <v>149.0</v>
      </c>
      <c r="L162" s="36">
        <v>25.2</v>
      </c>
      <c r="M162" s="36">
        <v>89.0</v>
      </c>
      <c r="N162" s="36">
        <v>63.0</v>
      </c>
      <c r="O162" s="36">
        <v>21.0</v>
      </c>
      <c r="P162" s="36">
        <v>76.0</v>
      </c>
      <c r="Q162" s="36">
        <v>0.35</v>
      </c>
      <c r="R162" s="36">
        <v>1.02</v>
      </c>
      <c r="S162" s="36">
        <v>1.89</v>
      </c>
      <c r="T162" s="36">
        <v>2.92</v>
      </c>
      <c r="U162" s="21">
        <f t="shared" si="1"/>
        <v>2920</v>
      </c>
      <c r="V162" s="21">
        <f t="shared" si="2"/>
        <v>4900</v>
      </c>
    </row>
    <row r="163" ht="14.25" customHeight="1">
      <c r="A163" s="38">
        <v>0.4173611111111111</v>
      </c>
      <c r="B163" s="36">
        <v>235.0</v>
      </c>
      <c r="C163" s="36">
        <v>28.5</v>
      </c>
      <c r="D163" s="36">
        <v>2550.0</v>
      </c>
      <c r="E163" s="36">
        <v>2607.0</v>
      </c>
      <c r="F163" s="36">
        <v>1.02</v>
      </c>
      <c r="G163" s="36">
        <v>21.0</v>
      </c>
      <c r="H163" s="36">
        <v>2.36</v>
      </c>
      <c r="I163" s="36">
        <v>49.6</v>
      </c>
      <c r="J163" s="36">
        <v>72.2</v>
      </c>
      <c r="K163" s="36">
        <v>149.0</v>
      </c>
      <c r="L163" s="36">
        <v>25.2</v>
      </c>
      <c r="M163" s="36">
        <v>89.0</v>
      </c>
      <c r="N163" s="36">
        <v>63.0</v>
      </c>
      <c r="O163" s="36">
        <v>21.0</v>
      </c>
      <c r="P163" s="36">
        <v>76.0</v>
      </c>
      <c r="Q163" s="36">
        <v>0.35</v>
      </c>
      <c r="R163" s="36">
        <v>1.01</v>
      </c>
      <c r="S163" s="36">
        <v>1.85</v>
      </c>
      <c r="T163" s="36">
        <v>2.85</v>
      </c>
      <c r="U163" s="21">
        <f t="shared" si="1"/>
        <v>2850</v>
      </c>
      <c r="V163" s="21">
        <f t="shared" si="2"/>
        <v>4900</v>
      </c>
    </row>
    <row r="164" ht="14.25" customHeight="1">
      <c r="A164" s="38">
        <v>0.41944444444444445</v>
      </c>
      <c r="B164" s="36">
        <v>236.0</v>
      </c>
      <c r="C164" s="36">
        <v>28.7</v>
      </c>
      <c r="D164" s="36">
        <v>2566.0</v>
      </c>
      <c r="E164" s="36">
        <v>2642.0</v>
      </c>
      <c r="F164" s="36">
        <v>1.03</v>
      </c>
      <c r="G164" s="36">
        <v>22.0</v>
      </c>
      <c r="H164" s="36">
        <v>2.33</v>
      </c>
      <c r="I164" s="36">
        <v>50.4</v>
      </c>
      <c r="J164" s="36">
        <v>71.8</v>
      </c>
      <c r="K164" s="36">
        <v>150.0</v>
      </c>
      <c r="L164" s="36">
        <v>24.8</v>
      </c>
      <c r="M164" s="36">
        <v>89.0</v>
      </c>
      <c r="N164" s="36">
        <v>63.0</v>
      </c>
      <c r="O164" s="36">
        <v>22.0</v>
      </c>
      <c r="P164" s="36">
        <v>76.0</v>
      </c>
      <c r="Q164" s="36">
        <v>0.35</v>
      </c>
      <c r="R164" s="36">
        <v>0.97</v>
      </c>
      <c r="S164" s="36">
        <v>1.8</v>
      </c>
      <c r="T164" s="36">
        <v>2.78</v>
      </c>
      <c r="U164" s="21">
        <f t="shared" si="1"/>
        <v>2780</v>
      </c>
      <c r="V164" s="21">
        <f t="shared" si="2"/>
        <v>4900</v>
      </c>
    </row>
    <row r="165" ht="14.25" customHeight="1">
      <c r="A165" s="38">
        <v>0.42083333333333334</v>
      </c>
      <c r="B165" s="36">
        <v>238.0</v>
      </c>
      <c r="C165" s="36">
        <v>28.6</v>
      </c>
      <c r="D165" s="36">
        <v>2560.0</v>
      </c>
      <c r="E165" s="36">
        <v>2672.0</v>
      </c>
      <c r="F165" s="36">
        <v>1.04</v>
      </c>
      <c r="G165" s="36">
        <v>21.0</v>
      </c>
      <c r="H165" s="36">
        <v>2.45</v>
      </c>
      <c r="I165" s="36">
        <v>51.5</v>
      </c>
      <c r="J165" s="36">
        <v>71.1</v>
      </c>
      <c r="K165" s="36">
        <v>151.0</v>
      </c>
      <c r="L165" s="36">
        <v>24.2</v>
      </c>
      <c r="M165" s="36">
        <v>89.0</v>
      </c>
      <c r="N165" s="36">
        <v>63.0</v>
      </c>
      <c r="O165" s="36">
        <v>21.0</v>
      </c>
      <c r="P165" s="36">
        <v>76.0</v>
      </c>
      <c r="Q165" s="36">
        <v>0.34</v>
      </c>
      <c r="R165" s="36">
        <v>0.98</v>
      </c>
      <c r="S165" s="36">
        <v>1.87</v>
      </c>
      <c r="T165" s="36">
        <v>2.85</v>
      </c>
      <c r="U165" s="21">
        <f t="shared" si="1"/>
        <v>2850</v>
      </c>
    </row>
    <row r="166" ht="14.25" customHeight="1">
      <c r="A166" s="36" t="s">
        <v>80</v>
      </c>
    </row>
    <row r="167" ht="14.25" customHeight="1">
      <c r="A167" s="38">
        <v>0.42291666666666666</v>
      </c>
      <c r="B167" s="36">
        <v>239.0</v>
      </c>
      <c r="C167" s="36">
        <v>27.9</v>
      </c>
      <c r="D167" s="36">
        <v>2496.0</v>
      </c>
      <c r="E167" s="36">
        <v>2614.0</v>
      </c>
      <c r="F167" s="36">
        <v>1.05</v>
      </c>
      <c r="G167" s="36">
        <v>21.0</v>
      </c>
      <c r="H167" s="36">
        <v>2.37</v>
      </c>
      <c r="I167" s="36">
        <v>50.5</v>
      </c>
      <c r="J167" s="36">
        <v>71.7</v>
      </c>
      <c r="K167" s="36">
        <v>155.0</v>
      </c>
      <c r="L167" s="36">
        <v>21.9</v>
      </c>
      <c r="M167" s="36">
        <v>90.0</v>
      </c>
      <c r="N167" s="36">
        <v>63.0</v>
      </c>
      <c r="O167" s="36">
        <v>21.0</v>
      </c>
      <c r="P167" s="36">
        <v>74.0</v>
      </c>
      <c r="Q167" s="36">
        <v>0.36</v>
      </c>
      <c r="R167" s="36">
        <v>1.01</v>
      </c>
      <c r="S167" s="36">
        <v>1.8</v>
      </c>
      <c r="T167" s="36">
        <v>2.82</v>
      </c>
      <c r="U167" s="21">
        <f t="shared" ref="U167:U198" si="3">T167*1000</f>
        <v>2820</v>
      </c>
      <c r="V167" s="21">
        <f t="shared" ref="V167:V197" si="4">(U167-U168)^2</f>
        <v>900</v>
      </c>
      <c r="W167" s="21">
        <f>SQRT((AVERAGE(V167:V197)))</f>
        <v>49.96773152</v>
      </c>
      <c r="X167" s="21">
        <f>STDEV(U167:U197)/AVERAGE(U167:U197)</f>
        <v>0.03008038038</v>
      </c>
    </row>
    <row r="168" ht="14.25" customHeight="1">
      <c r="A168" s="38">
        <v>0.425</v>
      </c>
      <c r="B168" s="36">
        <v>240.0</v>
      </c>
      <c r="C168" s="36">
        <v>28.3</v>
      </c>
      <c r="D168" s="36">
        <v>2531.0</v>
      </c>
      <c r="E168" s="36">
        <v>2652.0</v>
      </c>
      <c r="F168" s="36">
        <v>1.05</v>
      </c>
      <c r="G168" s="36">
        <v>21.0</v>
      </c>
      <c r="H168" s="36">
        <v>2.42</v>
      </c>
      <c r="I168" s="36">
        <v>51.0</v>
      </c>
      <c r="J168" s="36">
        <v>71.4</v>
      </c>
      <c r="K168" s="36">
        <v>155.0</v>
      </c>
      <c r="L168" s="36">
        <v>21.9</v>
      </c>
      <c r="M168" s="36">
        <v>89.0</v>
      </c>
      <c r="N168" s="36">
        <v>63.0</v>
      </c>
      <c r="O168" s="36">
        <v>21.0</v>
      </c>
      <c r="P168" s="36">
        <v>75.0</v>
      </c>
      <c r="Q168" s="36">
        <v>0.36</v>
      </c>
      <c r="R168" s="36">
        <v>1.01</v>
      </c>
      <c r="S168" s="36">
        <v>1.84</v>
      </c>
      <c r="T168" s="36">
        <v>2.85</v>
      </c>
      <c r="U168" s="21">
        <f t="shared" si="3"/>
        <v>2850</v>
      </c>
      <c r="V168" s="21">
        <f t="shared" si="4"/>
        <v>2500</v>
      </c>
    </row>
    <row r="169" ht="14.25" customHeight="1">
      <c r="A169" s="38">
        <v>0.4263888888888889</v>
      </c>
      <c r="B169" s="36">
        <v>242.0</v>
      </c>
      <c r="C169" s="36">
        <v>29.1</v>
      </c>
      <c r="D169" s="36">
        <v>2608.0</v>
      </c>
      <c r="E169" s="36">
        <v>2738.0</v>
      </c>
      <c r="F169" s="36">
        <v>1.05</v>
      </c>
      <c r="G169" s="36">
        <v>21.0</v>
      </c>
      <c r="H169" s="36">
        <v>2.45</v>
      </c>
      <c r="I169" s="36">
        <v>52.4</v>
      </c>
      <c r="J169" s="36">
        <v>70.6</v>
      </c>
      <c r="K169" s="36">
        <v>157.0</v>
      </c>
      <c r="L169" s="36">
        <v>21.1</v>
      </c>
      <c r="M169" s="36">
        <v>89.0</v>
      </c>
      <c r="N169" s="36">
        <v>64.0</v>
      </c>
      <c r="O169" s="36">
        <v>21.0</v>
      </c>
      <c r="P169" s="36">
        <v>77.0</v>
      </c>
      <c r="Q169" s="36">
        <v>0.36</v>
      </c>
      <c r="R169" s="36">
        <v>1.02</v>
      </c>
      <c r="S169" s="36">
        <v>1.79</v>
      </c>
      <c r="T169" s="36">
        <v>2.8</v>
      </c>
      <c r="U169" s="21">
        <f t="shared" si="3"/>
        <v>2800</v>
      </c>
      <c r="V169" s="21">
        <f t="shared" si="4"/>
        <v>22500</v>
      </c>
    </row>
    <row r="170" ht="14.25" customHeight="1">
      <c r="A170" s="38">
        <v>0.4284722222222222</v>
      </c>
      <c r="B170" s="36">
        <v>243.0</v>
      </c>
      <c r="C170" s="36">
        <v>29.3</v>
      </c>
      <c r="D170" s="36">
        <v>2624.0</v>
      </c>
      <c r="E170" s="36">
        <v>2716.0</v>
      </c>
      <c r="F170" s="36">
        <v>1.04</v>
      </c>
      <c r="G170" s="36">
        <v>23.0</v>
      </c>
      <c r="H170" s="36">
        <v>2.26</v>
      </c>
      <c r="I170" s="36">
        <v>51.2</v>
      </c>
      <c r="J170" s="36">
        <v>71.3</v>
      </c>
      <c r="K170" s="36">
        <v>158.0</v>
      </c>
      <c r="L170" s="36">
        <v>20.4</v>
      </c>
      <c r="M170" s="36">
        <v>89.0</v>
      </c>
      <c r="N170" s="36">
        <v>64.0</v>
      </c>
      <c r="O170" s="36">
        <v>23.0</v>
      </c>
      <c r="P170" s="36">
        <v>78.0</v>
      </c>
      <c r="Q170" s="36">
        <v>0.38</v>
      </c>
      <c r="R170" s="36">
        <v>1.01</v>
      </c>
      <c r="S170" s="36">
        <v>1.65</v>
      </c>
      <c r="T170" s="36">
        <v>2.65</v>
      </c>
      <c r="U170" s="21">
        <f t="shared" si="3"/>
        <v>2650</v>
      </c>
      <c r="V170" s="21">
        <f t="shared" si="4"/>
        <v>2500</v>
      </c>
    </row>
    <row r="171" ht="14.25" customHeight="1">
      <c r="A171" s="38">
        <v>0.4305555555555556</v>
      </c>
      <c r="B171" s="36">
        <v>244.0</v>
      </c>
      <c r="C171" s="36">
        <v>29.9</v>
      </c>
      <c r="D171" s="36">
        <v>2680.0</v>
      </c>
      <c r="E171" s="36">
        <v>2781.0</v>
      </c>
      <c r="F171" s="36">
        <v>1.04</v>
      </c>
      <c r="G171" s="36">
        <v>22.0</v>
      </c>
      <c r="H171" s="36">
        <v>2.36</v>
      </c>
      <c r="I171" s="36">
        <v>52.4</v>
      </c>
      <c r="J171" s="36">
        <v>70.6</v>
      </c>
      <c r="K171" s="36">
        <v>159.0</v>
      </c>
      <c r="L171" s="36">
        <v>20.2</v>
      </c>
      <c r="M171" s="36">
        <v>89.0</v>
      </c>
      <c r="N171" s="36">
        <v>64.0</v>
      </c>
      <c r="O171" s="36">
        <v>22.0</v>
      </c>
      <c r="P171" s="36">
        <v>80.0</v>
      </c>
      <c r="Q171" s="36">
        <v>0.39</v>
      </c>
      <c r="R171" s="36">
        <v>1.07</v>
      </c>
      <c r="S171" s="36">
        <v>1.64</v>
      </c>
      <c r="T171" s="36">
        <v>2.7</v>
      </c>
      <c r="U171" s="21">
        <f t="shared" si="3"/>
        <v>2700</v>
      </c>
      <c r="V171" s="21">
        <f t="shared" si="4"/>
        <v>1600</v>
      </c>
    </row>
    <row r="172" ht="14.25" customHeight="1">
      <c r="A172" s="38">
        <v>0.43194444444444446</v>
      </c>
      <c r="B172" s="36">
        <v>245.0</v>
      </c>
      <c r="C172" s="36">
        <v>30.3</v>
      </c>
      <c r="D172" s="36">
        <v>2716.0</v>
      </c>
      <c r="E172" s="36">
        <v>2840.0</v>
      </c>
      <c r="F172" s="36">
        <v>1.05</v>
      </c>
      <c r="G172" s="36">
        <v>22.0</v>
      </c>
      <c r="H172" s="36">
        <v>2.44</v>
      </c>
      <c r="I172" s="36">
        <v>53.4</v>
      </c>
      <c r="J172" s="36">
        <v>70.1</v>
      </c>
      <c r="K172" s="36">
        <v>159.0</v>
      </c>
      <c r="L172" s="36">
        <v>20.2</v>
      </c>
      <c r="M172" s="36">
        <v>90.0</v>
      </c>
      <c r="N172" s="36">
        <v>64.0</v>
      </c>
      <c r="O172" s="36">
        <v>22.0</v>
      </c>
      <c r="P172" s="36">
        <v>81.0</v>
      </c>
      <c r="Q172" s="36">
        <v>0.4</v>
      </c>
      <c r="R172" s="36">
        <v>1.09</v>
      </c>
      <c r="S172" s="36">
        <v>1.65</v>
      </c>
      <c r="T172" s="36">
        <v>2.74</v>
      </c>
      <c r="U172" s="21">
        <f t="shared" si="3"/>
        <v>2740</v>
      </c>
      <c r="V172" s="21">
        <f t="shared" si="4"/>
        <v>900</v>
      </c>
    </row>
    <row r="173" ht="14.25" customHeight="1">
      <c r="A173" s="38">
        <v>0.4340277777777778</v>
      </c>
      <c r="B173" s="36">
        <v>247.0</v>
      </c>
      <c r="C173" s="36">
        <v>29.8</v>
      </c>
      <c r="D173" s="36">
        <v>2665.0</v>
      </c>
      <c r="E173" s="36">
        <v>2780.0</v>
      </c>
      <c r="F173" s="36">
        <v>1.04</v>
      </c>
      <c r="G173" s="36">
        <v>22.0</v>
      </c>
      <c r="H173" s="36">
        <v>2.41</v>
      </c>
      <c r="I173" s="36">
        <v>52.1</v>
      </c>
      <c r="J173" s="36">
        <v>70.8</v>
      </c>
      <c r="K173" s="36">
        <v>159.0</v>
      </c>
      <c r="L173" s="36">
        <v>20.2</v>
      </c>
      <c r="M173" s="36">
        <v>89.0</v>
      </c>
      <c r="N173" s="36">
        <v>64.0</v>
      </c>
      <c r="O173" s="36">
        <v>22.0</v>
      </c>
      <c r="P173" s="36">
        <v>79.0</v>
      </c>
      <c r="Q173" s="36">
        <v>0.4</v>
      </c>
      <c r="R173" s="36">
        <v>1.1</v>
      </c>
      <c r="S173" s="36">
        <v>1.67</v>
      </c>
      <c r="T173" s="36">
        <v>2.77</v>
      </c>
      <c r="U173" s="21">
        <f t="shared" si="3"/>
        <v>2770</v>
      </c>
      <c r="V173" s="21">
        <f t="shared" si="4"/>
        <v>900</v>
      </c>
    </row>
    <row r="174" ht="14.25" customHeight="1">
      <c r="A174" s="38">
        <v>0.4361111111111111</v>
      </c>
      <c r="B174" s="36">
        <v>248.0</v>
      </c>
      <c r="C174" s="36">
        <v>30.0</v>
      </c>
      <c r="D174" s="36">
        <v>2687.0</v>
      </c>
      <c r="E174" s="36">
        <v>2807.0</v>
      </c>
      <c r="F174" s="36">
        <v>1.04</v>
      </c>
      <c r="G174" s="36">
        <v>22.0</v>
      </c>
      <c r="H174" s="36">
        <v>2.39</v>
      </c>
      <c r="I174" s="36">
        <v>52.3</v>
      </c>
      <c r="J174" s="36">
        <v>70.7</v>
      </c>
      <c r="K174" s="36">
        <v>160.0</v>
      </c>
      <c r="L174" s="36">
        <v>19.8</v>
      </c>
      <c r="M174" s="36">
        <v>89.0</v>
      </c>
      <c r="N174" s="36">
        <v>64.0</v>
      </c>
      <c r="O174" s="36">
        <v>22.0</v>
      </c>
      <c r="P174" s="36">
        <v>80.0</v>
      </c>
      <c r="Q174" s="36">
        <v>0.4</v>
      </c>
      <c r="R174" s="36">
        <v>1.11</v>
      </c>
      <c r="S174" s="36">
        <v>1.64</v>
      </c>
      <c r="T174" s="36">
        <v>2.74</v>
      </c>
      <c r="U174" s="21">
        <f t="shared" si="3"/>
        <v>2740</v>
      </c>
      <c r="V174" s="21">
        <f t="shared" si="4"/>
        <v>100</v>
      </c>
    </row>
    <row r="175" ht="14.25" customHeight="1">
      <c r="A175" s="38">
        <v>0.43819444444444444</v>
      </c>
      <c r="B175" s="36">
        <v>250.0</v>
      </c>
      <c r="C175" s="36">
        <v>30.6</v>
      </c>
      <c r="D175" s="36">
        <v>2736.0</v>
      </c>
      <c r="E175" s="36">
        <v>2869.0</v>
      </c>
      <c r="F175" s="36">
        <v>1.05</v>
      </c>
      <c r="G175" s="36">
        <v>22.0</v>
      </c>
      <c r="H175" s="36">
        <v>2.47</v>
      </c>
      <c r="I175" s="36">
        <v>53.8</v>
      </c>
      <c r="J175" s="36">
        <v>69.8</v>
      </c>
      <c r="K175" s="36">
        <v>158.0</v>
      </c>
      <c r="L175" s="36">
        <v>20.4</v>
      </c>
      <c r="M175" s="36">
        <v>89.0</v>
      </c>
      <c r="N175" s="36">
        <v>64.0</v>
      </c>
      <c r="O175" s="36">
        <v>22.0</v>
      </c>
      <c r="P175" s="36">
        <v>81.0</v>
      </c>
      <c r="Q175" s="36">
        <v>0.39</v>
      </c>
      <c r="R175" s="36">
        <v>1.08</v>
      </c>
      <c r="S175" s="36">
        <v>1.67</v>
      </c>
      <c r="T175" s="36">
        <v>2.75</v>
      </c>
      <c r="U175" s="21">
        <f t="shared" si="3"/>
        <v>2750</v>
      </c>
      <c r="V175" s="21">
        <f t="shared" si="4"/>
        <v>900</v>
      </c>
    </row>
    <row r="176" ht="14.25" customHeight="1">
      <c r="A176" s="38">
        <v>0.4395833333333333</v>
      </c>
      <c r="B176" s="36">
        <v>251.0</v>
      </c>
      <c r="C176" s="36">
        <v>30.7</v>
      </c>
      <c r="D176" s="36">
        <v>2744.0</v>
      </c>
      <c r="E176" s="36">
        <v>2887.0</v>
      </c>
      <c r="F176" s="36">
        <v>1.05</v>
      </c>
      <c r="G176" s="36">
        <v>22.0</v>
      </c>
      <c r="H176" s="36">
        <v>2.44</v>
      </c>
      <c r="I176" s="36">
        <v>53.8</v>
      </c>
      <c r="J176" s="36">
        <v>69.8</v>
      </c>
      <c r="K176" s="36">
        <v>158.0</v>
      </c>
      <c r="L176" s="36">
        <v>20.4</v>
      </c>
      <c r="M176" s="36">
        <v>90.0</v>
      </c>
      <c r="N176" s="36">
        <v>64.0</v>
      </c>
      <c r="O176" s="36">
        <v>22.0</v>
      </c>
      <c r="P176" s="36">
        <v>81.0</v>
      </c>
      <c r="Q176" s="36">
        <v>0.4</v>
      </c>
      <c r="R176" s="36">
        <v>1.07</v>
      </c>
      <c r="S176" s="36">
        <v>1.64</v>
      </c>
      <c r="T176" s="36">
        <v>2.72</v>
      </c>
      <c r="U176" s="21">
        <f t="shared" si="3"/>
        <v>2720</v>
      </c>
      <c r="V176" s="21">
        <f t="shared" si="4"/>
        <v>400</v>
      </c>
    </row>
    <row r="177" ht="14.25" customHeight="1">
      <c r="A177" s="38">
        <v>0.44166666666666665</v>
      </c>
      <c r="B177" s="36">
        <v>252.0</v>
      </c>
      <c r="C177" s="36">
        <v>31.1</v>
      </c>
      <c r="D177" s="36">
        <v>2787.0</v>
      </c>
      <c r="E177" s="36">
        <v>2941.0</v>
      </c>
      <c r="F177" s="36">
        <v>1.06</v>
      </c>
      <c r="G177" s="36">
        <v>22.0</v>
      </c>
      <c r="H177" s="36">
        <v>2.5</v>
      </c>
      <c r="I177" s="36">
        <v>54.7</v>
      </c>
      <c r="J177" s="36">
        <v>69.4</v>
      </c>
      <c r="K177" s="36">
        <v>158.0</v>
      </c>
      <c r="L177" s="36">
        <v>20.4</v>
      </c>
      <c r="M177" s="36">
        <v>89.0</v>
      </c>
      <c r="N177" s="36">
        <v>65.0</v>
      </c>
      <c r="O177" s="36">
        <v>22.0</v>
      </c>
      <c r="P177" s="36">
        <v>83.0</v>
      </c>
      <c r="Q177" s="36">
        <v>0.39</v>
      </c>
      <c r="R177" s="36">
        <v>1.08</v>
      </c>
      <c r="S177" s="36">
        <v>1.66</v>
      </c>
      <c r="T177" s="36">
        <v>2.74</v>
      </c>
      <c r="U177" s="21">
        <f t="shared" si="3"/>
        <v>2740</v>
      </c>
      <c r="V177" s="21">
        <f t="shared" si="4"/>
        <v>6400</v>
      </c>
    </row>
    <row r="178" ht="14.25" customHeight="1">
      <c r="A178" s="38">
        <v>0.44305555555555554</v>
      </c>
      <c r="B178" s="36">
        <v>253.0</v>
      </c>
      <c r="C178" s="36">
        <v>31.5</v>
      </c>
      <c r="D178" s="36">
        <v>2815.0</v>
      </c>
      <c r="E178" s="36">
        <v>2976.0</v>
      </c>
      <c r="F178" s="36">
        <v>1.06</v>
      </c>
      <c r="G178" s="36">
        <v>23.0</v>
      </c>
      <c r="H178" s="36">
        <v>2.45</v>
      </c>
      <c r="I178" s="36">
        <v>55.3</v>
      </c>
      <c r="J178" s="36">
        <v>69.0</v>
      </c>
      <c r="K178" s="36">
        <v>160.0</v>
      </c>
      <c r="L178" s="36">
        <v>19.4</v>
      </c>
      <c r="M178" s="36">
        <v>89.0</v>
      </c>
      <c r="N178" s="36">
        <v>65.0</v>
      </c>
      <c r="O178" s="36">
        <v>23.0</v>
      </c>
      <c r="P178" s="36">
        <v>84.0</v>
      </c>
      <c r="Q178" s="36">
        <v>0.39</v>
      </c>
      <c r="R178" s="36">
        <v>1.03</v>
      </c>
      <c r="S178" s="36">
        <v>1.64</v>
      </c>
      <c r="T178" s="36">
        <v>2.66</v>
      </c>
      <c r="U178" s="21">
        <f t="shared" si="3"/>
        <v>2660</v>
      </c>
      <c r="V178" s="21">
        <f t="shared" si="4"/>
        <v>0</v>
      </c>
    </row>
    <row r="179" ht="14.25" customHeight="1">
      <c r="A179" s="38">
        <v>0.44513888888888886</v>
      </c>
      <c r="B179" s="36">
        <v>254.0</v>
      </c>
      <c r="C179" s="36">
        <v>31.5</v>
      </c>
      <c r="D179" s="36">
        <v>2815.0</v>
      </c>
      <c r="E179" s="36">
        <v>2976.0</v>
      </c>
      <c r="F179" s="36">
        <v>1.06</v>
      </c>
      <c r="G179" s="36">
        <v>23.0</v>
      </c>
      <c r="H179" s="36">
        <v>2.45</v>
      </c>
      <c r="I179" s="36">
        <v>55.3</v>
      </c>
      <c r="J179" s="36">
        <v>69.0</v>
      </c>
      <c r="K179" s="36">
        <v>159.0</v>
      </c>
      <c r="L179" s="36">
        <v>20.0</v>
      </c>
      <c r="M179" s="36">
        <v>89.0</v>
      </c>
      <c r="N179" s="36">
        <v>65.0</v>
      </c>
      <c r="O179" s="36">
        <v>23.0</v>
      </c>
      <c r="P179" s="36">
        <v>84.0</v>
      </c>
      <c r="Q179" s="36">
        <v>0.39</v>
      </c>
      <c r="R179" s="36">
        <v>1.03</v>
      </c>
      <c r="S179" s="36">
        <v>1.64</v>
      </c>
      <c r="T179" s="36">
        <v>2.66</v>
      </c>
      <c r="U179" s="21">
        <f t="shared" si="3"/>
        <v>2660</v>
      </c>
      <c r="V179" s="21">
        <f t="shared" si="4"/>
        <v>2500</v>
      </c>
    </row>
    <row r="180" ht="14.25" customHeight="1">
      <c r="A180" s="38">
        <v>0.44722222222222224</v>
      </c>
      <c r="B180" s="36">
        <v>256.0</v>
      </c>
      <c r="C180" s="36">
        <v>32.1</v>
      </c>
      <c r="D180" s="36">
        <v>2873.0</v>
      </c>
      <c r="E180" s="36">
        <v>3053.0</v>
      </c>
      <c r="F180" s="36">
        <v>1.06</v>
      </c>
      <c r="G180" s="36">
        <v>23.0</v>
      </c>
      <c r="H180" s="36">
        <v>2.46</v>
      </c>
      <c r="I180" s="36">
        <v>56.6</v>
      </c>
      <c r="J180" s="36">
        <v>68.3</v>
      </c>
      <c r="K180" s="36">
        <v>160.0</v>
      </c>
      <c r="L180" s="36">
        <v>19.4</v>
      </c>
      <c r="M180" s="36">
        <v>90.0</v>
      </c>
      <c r="N180" s="36">
        <v>65.0</v>
      </c>
      <c r="O180" s="36">
        <v>23.0</v>
      </c>
      <c r="P180" s="36">
        <v>85.0</v>
      </c>
      <c r="Q180" s="36">
        <v>0.39</v>
      </c>
      <c r="R180" s="36">
        <v>1.03</v>
      </c>
      <c r="S180" s="36">
        <v>1.58</v>
      </c>
      <c r="T180" s="36">
        <v>2.61</v>
      </c>
      <c r="U180" s="21">
        <f t="shared" si="3"/>
        <v>2610</v>
      </c>
      <c r="V180" s="21">
        <f t="shared" si="4"/>
        <v>0</v>
      </c>
    </row>
    <row r="181" ht="14.25" customHeight="1">
      <c r="A181" s="38">
        <v>0.44930555555555557</v>
      </c>
      <c r="B181" s="36">
        <v>258.0</v>
      </c>
      <c r="C181" s="36">
        <v>32.1</v>
      </c>
      <c r="D181" s="36">
        <v>2873.0</v>
      </c>
      <c r="E181" s="36">
        <v>3053.0</v>
      </c>
      <c r="F181" s="36">
        <v>1.06</v>
      </c>
      <c r="G181" s="36">
        <v>23.0</v>
      </c>
      <c r="H181" s="36">
        <v>2.46</v>
      </c>
      <c r="I181" s="36">
        <v>56.6</v>
      </c>
      <c r="J181" s="36">
        <v>68.3</v>
      </c>
      <c r="K181" s="36">
        <v>163.0</v>
      </c>
      <c r="L181" s="36">
        <v>18.3</v>
      </c>
      <c r="M181" s="36">
        <v>90.0</v>
      </c>
      <c r="N181" s="36">
        <v>65.0</v>
      </c>
      <c r="O181" s="36">
        <v>23.0</v>
      </c>
      <c r="P181" s="36">
        <v>85.0</v>
      </c>
      <c r="Q181" s="36">
        <v>0.39</v>
      </c>
      <c r="R181" s="36">
        <v>1.03</v>
      </c>
      <c r="S181" s="36">
        <v>1.58</v>
      </c>
      <c r="T181" s="36">
        <v>2.61</v>
      </c>
      <c r="U181" s="21">
        <f t="shared" si="3"/>
        <v>2610</v>
      </c>
      <c r="V181" s="21">
        <f t="shared" si="4"/>
        <v>400</v>
      </c>
    </row>
    <row r="182" ht="14.25" customHeight="1">
      <c r="A182" s="38">
        <v>0.4513888888888889</v>
      </c>
      <c r="B182" s="36">
        <v>259.0</v>
      </c>
      <c r="C182" s="36">
        <v>32.3</v>
      </c>
      <c r="D182" s="36">
        <v>2892.0</v>
      </c>
      <c r="E182" s="36">
        <v>3093.0</v>
      </c>
      <c r="F182" s="36">
        <v>1.07</v>
      </c>
      <c r="G182" s="36">
        <v>23.0</v>
      </c>
      <c r="H182" s="36">
        <v>2.52</v>
      </c>
      <c r="I182" s="36">
        <v>57.4</v>
      </c>
      <c r="J182" s="36">
        <v>67.8</v>
      </c>
      <c r="K182" s="36">
        <v>163.0</v>
      </c>
      <c r="L182" s="36">
        <v>18.3</v>
      </c>
      <c r="M182" s="36">
        <v>90.0</v>
      </c>
      <c r="N182" s="36">
        <v>65.0</v>
      </c>
      <c r="O182" s="36">
        <v>23.0</v>
      </c>
      <c r="P182" s="36">
        <v>86.0</v>
      </c>
      <c r="Q182" s="36">
        <v>0.39</v>
      </c>
      <c r="R182" s="36">
        <v>1.04</v>
      </c>
      <c r="S182" s="36">
        <v>1.6</v>
      </c>
      <c r="T182" s="36">
        <v>2.63</v>
      </c>
      <c r="U182" s="21">
        <f t="shared" si="3"/>
        <v>2630</v>
      </c>
      <c r="V182" s="21">
        <f t="shared" si="4"/>
        <v>1600</v>
      </c>
    </row>
    <row r="183" ht="14.25" customHeight="1">
      <c r="A183" s="38">
        <v>0.4534722222222222</v>
      </c>
      <c r="B183" s="36">
        <v>261.0</v>
      </c>
      <c r="C183" s="36">
        <v>32.3</v>
      </c>
      <c r="D183" s="36">
        <v>2894.0</v>
      </c>
      <c r="E183" s="36">
        <v>3102.0</v>
      </c>
      <c r="F183" s="36">
        <v>1.07</v>
      </c>
      <c r="G183" s="36">
        <v>22.0</v>
      </c>
      <c r="H183" s="36">
        <v>2.55</v>
      </c>
      <c r="I183" s="36">
        <v>57.3</v>
      </c>
      <c r="J183" s="36">
        <v>67.9</v>
      </c>
      <c r="K183" s="36">
        <v>166.0</v>
      </c>
      <c r="L183" s="36">
        <v>16.7</v>
      </c>
      <c r="M183" s="36">
        <v>90.0</v>
      </c>
      <c r="N183" s="36">
        <v>65.0</v>
      </c>
      <c r="O183" s="36">
        <v>22.0</v>
      </c>
      <c r="P183" s="36">
        <v>86.0</v>
      </c>
      <c r="Q183" s="36">
        <v>0.4</v>
      </c>
      <c r="R183" s="36">
        <v>1.06</v>
      </c>
      <c r="S183" s="36">
        <v>1.61</v>
      </c>
      <c r="T183" s="36">
        <v>2.67</v>
      </c>
      <c r="U183" s="21">
        <f t="shared" si="3"/>
        <v>2670</v>
      </c>
      <c r="V183" s="21">
        <f t="shared" si="4"/>
        <v>0</v>
      </c>
    </row>
    <row r="184" ht="14.25" customHeight="1">
      <c r="A184" s="38">
        <v>0.4548611111111111</v>
      </c>
      <c r="B184" s="36">
        <v>261.0</v>
      </c>
      <c r="C184" s="36">
        <v>32.9</v>
      </c>
      <c r="D184" s="36">
        <v>2945.0</v>
      </c>
      <c r="E184" s="36">
        <v>3173.0</v>
      </c>
      <c r="F184" s="36">
        <v>1.08</v>
      </c>
      <c r="G184" s="36">
        <v>22.0</v>
      </c>
      <c r="H184" s="36">
        <v>2.59</v>
      </c>
      <c r="I184" s="36">
        <v>58.2</v>
      </c>
      <c r="J184" s="36">
        <v>67.4</v>
      </c>
      <c r="K184" s="36">
        <v>166.0</v>
      </c>
      <c r="L184" s="36">
        <v>16.5</v>
      </c>
      <c r="M184" s="36">
        <v>90.0</v>
      </c>
      <c r="N184" s="36">
        <v>65.0</v>
      </c>
      <c r="O184" s="36">
        <v>22.0</v>
      </c>
      <c r="P184" s="36">
        <v>87.0</v>
      </c>
      <c r="Q184" s="36">
        <v>0.4</v>
      </c>
      <c r="R184" s="36">
        <v>1.06</v>
      </c>
      <c r="S184" s="36">
        <v>1.61</v>
      </c>
      <c r="T184" s="36">
        <v>2.67</v>
      </c>
      <c r="U184" s="21">
        <f t="shared" si="3"/>
        <v>2670</v>
      </c>
      <c r="V184" s="21">
        <f t="shared" si="4"/>
        <v>2500</v>
      </c>
    </row>
    <row r="185" ht="14.25" customHeight="1">
      <c r="A185" s="38">
        <v>0.45694444444444443</v>
      </c>
      <c r="B185" s="36">
        <v>263.0</v>
      </c>
      <c r="C185" s="36">
        <v>33.4</v>
      </c>
      <c r="D185" s="36">
        <v>2993.0</v>
      </c>
      <c r="E185" s="36">
        <v>3249.0</v>
      </c>
      <c r="F185" s="36">
        <v>1.09</v>
      </c>
      <c r="G185" s="36">
        <v>22.0</v>
      </c>
      <c r="H185" s="36">
        <v>2.69</v>
      </c>
      <c r="I185" s="36">
        <v>59.4</v>
      </c>
      <c r="J185" s="36">
        <v>66.7</v>
      </c>
      <c r="K185" s="36">
        <v>166.0</v>
      </c>
      <c r="L185" s="36">
        <v>16.7</v>
      </c>
      <c r="M185" s="36">
        <v>91.0</v>
      </c>
      <c r="N185" s="36">
        <v>65.0</v>
      </c>
      <c r="O185" s="36">
        <v>22.0</v>
      </c>
      <c r="P185" s="36">
        <v>89.0</v>
      </c>
      <c r="Q185" s="36">
        <v>0.4</v>
      </c>
      <c r="R185" s="36">
        <v>1.09</v>
      </c>
      <c r="S185" s="36">
        <v>1.63</v>
      </c>
      <c r="T185" s="36">
        <v>2.72</v>
      </c>
      <c r="U185" s="21">
        <f t="shared" si="3"/>
        <v>2720</v>
      </c>
      <c r="V185" s="21">
        <f t="shared" si="4"/>
        <v>100</v>
      </c>
    </row>
    <row r="186" ht="14.25" customHeight="1">
      <c r="A186" s="38">
        <v>0.45902777777777776</v>
      </c>
      <c r="B186" s="36">
        <v>264.0</v>
      </c>
      <c r="C186" s="36">
        <v>33.4</v>
      </c>
      <c r="D186" s="36">
        <v>2990.0</v>
      </c>
      <c r="E186" s="36">
        <v>3258.0</v>
      </c>
      <c r="F186" s="36">
        <v>1.09</v>
      </c>
      <c r="G186" s="36">
        <v>22.0</v>
      </c>
      <c r="H186" s="36">
        <v>2.67</v>
      </c>
      <c r="I186" s="36">
        <v>59.2</v>
      </c>
      <c r="J186" s="36">
        <v>66.8</v>
      </c>
      <c r="K186" s="36">
        <v>166.0</v>
      </c>
      <c r="L186" s="36">
        <v>16.7</v>
      </c>
      <c r="M186" s="36">
        <v>90.0</v>
      </c>
      <c r="N186" s="36">
        <v>65.0</v>
      </c>
      <c r="O186" s="36">
        <v>22.0</v>
      </c>
      <c r="P186" s="36">
        <v>89.0</v>
      </c>
      <c r="Q186" s="36">
        <v>0.4</v>
      </c>
      <c r="R186" s="36">
        <v>1.08</v>
      </c>
      <c r="S186" s="36">
        <v>1.62</v>
      </c>
      <c r="T186" s="36">
        <v>2.71</v>
      </c>
      <c r="U186" s="21">
        <f t="shared" si="3"/>
        <v>2710</v>
      </c>
      <c r="V186" s="21">
        <f t="shared" si="4"/>
        <v>100</v>
      </c>
    </row>
    <row r="187" ht="14.25" customHeight="1">
      <c r="A187" s="38">
        <v>0.46041666666666664</v>
      </c>
      <c r="B187" s="36">
        <v>266.0</v>
      </c>
      <c r="C187" s="36">
        <v>33.4</v>
      </c>
      <c r="D187" s="36">
        <v>2986.0</v>
      </c>
      <c r="E187" s="36">
        <v>3248.0</v>
      </c>
      <c r="F187" s="36">
        <v>1.09</v>
      </c>
      <c r="G187" s="36">
        <v>22.0</v>
      </c>
      <c r="H187" s="36">
        <v>2.67</v>
      </c>
      <c r="I187" s="36">
        <v>59.0</v>
      </c>
      <c r="J187" s="36">
        <v>66.9</v>
      </c>
      <c r="K187" s="36">
        <v>166.0</v>
      </c>
      <c r="L187" s="36">
        <v>16.7</v>
      </c>
      <c r="M187" s="36">
        <v>90.0</v>
      </c>
      <c r="N187" s="36">
        <v>66.0</v>
      </c>
      <c r="O187" s="36">
        <v>22.0</v>
      </c>
      <c r="P187" s="36">
        <v>89.0</v>
      </c>
      <c r="Q187" s="36">
        <v>0.39</v>
      </c>
      <c r="R187" s="36">
        <v>1.06</v>
      </c>
      <c r="S187" s="36">
        <v>1.65</v>
      </c>
      <c r="T187" s="36">
        <v>2.72</v>
      </c>
      <c r="U187" s="21">
        <f t="shared" si="3"/>
        <v>2720</v>
      </c>
      <c r="V187" s="21">
        <f t="shared" si="4"/>
        <v>900</v>
      </c>
    </row>
    <row r="188" ht="14.25" customHeight="1">
      <c r="A188" s="38">
        <v>0.4625</v>
      </c>
      <c r="B188" s="36">
        <v>267.0</v>
      </c>
      <c r="C188" s="36">
        <v>33.6</v>
      </c>
      <c r="D188" s="36">
        <v>3006.0</v>
      </c>
      <c r="E188" s="36">
        <v>3300.0</v>
      </c>
      <c r="F188" s="36">
        <v>1.1</v>
      </c>
      <c r="G188" s="36">
        <v>22.0</v>
      </c>
      <c r="H188" s="36">
        <v>2.72</v>
      </c>
      <c r="I188" s="36">
        <v>60.8</v>
      </c>
      <c r="J188" s="36">
        <v>65.9</v>
      </c>
      <c r="K188" s="36">
        <v>167.0</v>
      </c>
      <c r="L188" s="36">
        <v>16.3</v>
      </c>
      <c r="M188" s="36">
        <v>91.0</v>
      </c>
      <c r="N188" s="36">
        <v>65.0</v>
      </c>
      <c r="O188" s="36">
        <v>22.0</v>
      </c>
      <c r="P188" s="36">
        <v>89.0</v>
      </c>
      <c r="Q188" s="36">
        <v>0.39</v>
      </c>
      <c r="R188" s="36">
        <v>1.05</v>
      </c>
      <c r="S188" s="36">
        <v>1.64</v>
      </c>
      <c r="T188" s="36">
        <v>2.69</v>
      </c>
      <c r="U188" s="21">
        <f t="shared" si="3"/>
        <v>2690</v>
      </c>
      <c r="V188" s="21">
        <f t="shared" si="4"/>
        <v>0</v>
      </c>
    </row>
    <row r="189" ht="14.25" customHeight="1">
      <c r="A189" s="38">
        <v>0.46458333333333335</v>
      </c>
      <c r="B189" s="36">
        <v>269.0</v>
      </c>
      <c r="C189" s="36">
        <v>33.4</v>
      </c>
      <c r="D189" s="36">
        <v>2988.0</v>
      </c>
      <c r="E189" s="36">
        <v>3320.0</v>
      </c>
      <c r="F189" s="36">
        <v>1.11</v>
      </c>
      <c r="G189" s="36">
        <v>22.0</v>
      </c>
      <c r="H189" s="36">
        <v>2.8</v>
      </c>
      <c r="I189" s="36">
        <v>62.3</v>
      </c>
      <c r="J189" s="36">
        <v>65.1</v>
      </c>
      <c r="K189" s="36">
        <v>166.0</v>
      </c>
      <c r="L189" s="36">
        <v>16.7</v>
      </c>
      <c r="M189" s="36">
        <v>92.0</v>
      </c>
      <c r="N189" s="36">
        <v>64.0</v>
      </c>
      <c r="O189" s="36">
        <v>22.0</v>
      </c>
      <c r="P189" s="36">
        <v>89.0</v>
      </c>
      <c r="Q189" s="36">
        <v>0.38</v>
      </c>
      <c r="R189" s="36">
        <v>1.01</v>
      </c>
      <c r="S189" s="36">
        <v>1.68</v>
      </c>
      <c r="T189" s="36">
        <v>2.69</v>
      </c>
      <c r="U189" s="21">
        <f t="shared" si="3"/>
        <v>2690</v>
      </c>
      <c r="V189" s="21">
        <f t="shared" si="4"/>
        <v>900</v>
      </c>
    </row>
    <row r="190" ht="14.25" customHeight="1">
      <c r="A190" s="38">
        <v>0.46597222222222223</v>
      </c>
      <c r="B190" s="36">
        <v>270.0</v>
      </c>
      <c r="C190" s="36">
        <v>33.6</v>
      </c>
      <c r="D190" s="36">
        <v>3010.0</v>
      </c>
      <c r="E190" s="36">
        <v>3381.0</v>
      </c>
      <c r="F190" s="36">
        <v>1.12</v>
      </c>
      <c r="G190" s="36">
        <v>23.0</v>
      </c>
      <c r="H190" s="36">
        <v>2.82</v>
      </c>
      <c r="I190" s="36">
        <v>63.7</v>
      </c>
      <c r="J190" s="36">
        <v>64.3</v>
      </c>
      <c r="K190" s="36">
        <v>168.0</v>
      </c>
      <c r="L190" s="36">
        <v>15.5</v>
      </c>
      <c r="M190" s="36">
        <v>93.0</v>
      </c>
      <c r="N190" s="36">
        <v>64.0</v>
      </c>
      <c r="O190" s="36">
        <v>23.0</v>
      </c>
      <c r="P190" s="36">
        <v>89.0</v>
      </c>
      <c r="Q190" s="36">
        <v>0.38</v>
      </c>
      <c r="R190" s="36">
        <v>1.0</v>
      </c>
      <c r="S190" s="36">
        <v>1.66</v>
      </c>
      <c r="T190" s="36">
        <v>2.66</v>
      </c>
      <c r="U190" s="21">
        <f t="shared" si="3"/>
        <v>2660</v>
      </c>
      <c r="V190" s="21">
        <f t="shared" si="4"/>
        <v>2500</v>
      </c>
    </row>
    <row r="191" ht="14.25" customHeight="1">
      <c r="A191" s="38">
        <v>0.46805555555555556</v>
      </c>
      <c r="B191" s="36">
        <v>272.0</v>
      </c>
      <c r="C191" s="36">
        <v>33.5</v>
      </c>
      <c r="D191" s="36">
        <v>3003.0</v>
      </c>
      <c r="E191" s="36">
        <v>3391.0</v>
      </c>
      <c r="F191" s="36">
        <v>1.13</v>
      </c>
      <c r="G191" s="36">
        <v>23.0</v>
      </c>
      <c r="H191" s="36">
        <v>2.79</v>
      </c>
      <c r="I191" s="36">
        <v>64.1</v>
      </c>
      <c r="J191" s="36">
        <v>64.1</v>
      </c>
      <c r="K191" s="36">
        <v>170.0</v>
      </c>
      <c r="L191" s="36">
        <v>14.6</v>
      </c>
      <c r="M191" s="36">
        <v>93.0</v>
      </c>
      <c r="N191" s="36">
        <v>64.0</v>
      </c>
      <c r="O191" s="36">
        <v>23.0</v>
      </c>
      <c r="P191" s="36">
        <v>89.0</v>
      </c>
      <c r="Q191" s="36">
        <v>0.36</v>
      </c>
      <c r="R191" s="36">
        <v>0.95</v>
      </c>
      <c r="S191" s="36">
        <v>1.66</v>
      </c>
      <c r="T191" s="36">
        <v>2.61</v>
      </c>
      <c r="U191" s="21">
        <f t="shared" si="3"/>
        <v>2610</v>
      </c>
      <c r="V191" s="21">
        <f t="shared" si="4"/>
        <v>900</v>
      </c>
    </row>
    <row r="192" ht="14.25" customHeight="1">
      <c r="A192" s="38">
        <v>0.46944444444444444</v>
      </c>
      <c r="B192" s="36">
        <v>272.0</v>
      </c>
      <c r="C192" s="36">
        <v>33.6</v>
      </c>
      <c r="D192" s="36">
        <v>3007.0</v>
      </c>
      <c r="E192" s="36">
        <v>3389.0</v>
      </c>
      <c r="F192" s="36">
        <v>1.13</v>
      </c>
      <c r="G192" s="36">
        <v>23.0</v>
      </c>
      <c r="H192" s="36">
        <v>2.8</v>
      </c>
      <c r="I192" s="36">
        <v>63.6</v>
      </c>
      <c r="J192" s="36">
        <v>64.4</v>
      </c>
      <c r="K192" s="36">
        <v>171.0</v>
      </c>
      <c r="L192" s="36">
        <v>13.8</v>
      </c>
      <c r="M192" s="36">
        <v>92.0</v>
      </c>
      <c r="N192" s="36">
        <v>64.0</v>
      </c>
      <c r="O192" s="36">
        <v>23.0</v>
      </c>
      <c r="P192" s="36">
        <v>89.0</v>
      </c>
      <c r="Q192" s="36">
        <v>0.37</v>
      </c>
      <c r="R192" s="36">
        <v>0.97</v>
      </c>
      <c r="S192" s="36">
        <v>1.67</v>
      </c>
      <c r="T192" s="36">
        <v>2.64</v>
      </c>
      <c r="U192" s="21">
        <f t="shared" si="3"/>
        <v>2640</v>
      </c>
      <c r="V192" s="21">
        <f t="shared" si="4"/>
        <v>12100</v>
      </c>
    </row>
    <row r="193" ht="14.25" customHeight="1">
      <c r="A193" s="38">
        <v>0.4708333333333333</v>
      </c>
      <c r="B193" s="36">
        <v>274.0</v>
      </c>
      <c r="C193" s="36">
        <v>33.6</v>
      </c>
      <c r="D193" s="36">
        <v>3005.0</v>
      </c>
      <c r="E193" s="36">
        <v>3376.0</v>
      </c>
      <c r="F193" s="36">
        <v>1.12</v>
      </c>
      <c r="G193" s="36">
        <v>24.0</v>
      </c>
      <c r="H193" s="36">
        <v>2.68</v>
      </c>
      <c r="I193" s="36">
        <v>63.6</v>
      </c>
      <c r="J193" s="36">
        <v>64.4</v>
      </c>
      <c r="K193" s="36">
        <v>173.0</v>
      </c>
      <c r="L193" s="36">
        <v>12.9</v>
      </c>
      <c r="M193" s="36">
        <v>92.0</v>
      </c>
      <c r="N193" s="36">
        <v>64.0</v>
      </c>
      <c r="O193" s="36">
        <v>24.0</v>
      </c>
      <c r="P193" s="36">
        <v>89.0</v>
      </c>
      <c r="Q193" s="36">
        <v>0.37</v>
      </c>
      <c r="R193" s="36">
        <v>0.93</v>
      </c>
      <c r="S193" s="36">
        <v>1.6</v>
      </c>
      <c r="T193" s="36">
        <v>2.53</v>
      </c>
      <c r="U193" s="21">
        <f t="shared" si="3"/>
        <v>2530</v>
      </c>
      <c r="V193" s="21">
        <f t="shared" si="4"/>
        <v>6400</v>
      </c>
    </row>
    <row r="194" ht="14.25" customHeight="1">
      <c r="A194" s="38">
        <v>0.47291666666666665</v>
      </c>
      <c r="B194" s="36">
        <v>275.0</v>
      </c>
      <c r="C194" s="36">
        <v>34.1</v>
      </c>
      <c r="D194" s="36">
        <v>3052.0</v>
      </c>
      <c r="E194" s="36">
        <v>3437.0</v>
      </c>
      <c r="F194" s="36">
        <v>1.13</v>
      </c>
      <c r="G194" s="36">
        <v>23.0</v>
      </c>
      <c r="H194" s="36">
        <v>2.81</v>
      </c>
      <c r="I194" s="36">
        <v>64.7</v>
      </c>
      <c r="J194" s="36">
        <v>63.8</v>
      </c>
      <c r="K194" s="36">
        <v>174.0</v>
      </c>
      <c r="L194" s="36">
        <v>12.4</v>
      </c>
      <c r="M194" s="36">
        <v>93.0</v>
      </c>
      <c r="N194" s="36">
        <v>64.0</v>
      </c>
      <c r="O194" s="36">
        <v>23.0</v>
      </c>
      <c r="P194" s="36">
        <v>91.0</v>
      </c>
      <c r="Q194" s="36">
        <v>0.38</v>
      </c>
      <c r="R194" s="36">
        <v>0.98</v>
      </c>
      <c r="S194" s="36">
        <v>1.63</v>
      </c>
      <c r="T194" s="36">
        <v>2.61</v>
      </c>
      <c r="U194" s="21">
        <f t="shared" si="3"/>
        <v>2610</v>
      </c>
      <c r="V194" s="21">
        <f t="shared" si="4"/>
        <v>400</v>
      </c>
    </row>
    <row r="195" ht="14.25" customHeight="1">
      <c r="A195" s="38">
        <v>0.47430555555555554</v>
      </c>
      <c r="B195" s="36">
        <v>276.0</v>
      </c>
      <c r="C195" s="36">
        <v>34.3</v>
      </c>
      <c r="D195" s="36">
        <v>3072.0</v>
      </c>
      <c r="E195" s="36">
        <v>3440.0</v>
      </c>
      <c r="F195" s="36">
        <v>1.12</v>
      </c>
      <c r="G195" s="36">
        <v>23.0</v>
      </c>
      <c r="H195" s="36">
        <v>2.78</v>
      </c>
      <c r="I195" s="36">
        <v>64.4</v>
      </c>
      <c r="J195" s="36">
        <v>63.9</v>
      </c>
      <c r="K195" s="36">
        <v>175.0</v>
      </c>
      <c r="L195" s="36">
        <v>11.9</v>
      </c>
      <c r="M195" s="36">
        <v>92.0</v>
      </c>
      <c r="N195" s="36">
        <v>65.0</v>
      </c>
      <c r="O195" s="36">
        <v>23.0</v>
      </c>
      <c r="P195" s="36">
        <v>91.0</v>
      </c>
      <c r="Q195" s="36">
        <v>0.37</v>
      </c>
      <c r="R195" s="36">
        <v>0.96</v>
      </c>
      <c r="S195" s="36">
        <v>1.64</v>
      </c>
      <c r="T195" s="36">
        <v>2.59</v>
      </c>
      <c r="U195" s="21">
        <f t="shared" si="3"/>
        <v>2590</v>
      </c>
      <c r="V195" s="21">
        <f t="shared" si="4"/>
        <v>2500</v>
      </c>
    </row>
    <row r="196" ht="14.25" customHeight="1">
      <c r="A196" s="38">
        <v>0.47638888888888886</v>
      </c>
      <c r="B196" s="36">
        <v>278.0</v>
      </c>
      <c r="C196" s="36">
        <v>34.3</v>
      </c>
      <c r="D196" s="36">
        <v>3070.0</v>
      </c>
      <c r="E196" s="36">
        <v>3412.0</v>
      </c>
      <c r="F196" s="36">
        <v>1.11</v>
      </c>
      <c r="G196" s="36">
        <v>24.0</v>
      </c>
      <c r="H196" s="36">
        <v>2.67</v>
      </c>
      <c r="I196" s="36">
        <v>63.1</v>
      </c>
      <c r="J196" s="36">
        <v>64.6</v>
      </c>
      <c r="K196" s="36">
        <v>176.0</v>
      </c>
      <c r="L196" s="36">
        <v>11.3</v>
      </c>
      <c r="M196" s="36">
        <v>91.0</v>
      </c>
      <c r="N196" s="36">
        <v>65.0</v>
      </c>
      <c r="O196" s="36">
        <v>24.0</v>
      </c>
      <c r="P196" s="36">
        <v>91.0</v>
      </c>
      <c r="Q196" s="36">
        <v>0.37</v>
      </c>
      <c r="R196" s="36">
        <v>0.95</v>
      </c>
      <c r="S196" s="36">
        <v>1.59</v>
      </c>
      <c r="T196" s="36">
        <v>2.54</v>
      </c>
      <c r="U196" s="21">
        <f t="shared" si="3"/>
        <v>2540</v>
      </c>
      <c r="V196" s="21">
        <f t="shared" si="4"/>
        <v>400</v>
      </c>
    </row>
    <row r="197" ht="14.25" customHeight="1">
      <c r="A197" s="38">
        <v>0.4777777777777778</v>
      </c>
      <c r="B197" s="36">
        <v>278.0</v>
      </c>
      <c r="C197" s="36">
        <v>34.7</v>
      </c>
      <c r="D197" s="36">
        <v>3108.0</v>
      </c>
      <c r="E197" s="36">
        <v>3468.0</v>
      </c>
      <c r="F197" s="36">
        <v>1.12</v>
      </c>
      <c r="G197" s="36">
        <v>24.0</v>
      </c>
      <c r="H197" s="36">
        <v>2.7</v>
      </c>
      <c r="I197" s="36">
        <v>64.2</v>
      </c>
      <c r="J197" s="36">
        <v>64.0</v>
      </c>
      <c r="K197" s="36">
        <v>178.0</v>
      </c>
      <c r="L197" s="36">
        <v>10.5</v>
      </c>
      <c r="M197" s="36">
        <v>91.0</v>
      </c>
      <c r="N197" s="36">
        <v>65.0</v>
      </c>
      <c r="O197" s="36">
        <v>24.0</v>
      </c>
      <c r="P197" s="36">
        <v>92.0</v>
      </c>
      <c r="Q197" s="36">
        <v>0.37</v>
      </c>
      <c r="R197" s="36">
        <v>0.93</v>
      </c>
      <c r="S197" s="36">
        <v>1.59</v>
      </c>
      <c r="T197" s="36">
        <v>2.52</v>
      </c>
      <c r="U197" s="21">
        <f t="shared" si="3"/>
        <v>2520</v>
      </c>
      <c r="V197" s="21">
        <f t="shared" si="4"/>
        <v>3600</v>
      </c>
    </row>
    <row r="198" ht="14.25" customHeight="1">
      <c r="A198" s="38">
        <v>0.4791666666666667</v>
      </c>
      <c r="B198" s="36">
        <v>280.0</v>
      </c>
      <c r="C198" s="36">
        <v>34.3</v>
      </c>
      <c r="D198" s="36">
        <v>3072.0</v>
      </c>
      <c r="E198" s="36">
        <v>3442.0</v>
      </c>
      <c r="F198" s="36">
        <v>1.12</v>
      </c>
      <c r="G198" s="36">
        <v>24.0</v>
      </c>
      <c r="H198" s="36">
        <v>2.64</v>
      </c>
      <c r="I198" s="36">
        <v>64.4</v>
      </c>
      <c r="J198" s="36">
        <v>63.9</v>
      </c>
      <c r="K198" s="36">
        <v>179.0</v>
      </c>
      <c r="L198" s="36">
        <v>10.0</v>
      </c>
      <c r="M198" s="36">
        <v>92.0</v>
      </c>
      <c r="N198" s="36">
        <v>65.0</v>
      </c>
      <c r="O198" s="36">
        <v>24.0</v>
      </c>
      <c r="P198" s="36">
        <v>91.0</v>
      </c>
      <c r="Q198" s="36">
        <v>0.38</v>
      </c>
      <c r="R198" s="36">
        <v>0.94</v>
      </c>
      <c r="S198" s="36">
        <v>1.52</v>
      </c>
      <c r="T198" s="36">
        <v>2.46</v>
      </c>
      <c r="U198" s="21">
        <f t="shared" si="3"/>
        <v>2460</v>
      </c>
    </row>
    <row r="199" ht="14.25" customHeight="1">
      <c r="A199" s="36" t="s">
        <v>81</v>
      </c>
    </row>
    <row r="200" ht="14.25" customHeight="1">
      <c r="A200" s="38">
        <v>0.48055555555555557</v>
      </c>
      <c r="B200" s="36">
        <v>280.0</v>
      </c>
      <c r="C200" s="36">
        <v>35.0</v>
      </c>
      <c r="D200" s="36">
        <v>3130.0</v>
      </c>
      <c r="E200" s="36">
        <v>3522.0</v>
      </c>
      <c r="F200" s="36">
        <v>1.13</v>
      </c>
      <c r="G200" s="36">
        <v>26.0</v>
      </c>
      <c r="H200" s="36">
        <v>2.59</v>
      </c>
      <c r="I200" s="36">
        <v>66.5</v>
      </c>
      <c r="J200" s="36">
        <v>62.7</v>
      </c>
      <c r="K200" s="36">
        <v>180.0</v>
      </c>
      <c r="L200" s="36">
        <v>9.5</v>
      </c>
      <c r="M200" s="36">
        <v>93.0</v>
      </c>
      <c r="N200" s="36">
        <v>64.0</v>
      </c>
      <c r="O200" s="36">
        <v>26.0</v>
      </c>
      <c r="P200" s="36">
        <v>93.0</v>
      </c>
      <c r="Q200" s="36">
        <v>0.37</v>
      </c>
      <c r="R200" s="36">
        <v>0.86</v>
      </c>
      <c r="S200" s="36">
        <v>1.47</v>
      </c>
      <c r="T200" s="36">
        <v>2.34</v>
      </c>
      <c r="U200" s="21">
        <f>T200*1000</f>
        <v>2340</v>
      </c>
      <c r="V200" s="8">
        <v>100.0</v>
      </c>
      <c r="W200" s="21">
        <f>SQRT(AVERAGE(V200:V204))</f>
        <v>48.47679857</v>
      </c>
      <c r="X200" s="21">
        <f>STDEV(U200:U204)/AVERAGE(U200:U204)</f>
        <v>0.02784713563</v>
      </c>
    </row>
    <row r="201" ht="14.25" customHeight="1">
      <c r="A201" s="36" t="s">
        <v>82</v>
      </c>
    </row>
    <row r="202" ht="14.25" customHeight="1">
      <c r="A202" s="38">
        <v>0.4826388888888889</v>
      </c>
      <c r="B202" s="36">
        <v>282.0</v>
      </c>
      <c r="C202" s="36">
        <v>36.0</v>
      </c>
      <c r="D202" s="36">
        <v>3219.0</v>
      </c>
      <c r="E202" s="36">
        <v>3621.0</v>
      </c>
      <c r="F202" s="36">
        <v>1.12</v>
      </c>
      <c r="G202" s="36">
        <v>25.0</v>
      </c>
      <c r="H202" s="36">
        <v>2.7</v>
      </c>
      <c r="I202" s="36">
        <v>68.5</v>
      </c>
      <c r="J202" s="36">
        <v>61.6</v>
      </c>
      <c r="K202" s="36">
        <v>181.0</v>
      </c>
      <c r="L202" s="36">
        <v>8.9</v>
      </c>
      <c r="M202" s="36">
        <v>93.0</v>
      </c>
      <c r="N202" s="36">
        <v>64.0</v>
      </c>
      <c r="O202" s="36">
        <v>25.0</v>
      </c>
      <c r="P202" s="36">
        <v>96.0</v>
      </c>
      <c r="Q202" s="36">
        <v>0.37</v>
      </c>
      <c r="R202" s="36">
        <v>0.87</v>
      </c>
      <c r="S202" s="36">
        <v>1.49</v>
      </c>
      <c r="T202" s="36">
        <v>2.36</v>
      </c>
      <c r="U202" s="21">
        <f t="shared" ref="U202:U204" si="5">T202*1000</f>
        <v>2360</v>
      </c>
      <c r="V202" s="21">
        <f t="shared" ref="V202:V203" si="6">(U202-U203)^2</f>
        <v>2500</v>
      </c>
    </row>
    <row r="203" ht="14.25" customHeight="1">
      <c r="A203" s="38">
        <v>0.4847222222222222</v>
      </c>
      <c r="B203" s="36">
        <v>283.0</v>
      </c>
      <c r="C203" s="36">
        <v>35.7</v>
      </c>
      <c r="D203" s="36">
        <v>3194.0</v>
      </c>
      <c r="E203" s="36">
        <v>3613.0</v>
      </c>
      <c r="F203" s="36">
        <v>1.13</v>
      </c>
      <c r="G203" s="36">
        <v>25.0</v>
      </c>
      <c r="H203" s="36">
        <v>2.73</v>
      </c>
      <c r="I203" s="36">
        <v>67.9</v>
      </c>
      <c r="J203" s="36">
        <v>61.9</v>
      </c>
      <c r="K203" s="36">
        <v>181.0</v>
      </c>
      <c r="L203" s="36">
        <v>8.9</v>
      </c>
      <c r="M203" s="36">
        <v>93.0</v>
      </c>
      <c r="N203" s="36">
        <v>64.0</v>
      </c>
      <c r="O203" s="36">
        <v>25.0</v>
      </c>
      <c r="P203" s="36">
        <v>95.0</v>
      </c>
      <c r="Q203" s="36">
        <v>0.36</v>
      </c>
      <c r="R203" s="36">
        <v>0.88</v>
      </c>
      <c r="S203" s="36">
        <v>1.53</v>
      </c>
      <c r="T203" s="36">
        <v>2.41</v>
      </c>
      <c r="U203" s="21">
        <f t="shared" si="5"/>
        <v>2410</v>
      </c>
      <c r="V203" s="21">
        <f t="shared" si="6"/>
        <v>6400</v>
      </c>
    </row>
    <row r="204" ht="14.25" customHeight="1">
      <c r="A204" s="38">
        <v>0.4861111111111111</v>
      </c>
      <c r="B204" s="36">
        <v>25.0</v>
      </c>
      <c r="C204" s="36">
        <v>35.1</v>
      </c>
      <c r="D204" s="36">
        <v>3142.0</v>
      </c>
      <c r="E204" s="36">
        <v>3567.0</v>
      </c>
      <c r="F204" s="36">
        <v>1.14</v>
      </c>
      <c r="G204" s="36">
        <v>24.0</v>
      </c>
      <c r="H204" s="36">
        <v>2.71</v>
      </c>
      <c r="I204" s="36">
        <v>65.4</v>
      </c>
      <c r="J204" s="36">
        <v>63.3</v>
      </c>
      <c r="K204" s="36">
        <v>181.0</v>
      </c>
      <c r="L204" s="36">
        <v>8.9</v>
      </c>
      <c r="M204" s="36">
        <v>93.0</v>
      </c>
      <c r="N204" s="36">
        <v>65.0</v>
      </c>
      <c r="O204" s="36">
        <v>24.0</v>
      </c>
      <c r="P204" s="36">
        <v>93.0</v>
      </c>
      <c r="Q204" s="36">
        <v>0.38</v>
      </c>
      <c r="R204" s="36">
        <v>0.95</v>
      </c>
      <c r="S204" s="36">
        <v>1.54</v>
      </c>
      <c r="T204" s="36">
        <v>2.49</v>
      </c>
      <c r="U204" s="21">
        <f t="shared" si="5"/>
        <v>2490</v>
      </c>
      <c r="V204" s="21">
        <f>(U200-U202)^2</f>
        <v>400</v>
      </c>
    </row>
    <row r="205" ht="14.25" customHeight="1"/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>
      <c r="A333" s="38"/>
    </row>
    <row r="334" ht="14.25" customHeight="1">
      <c r="A334" s="38"/>
    </row>
    <row r="335" ht="14.25" customHeight="1">
      <c r="A335" s="38"/>
    </row>
    <row r="336" ht="14.25" customHeight="1">
      <c r="A336" s="38"/>
    </row>
    <row r="337" ht="14.25" customHeight="1">
      <c r="A337" s="38"/>
    </row>
    <row r="338" ht="14.25" customHeight="1">
      <c r="A338" s="38"/>
    </row>
    <row r="339" ht="14.25" customHeight="1">
      <c r="A339" s="38"/>
    </row>
    <row r="340" ht="14.25" customHeight="1">
      <c r="A340" s="38"/>
    </row>
    <row r="341" ht="14.25" customHeight="1">
      <c r="A341" s="38"/>
    </row>
    <row r="342" ht="14.25" customHeight="1">
      <c r="A342" s="38"/>
    </row>
    <row r="343" ht="14.25" customHeight="1">
      <c r="A343" s="38"/>
    </row>
    <row r="344" ht="14.25" customHeight="1">
      <c r="A344" s="38"/>
    </row>
    <row r="345" ht="14.25" customHeight="1">
      <c r="A345" s="38"/>
    </row>
    <row r="346" ht="14.25" customHeight="1">
      <c r="A346" s="38"/>
    </row>
    <row r="347" ht="14.25" customHeight="1">
      <c r="A347" s="38"/>
    </row>
    <row r="348" ht="14.25" customHeight="1">
      <c r="A348" s="38"/>
    </row>
    <row r="349" ht="14.25" customHeight="1">
      <c r="A349" s="38"/>
    </row>
    <row r="350" ht="14.25" customHeight="1">
      <c r="A350" s="38"/>
    </row>
    <row r="351" ht="14.25" customHeight="1">
      <c r="A351" s="38"/>
    </row>
    <row r="352" ht="14.25" customHeight="1">
      <c r="A352" s="38"/>
    </row>
    <row r="353" ht="14.25" customHeight="1">
      <c r="A353" s="38"/>
    </row>
    <row r="354" ht="14.25" customHeight="1">
      <c r="A354" s="38"/>
    </row>
    <row r="355" ht="14.25" customHeight="1">
      <c r="A355" s="38"/>
    </row>
    <row r="356" ht="14.25" customHeight="1">
      <c r="A356" s="38"/>
    </row>
    <row r="357" ht="14.25" customHeight="1">
      <c r="A357" s="38"/>
    </row>
    <row r="358" ht="14.25" customHeight="1">
      <c r="A358" s="38"/>
    </row>
    <row r="359" ht="14.25" customHeight="1">
      <c r="A359" s="38"/>
    </row>
    <row r="360" ht="14.25" customHeight="1">
      <c r="A360" s="38"/>
    </row>
    <row r="361" ht="14.25" customHeight="1">
      <c r="A361" s="38"/>
    </row>
    <row r="362" ht="14.25" customHeight="1">
      <c r="A362" s="38"/>
    </row>
    <row r="363" ht="14.25" customHeight="1">
      <c r="A363" s="38"/>
    </row>
    <row r="364" ht="14.25" customHeight="1">
      <c r="A364" s="38"/>
    </row>
    <row r="365" ht="14.25" customHeight="1">
      <c r="A365" s="38"/>
    </row>
    <row r="366" ht="14.25" customHeight="1">
      <c r="A366" s="38"/>
    </row>
    <row r="367" ht="14.25" customHeight="1">
      <c r="A367" s="38"/>
    </row>
    <row r="368" ht="14.25" customHeight="1">
      <c r="A368" s="38"/>
    </row>
    <row r="369" ht="14.25" customHeight="1">
      <c r="A369" s="38"/>
    </row>
    <row r="370" ht="14.25" customHeight="1">
      <c r="A370" s="38"/>
    </row>
    <row r="371" ht="14.25" customHeight="1">
      <c r="A371" s="38"/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39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92</v>
      </c>
      <c r="V2" s="8" t="s">
        <v>85</v>
      </c>
      <c r="W2" s="8" t="s">
        <v>93</v>
      </c>
      <c r="X2" s="8" t="s">
        <v>86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0.0875</v>
      </c>
      <c r="B6" s="36">
        <v>0.0</v>
      </c>
      <c r="C6" s="36">
        <v>5.8</v>
      </c>
      <c r="D6" s="36">
        <v>492.0</v>
      </c>
      <c r="E6" s="36">
        <v>490.0</v>
      </c>
      <c r="F6" s="36">
        <v>1.0</v>
      </c>
      <c r="G6" s="36">
        <v>15.0</v>
      </c>
      <c r="H6" s="36">
        <v>0.97</v>
      </c>
      <c r="I6" s="36">
        <v>14.6</v>
      </c>
      <c r="J6" s="36">
        <v>91.4</v>
      </c>
      <c r="K6" s="36">
        <v>71.0</v>
      </c>
      <c r="L6" s="36">
        <v>60.0</v>
      </c>
      <c r="M6" s="36">
        <v>107.0</v>
      </c>
      <c r="N6" s="36">
        <v>42.0</v>
      </c>
      <c r="O6" s="36">
        <v>15.0</v>
      </c>
      <c r="P6" s="36">
        <v>17.0</v>
      </c>
      <c r="Q6" s="36">
        <v>0.3</v>
      </c>
      <c r="R6" s="36">
        <v>1.2</v>
      </c>
      <c r="S6" s="36">
        <v>2.79</v>
      </c>
      <c r="T6" s="36">
        <v>3.99</v>
      </c>
      <c r="U6" s="21">
        <f t="shared" ref="U6:U159" si="1">T6*1000</f>
        <v>3990</v>
      </c>
      <c r="V6" s="21">
        <f t="shared" ref="V6:V112" si="2">(U6-U7)^2</f>
        <v>12100</v>
      </c>
      <c r="W6" s="21">
        <f>SQRT(AVERAGE(V6:V112))</f>
        <v>101.7739845</v>
      </c>
      <c r="X6" s="21">
        <f>STDEV(U6:U113)/AVERAGE(U6:U113)</f>
        <v>0.08162543201</v>
      </c>
    </row>
    <row r="7" ht="14.25" customHeight="1">
      <c r="A7" s="38">
        <v>0.09027777777777778</v>
      </c>
      <c r="B7" s="36">
        <v>0.0</v>
      </c>
      <c r="C7" s="36">
        <v>5.9</v>
      </c>
      <c r="D7" s="36">
        <v>498.0</v>
      </c>
      <c r="E7" s="36">
        <v>503.0</v>
      </c>
      <c r="F7" s="36">
        <v>1.01</v>
      </c>
      <c r="G7" s="36">
        <v>15.0</v>
      </c>
      <c r="H7" s="36">
        <v>0.97</v>
      </c>
      <c r="I7" s="36">
        <v>15.1</v>
      </c>
      <c r="J7" s="36">
        <v>91.1</v>
      </c>
      <c r="K7" s="36">
        <v>71.0</v>
      </c>
      <c r="L7" s="36">
        <v>59.7</v>
      </c>
      <c r="M7" s="36">
        <v>107.0</v>
      </c>
      <c r="N7" s="36">
        <v>41.0</v>
      </c>
      <c r="O7" s="36">
        <v>15.0</v>
      </c>
      <c r="P7" s="36">
        <v>17.0</v>
      </c>
      <c r="Q7" s="36">
        <v>0.31</v>
      </c>
      <c r="R7" s="36">
        <v>1.2</v>
      </c>
      <c r="S7" s="36">
        <v>2.68</v>
      </c>
      <c r="T7" s="36">
        <v>3.88</v>
      </c>
      <c r="U7" s="21">
        <f t="shared" si="1"/>
        <v>3880</v>
      </c>
      <c r="V7" s="21">
        <f t="shared" si="2"/>
        <v>19600</v>
      </c>
    </row>
    <row r="8" ht="14.25" customHeight="1">
      <c r="A8" s="38">
        <v>0.09791666666666667</v>
      </c>
      <c r="B8" s="36">
        <v>6.0</v>
      </c>
      <c r="C8" s="36">
        <v>5.9</v>
      </c>
      <c r="D8" s="36">
        <v>501.0</v>
      </c>
      <c r="E8" s="36">
        <v>505.0</v>
      </c>
      <c r="F8" s="36">
        <v>1.01</v>
      </c>
      <c r="G8" s="36">
        <v>16.0</v>
      </c>
      <c r="H8" s="36">
        <v>0.94</v>
      </c>
      <c r="I8" s="36">
        <v>15.1</v>
      </c>
      <c r="J8" s="36">
        <v>91.1</v>
      </c>
      <c r="K8" s="36">
        <v>71.0</v>
      </c>
      <c r="L8" s="36">
        <v>59.7</v>
      </c>
      <c r="M8" s="36">
        <v>107.0</v>
      </c>
      <c r="N8" s="36">
        <v>42.0</v>
      </c>
      <c r="O8" s="36">
        <v>16.0</v>
      </c>
      <c r="P8" s="36">
        <v>17.0</v>
      </c>
      <c r="Q8" s="36">
        <v>0.31</v>
      </c>
      <c r="R8" s="36">
        <v>1.15</v>
      </c>
      <c r="S8" s="36">
        <v>2.58</v>
      </c>
      <c r="T8" s="36">
        <v>3.74</v>
      </c>
      <c r="U8" s="21">
        <f t="shared" si="1"/>
        <v>3740</v>
      </c>
      <c r="V8" s="21">
        <f t="shared" si="2"/>
        <v>8100</v>
      </c>
    </row>
    <row r="9" ht="14.25" customHeight="1">
      <c r="A9" s="38">
        <v>0.1</v>
      </c>
      <c r="B9" s="36">
        <v>8.0</v>
      </c>
      <c r="C9" s="36">
        <v>5.9</v>
      </c>
      <c r="D9" s="36">
        <v>500.0</v>
      </c>
      <c r="E9" s="36">
        <v>515.0</v>
      </c>
      <c r="F9" s="36">
        <v>1.03</v>
      </c>
      <c r="G9" s="36">
        <v>16.0</v>
      </c>
      <c r="H9" s="36">
        <v>0.94</v>
      </c>
      <c r="I9" s="36">
        <v>15.5</v>
      </c>
      <c r="J9" s="36">
        <v>90.9</v>
      </c>
      <c r="K9" s="36">
        <v>73.0</v>
      </c>
      <c r="L9" s="36">
        <v>59.0</v>
      </c>
      <c r="M9" s="36">
        <v>107.0</v>
      </c>
      <c r="N9" s="36">
        <v>42.0</v>
      </c>
      <c r="O9" s="36">
        <v>16.0</v>
      </c>
      <c r="P9" s="36">
        <v>17.0</v>
      </c>
      <c r="Q9" s="36">
        <v>0.31</v>
      </c>
      <c r="R9" s="36">
        <v>1.13</v>
      </c>
      <c r="S9" s="36">
        <v>2.52</v>
      </c>
      <c r="T9" s="36">
        <v>3.65</v>
      </c>
      <c r="U9" s="21">
        <f t="shared" si="1"/>
        <v>3650</v>
      </c>
      <c r="V9" s="21">
        <f t="shared" si="2"/>
        <v>12100</v>
      </c>
    </row>
    <row r="10" ht="14.25" customHeight="1">
      <c r="A10" s="38">
        <v>0.10277777777777777</v>
      </c>
      <c r="B10" s="36">
        <v>10.0</v>
      </c>
      <c r="C10" s="36">
        <v>6.1</v>
      </c>
      <c r="D10" s="36">
        <v>517.0</v>
      </c>
      <c r="E10" s="36">
        <v>532.0</v>
      </c>
      <c r="F10" s="36">
        <v>1.03</v>
      </c>
      <c r="G10" s="36">
        <v>17.0</v>
      </c>
      <c r="H10" s="36">
        <v>0.93</v>
      </c>
      <c r="I10" s="36">
        <v>15.8</v>
      </c>
      <c r="J10" s="36">
        <v>90.7</v>
      </c>
      <c r="K10" s="36">
        <v>74.0</v>
      </c>
      <c r="L10" s="36">
        <v>58.4</v>
      </c>
      <c r="M10" s="36">
        <v>107.0</v>
      </c>
      <c r="N10" s="36">
        <v>42.0</v>
      </c>
      <c r="O10" s="36">
        <v>17.0</v>
      </c>
      <c r="P10" s="36">
        <v>18.0</v>
      </c>
      <c r="Q10" s="36">
        <v>0.31</v>
      </c>
      <c r="R10" s="36">
        <v>1.1</v>
      </c>
      <c r="S10" s="36">
        <v>2.44</v>
      </c>
      <c r="T10" s="36">
        <v>3.54</v>
      </c>
      <c r="U10" s="21">
        <f t="shared" si="1"/>
        <v>3540</v>
      </c>
      <c r="V10" s="21">
        <f t="shared" si="2"/>
        <v>0</v>
      </c>
    </row>
    <row r="11" ht="14.25" customHeight="1">
      <c r="A11" s="38">
        <v>0.10555555555555556</v>
      </c>
      <c r="B11" s="36">
        <v>11.0</v>
      </c>
      <c r="C11" s="36">
        <v>6.3</v>
      </c>
      <c r="D11" s="36">
        <v>534.0</v>
      </c>
      <c r="E11" s="36">
        <v>549.0</v>
      </c>
      <c r="F11" s="36">
        <v>1.03</v>
      </c>
      <c r="G11" s="36">
        <v>17.0</v>
      </c>
      <c r="H11" s="36">
        <v>0.96</v>
      </c>
      <c r="I11" s="36">
        <v>16.2</v>
      </c>
      <c r="J11" s="36">
        <v>90.5</v>
      </c>
      <c r="K11" s="36">
        <v>74.0</v>
      </c>
      <c r="L11" s="36">
        <v>58.1</v>
      </c>
      <c r="M11" s="36">
        <v>107.0</v>
      </c>
      <c r="N11" s="36">
        <v>42.0</v>
      </c>
      <c r="O11" s="36">
        <v>17.0</v>
      </c>
      <c r="P11" s="36">
        <v>18.0</v>
      </c>
      <c r="Q11" s="36">
        <v>0.32</v>
      </c>
      <c r="R11" s="36">
        <v>1.13</v>
      </c>
      <c r="S11" s="36">
        <v>2.41</v>
      </c>
      <c r="T11" s="36">
        <v>3.54</v>
      </c>
      <c r="U11" s="21">
        <f t="shared" si="1"/>
        <v>3540</v>
      </c>
      <c r="V11" s="21">
        <f t="shared" si="2"/>
        <v>900</v>
      </c>
    </row>
    <row r="12" ht="14.25" customHeight="1">
      <c r="A12" s="38">
        <v>0.1076388888888889</v>
      </c>
      <c r="B12" s="36">
        <v>13.0</v>
      </c>
      <c r="C12" s="36">
        <v>6.4</v>
      </c>
      <c r="D12" s="36">
        <v>540.0</v>
      </c>
      <c r="E12" s="36">
        <v>555.0</v>
      </c>
      <c r="F12" s="36">
        <v>1.03</v>
      </c>
      <c r="G12" s="36">
        <v>17.0</v>
      </c>
      <c r="H12" s="36">
        <v>0.95</v>
      </c>
      <c r="I12" s="36">
        <v>16.2</v>
      </c>
      <c r="J12" s="36">
        <v>90.4</v>
      </c>
      <c r="K12" s="36">
        <v>74.0</v>
      </c>
      <c r="L12" s="36">
        <v>58.1</v>
      </c>
      <c r="M12" s="36">
        <v>107.0</v>
      </c>
      <c r="N12" s="36">
        <v>42.0</v>
      </c>
      <c r="O12" s="36">
        <v>17.0</v>
      </c>
      <c r="P12" s="36">
        <v>18.0</v>
      </c>
      <c r="Q12" s="36">
        <v>0.32</v>
      </c>
      <c r="R12" s="36">
        <v>1.12</v>
      </c>
      <c r="S12" s="36">
        <v>2.39</v>
      </c>
      <c r="T12" s="36">
        <v>3.51</v>
      </c>
      <c r="U12" s="21">
        <f t="shared" si="1"/>
        <v>3510</v>
      </c>
      <c r="V12" s="21">
        <f t="shared" si="2"/>
        <v>12100</v>
      </c>
    </row>
    <row r="13" ht="14.25" customHeight="1">
      <c r="A13" s="38">
        <v>0.11041666666666666</v>
      </c>
      <c r="B13" s="36">
        <v>15.0</v>
      </c>
      <c r="C13" s="36">
        <v>6.6</v>
      </c>
      <c r="D13" s="36">
        <v>563.0</v>
      </c>
      <c r="E13" s="36">
        <v>582.0</v>
      </c>
      <c r="F13" s="36">
        <v>1.03</v>
      </c>
      <c r="G13" s="36">
        <v>17.0</v>
      </c>
      <c r="H13" s="36">
        <v>1.03</v>
      </c>
      <c r="I13" s="36">
        <v>17.0</v>
      </c>
      <c r="J13" s="36">
        <v>90.0</v>
      </c>
      <c r="K13" s="36">
        <v>74.0</v>
      </c>
      <c r="L13" s="36">
        <v>58.0</v>
      </c>
      <c r="M13" s="36">
        <v>107.0</v>
      </c>
      <c r="N13" s="36">
        <v>42.0</v>
      </c>
      <c r="O13" s="36">
        <v>17.0</v>
      </c>
      <c r="P13" s="36">
        <v>19.0</v>
      </c>
      <c r="Q13" s="36">
        <v>0.32</v>
      </c>
      <c r="R13" s="36">
        <v>1.17</v>
      </c>
      <c r="S13" s="36">
        <v>2.45</v>
      </c>
      <c r="T13" s="36">
        <v>3.62</v>
      </c>
      <c r="U13" s="21">
        <f t="shared" si="1"/>
        <v>3620</v>
      </c>
      <c r="V13" s="21">
        <f t="shared" si="2"/>
        <v>400</v>
      </c>
    </row>
    <row r="14" ht="14.25" customHeight="1">
      <c r="A14" s="38">
        <v>0.11319444444444444</v>
      </c>
      <c r="B14" s="36">
        <v>17.0</v>
      </c>
      <c r="C14" s="36">
        <v>6.5</v>
      </c>
      <c r="D14" s="36">
        <v>551.0</v>
      </c>
      <c r="E14" s="36">
        <v>574.0</v>
      </c>
      <c r="F14" s="36">
        <v>1.04</v>
      </c>
      <c r="G14" s="36">
        <v>17.0</v>
      </c>
      <c r="H14" s="36">
        <v>1.01</v>
      </c>
      <c r="I14" s="36">
        <v>16.8</v>
      </c>
      <c r="J14" s="36">
        <v>90.1</v>
      </c>
      <c r="K14" s="36">
        <v>74.0</v>
      </c>
      <c r="L14" s="36">
        <v>58.1</v>
      </c>
      <c r="M14" s="36">
        <v>108.0</v>
      </c>
      <c r="N14" s="36">
        <v>42.0</v>
      </c>
      <c r="O14" s="36">
        <v>17.0</v>
      </c>
      <c r="P14" s="36">
        <v>19.0</v>
      </c>
      <c r="Q14" s="36">
        <v>0.32</v>
      </c>
      <c r="R14" s="36">
        <v>1.15</v>
      </c>
      <c r="S14" s="36">
        <v>2.44</v>
      </c>
      <c r="T14" s="36">
        <v>3.6</v>
      </c>
      <c r="U14" s="21">
        <f t="shared" si="1"/>
        <v>3600</v>
      </c>
      <c r="V14" s="21">
        <f t="shared" si="2"/>
        <v>900</v>
      </c>
    </row>
    <row r="15" ht="14.25" customHeight="1">
      <c r="A15" s="38">
        <v>0.11597222222222223</v>
      </c>
      <c r="B15" s="36">
        <v>19.0</v>
      </c>
      <c r="C15" s="36">
        <v>6.6</v>
      </c>
      <c r="D15" s="36">
        <v>561.0</v>
      </c>
      <c r="E15" s="36">
        <v>582.0</v>
      </c>
      <c r="F15" s="36">
        <v>1.04</v>
      </c>
      <c r="G15" s="36">
        <v>17.0</v>
      </c>
      <c r="H15" s="36">
        <v>1.03</v>
      </c>
      <c r="I15" s="36">
        <v>17.1</v>
      </c>
      <c r="J15" s="36">
        <v>89.9</v>
      </c>
      <c r="K15" s="36">
        <v>74.0</v>
      </c>
      <c r="L15" s="36">
        <v>58.1</v>
      </c>
      <c r="M15" s="36">
        <v>108.0</v>
      </c>
      <c r="N15" s="36">
        <v>42.0</v>
      </c>
      <c r="O15" s="36">
        <v>17.0</v>
      </c>
      <c r="P15" s="36">
        <v>19.0</v>
      </c>
      <c r="Q15" s="36">
        <v>0.32</v>
      </c>
      <c r="R15" s="36">
        <v>1.14</v>
      </c>
      <c r="S15" s="36">
        <v>2.48</v>
      </c>
      <c r="T15" s="36">
        <v>3.63</v>
      </c>
      <c r="U15" s="21">
        <f t="shared" si="1"/>
        <v>3630</v>
      </c>
      <c r="V15" s="21">
        <f t="shared" si="2"/>
        <v>400</v>
      </c>
    </row>
    <row r="16" ht="14.25" customHeight="1">
      <c r="A16" s="38">
        <v>0.11805555555555555</v>
      </c>
      <c r="B16" s="36">
        <v>21.0</v>
      </c>
      <c r="C16" s="36">
        <v>6.7</v>
      </c>
      <c r="D16" s="36">
        <v>572.0</v>
      </c>
      <c r="E16" s="36">
        <v>586.0</v>
      </c>
      <c r="F16" s="36">
        <v>1.03</v>
      </c>
      <c r="G16" s="36">
        <v>16.0</v>
      </c>
      <c r="H16" s="36">
        <v>1.05</v>
      </c>
      <c r="I16" s="36">
        <v>17.2</v>
      </c>
      <c r="J16" s="36">
        <v>89.9</v>
      </c>
      <c r="K16" s="36">
        <v>74.0</v>
      </c>
      <c r="L16" s="36">
        <v>58.3</v>
      </c>
      <c r="M16" s="36">
        <v>108.0</v>
      </c>
      <c r="N16" s="36">
        <v>42.0</v>
      </c>
      <c r="O16" s="36">
        <v>16.0</v>
      </c>
      <c r="P16" s="36">
        <v>19.0</v>
      </c>
      <c r="Q16" s="36">
        <v>0.31</v>
      </c>
      <c r="R16" s="36">
        <v>1.13</v>
      </c>
      <c r="S16" s="36">
        <v>2.51</v>
      </c>
      <c r="T16" s="36">
        <v>3.65</v>
      </c>
      <c r="U16" s="21">
        <f t="shared" si="1"/>
        <v>3650</v>
      </c>
      <c r="V16" s="21">
        <f t="shared" si="2"/>
        <v>400</v>
      </c>
    </row>
    <row r="17" ht="14.25" customHeight="1">
      <c r="A17" s="38">
        <v>0.12083333333333333</v>
      </c>
      <c r="B17" s="36">
        <v>22.0</v>
      </c>
      <c r="C17" s="36">
        <v>6.6</v>
      </c>
      <c r="D17" s="36">
        <v>564.0</v>
      </c>
      <c r="E17" s="36">
        <v>587.0</v>
      </c>
      <c r="F17" s="36">
        <v>1.04</v>
      </c>
      <c r="G17" s="36">
        <v>16.0</v>
      </c>
      <c r="H17" s="36">
        <v>1.06</v>
      </c>
      <c r="I17" s="36">
        <v>17.3</v>
      </c>
      <c r="J17" s="36">
        <v>89.8</v>
      </c>
      <c r="K17" s="36">
        <v>73.0</v>
      </c>
      <c r="L17" s="36">
        <v>58.5</v>
      </c>
      <c r="M17" s="36">
        <v>108.0</v>
      </c>
      <c r="N17" s="36">
        <v>42.0</v>
      </c>
      <c r="O17" s="36">
        <v>16.0</v>
      </c>
      <c r="P17" s="36">
        <v>19.0</v>
      </c>
      <c r="Q17" s="36">
        <v>0.32</v>
      </c>
      <c r="R17" s="36">
        <v>1.16</v>
      </c>
      <c r="S17" s="36">
        <v>2.52</v>
      </c>
      <c r="T17" s="36">
        <v>3.67</v>
      </c>
      <c r="U17" s="21">
        <f t="shared" si="1"/>
        <v>3670</v>
      </c>
      <c r="V17" s="21">
        <f t="shared" si="2"/>
        <v>0</v>
      </c>
    </row>
    <row r="18" ht="14.25" customHeight="1">
      <c r="A18" s="38">
        <v>0.12291666666666666</v>
      </c>
      <c r="B18" s="36">
        <v>24.0</v>
      </c>
      <c r="C18" s="36">
        <v>6.5</v>
      </c>
      <c r="D18" s="36">
        <v>552.0</v>
      </c>
      <c r="E18" s="36">
        <v>575.0</v>
      </c>
      <c r="F18" s="36">
        <v>1.04</v>
      </c>
      <c r="G18" s="36">
        <v>16.0</v>
      </c>
      <c r="H18" s="36">
        <v>1.04</v>
      </c>
      <c r="I18" s="36">
        <v>17.0</v>
      </c>
      <c r="J18" s="36">
        <v>90.0</v>
      </c>
      <c r="K18" s="36">
        <v>73.0</v>
      </c>
      <c r="L18" s="36">
        <v>58.8</v>
      </c>
      <c r="M18" s="36">
        <v>108.0</v>
      </c>
      <c r="N18" s="36">
        <v>42.0</v>
      </c>
      <c r="O18" s="36">
        <v>16.0</v>
      </c>
      <c r="P18" s="36">
        <v>19.0</v>
      </c>
      <c r="Q18" s="36">
        <v>0.31</v>
      </c>
      <c r="R18" s="36">
        <v>1.14</v>
      </c>
      <c r="S18" s="36">
        <v>2.53</v>
      </c>
      <c r="T18" s="36">
        <v>3.67</v>
      </c>
      <c r="U18" s="21">
        <f t="shared" si="1"/>
        <v>3670</v>
      </c>
      <c r="V18" s="21">
        <f t="shared" si="2"/>
        <v>4900</v>
      </c>
    </row>
    <row r="19" ht="14.25" customHeight="1">
      <c r="A19" s="38">
        <v>0.12569444444444444</v>
      </c>
      <c r="B19" s="36">
        <v>26.0</v>
      </c>
      <c r="C19" s="36">
        <v>6.6</v>
      </c>
      <c r="D19" s="36">
        <v>558.0</v>
      </c>
      <c r="E19" s="36">
        <v>576.0</v>
      </c>
      <c r="F19" s="36">
        <v>1.03</v>
      </c>
      <c r="G19" s="36">
        <v>16.0</v>
      </c>
      <c r="H19" s="36">
        <v>1.05</v>
      </c>
      <c r="I19" s="36">
        <v>16.9</v>
      </c>
      <c r="J19" s="36">
        <v>90.1</v>
      </c>
      <c r="K19" s="36">
        <v>73.0</v>
      </c>
      <c r="L19" s="36">
        <v>58.9</v>
      </c>
      <c r="M19" s="36">
        <v>108.0</v>
      </c>
      <c r="N19" s="36">
        <v>42.0</v>
      </c>
      <c r="O19" s="36">
        <v>16.0</v>
      </c>
      <c r="P19" s="36">
        <v>19.0</v>
      </c>
      <c r="Q19" s="36">
        <v>0.3</v>
      </c>
      <c r="R19" s="36">
        <v>1.12</v>
      </c>
      <c r="S19" s="36">
        <v>2.62</v>
      </c>
      <c r="T19" s="36">
        <v>3.74</v>
      </c>
      <c r="U19" s="21">
        <f t="shared" si="1"/>
        <v>3740</v>
      </c>
      <c r="V19" s="21">
        <f t="shared" si="2"/>
        <v>2500</v>
      </c>
    </row>
    <row r="20" ht="14.25" customHeight="1">
      <c r="A20" s="38">
        <v>0.1284722222222222</v>
      </c>
      <c r="B20" s="36">
        <v>28.0</v>
      </c>
      <c r="C20" s="36">
        <v>6.4</v>
      </c>
      <c r="D20" s="36">
        <v>547.0</v>
      </c>
      <c r="E20" s="36">
        <v>566.0</v>
      </c>
      <c r="F20" s="36">
        <v>1.04</v>
      </c>
      <c r="G20" s="36">
        <v>16.0</v>
      </c>
      <c r="H20" s="36">
        <v>1.03</v>
      </c>
      <c r="I20" s="36">
        <v>16.8</v>
      </c>
      <c r="J20" s="36">
        <v>90.1</v>
      </c>
      <c r="K20" s="36">
        <v>72.0</v>
      </c>
      <c r="L20" s="36">
        <v>59.1</v>
      </c>
      <c r="M20" s="36">
        <v>108.0</v>
      </c>
      <c r="N20" s="36">
        <v>42.0</v>
      </c>
      <c r="O20" s="36">
        <v>16.0</v>
      </c>
      <c r="P20" s="36">
        <v>19.0</v>
      </c>
      <c r="Q20" s="36">
        <v>0.3</v>
      </c>
      <c r="R20" s="36">
        <v>1.11</v>
      </c>
      <c r="S20" s="36">
        <v>2.58</v>
      </c>
      <c r="T20" s="36">
        <v>3.69</v>
      </c>
      <c r="U20" s="21">
        <f t="shared" si="1"/>
        <v>3690</v>
      </c>
      <c r="V20" s="21">
        <f t="shared" si="2"/>
        <v>2500</v>
      </c>
    </row>
    <row r="21" ht="14.25" customHeight="1">
      <c r="A21" s="38">
        <v>0.13194444444444445</v>
      </c>
      <c r="B21" s="36">
        <v>30.0</v>
      </c>
      <c r="C21" s="36">
        <v>6.4</v>
      </c>
      <c r="D21" s="36">
        <v>542.0</v>
      </c>
      <c r="E21" s="36">
        <v>562.0</v>
      </c>
      <c r="F21" s="36">
        <v>1.04</v>
      </c>
      <c r="G21" s="36">
        <v>16.0</v>
      </c>
      <c r="H21" s="36">
        <v>1.04</v>
      </c>
      <c r="I21" s="36">
        <v>16.6</v>
      </c>
      <c r="J21" s="36">
        <v>90.2</v>
      </c>
      <c r="K21" s="36">
        <v>72.0</v>
      </c>
      <c r="L21" s="36">
        <v>59.1</v>
      </c>
      <c r="M21" s="36">
        <v>108.0</v>
      </c>
      <c r="N21" s="36">
        <v>42.0</v>
      </c>
      <c r="O21" s="36">
        <v>16.0</v>
      </c>
      <c r="P21" s="36">
        <v>18.0</v>
      </c>
      <c r="Q21" s="36">
        <v>0.3</v>
      </c>
      <c r="R21" s="36">
        <v>1.12</v>
      </c>
      <c r="S21" s="36">
        <v>2.62</v>
      </c>
      <c r="T21" s="36">
        <v>3.74</v>
      </c>
      <c r="U21" s="21">
        <f t="shared" si="1"/>
        <v>3740</v>
      </c>
      <c r="V21" s="21">
        <f t="shared" si="2"/>
        <v>115600</v>
      </c>
    </row>
    <row r="22" ht="14.25" customHeight="1">
      <c r="A22" s="38">
        <v>0.13472222222222222</v>
      </c>
      <c r="B22" s="36">
        <v>33.0</v>
      </c>
      <c r="C22" s="36">
        <v>6.2</v>
      </c>
      <c r="D22" s="36">
        <v>529.0</v>
      </c>
      <c r="E22" s="36">
        <v>548.0</v>
      </c>
      <c r="F22" s="36">
        <v>1.03</v>
      </c>
      <c r="G22" s="36">
        <v>15.0</v>
      </c>
      <c r="H22" s="36">
        <v>1.07</v>
      </c>
      <c r="I22" s="36">
        <v>15.8</v>
      </c>
      <c r="J22" s="36">
        <v>90.7</v>
      </c>
      <c r="K22" s="36">
        <v>72.0</v>
      </c>
      <c r="L22" s="36">
        <v>59.3</v>
      </c>
      <c r="M22" s="36">
        <v>108.0</v>
      </c>
      <c r="N22" s="36">
        <v>43.0</v>
      </c>
      <c r="O22" s="36">
        <v>15.0</v>
      </c>
      <c r="P22" s="36">
        <v>18.0</v>
      </c>
      <c r="Q22" s="36">
        <v>0.29</v>
      </c>
      <c r="R22" s="36">
        <v>1.2</v>
      </c>
      <c r="S22" s="36">
        <v>2.88</v>
      </c>
      <c r="T22" s="36">
        <v>4.08</v>
      </c>
      <c r="U22" s="21">
        <f t="shared" si="1"/>
        <v>4080</v>
      </c>
      <c r="V22" s="21">
        <f t="shared" si="2"/>
        <v>0</v>
      </c>
    </row>
    <row r="23" ht="14.25" customHeight="1">
      <c r="A23" s="38">
        <v>0.1375</v>
      </c>
      <c r="B23" s="36">
        <v>35.0</v>
      </c>
      <c r="C23" s="36">
        <v>6.2</v>
      </c>
      <c r="D23" s="36">
        <v>529.0</v>
      </c>
      <c r="E23" s="36">
        <v>547.0</v>
      </c>
      <c r="F23" s="36">
        <v>1.03</v>
      </c>
      <c r="G23" s="36">
        <v>15.0</v>
      </c>
      <c r="H23" s="36">
        <v>1.07</v>
      </c>
      <c r="I23" s="36">
        <v>15.8</v>
      </c>
      <c r="J23" s="36">
        <v>90.7</v>
      </c>
      <c r="K23" s="36">
        <v>72.0</v>
      </c>
      <c r="L23" s="36">
        <v>59.3</v>
      </c>
      <c r="M23" s="36">
        <v>108.0</v>
      </c>
      <c r="N23" s="36">
        <v>43.0</v>
      </c>
      <c r="O23" s="36">
        <v>15.0</v>
      </c>
      <c r="P23" s="36">
        <v>18.0</v>
      </c>
      <c r="Q23" s="36">
        <v>0.29</v>
      </c>
      <c r="R23" s="36">
        <v>1.2</v>
      </c>
      <c r="S23" s="36">
        <v>2.88</v>
      </c>
      <c r="T23" s="36">
        <v>4.08</v>
      </c>
      <c r="U23" s="21">
        <f t="shared" si="1"/>
        <v>4080</v>
      </c>
      <c r="V23" s="21">
        <f t="shared" si="2"/>
        <v>100</v>
      </c>
    </row>
    <row r="24" ht="14.25" customHeight="1">
      <c r="A24" s="38">
        <v>0.13958333333333334</v>
      </c>
      <c r="B24" s="36">
        <v>36.0</v>
      </c>
      <c r="C24" s="36">
        <v>6.3</v>
      </c>
      <c r="D24" s="36">
        <v>534.0</v>
      </c>
      <c r="E24" s="36">
        <v>548.0</v>
      </c>
      <c r="F24" s="36">
        <v>1.03</v>
      </c>
      <c r="G24" s="36">
        <v>15.0</v>
      </c>
      <c r="H24" s="36">
        <v>1.07</v>
      </c>
      <c r="I24" s="36">
        <v>15.6</v>
      </c>
      <c r="J24" s="36">
        <v>90.8</v>
      </c>
      <c r="K24" s="36">
        <v>71.0</v>
      </c>
      <c r="L24" s="36">
        <v>59.8</v>
      </c>
      <c r="M24" s="36">
        <v>107.0</v>
      </c>
      <c r="N24" s="36">
        <v>43.0</v>
      </c>
      <c r="O24" s="36">
        <v>15.0</v>
      </c>
      <c r="P24" s="36">
        <v>18.0</v>
      </c>
      <c r="Q24" s="36">
        <v>0.3</v>
      </c>
      <c r="R24" s="36">
        <v>1.21</v>
      </c>
      <c r="S24" s="36">
        <v>2.88</v>
      </c>
      <c r="T24" s="36">
        <v>4.09</v>
      </c>
      <c r="U24" s="21">
        <f t="shared" si="1"/>
        <v>4090</v>
      </c>
      <c r="V24" s="21">
        <f t="shared" si="2"/>
        <v>400</v>
      </c>
    </row>
    <row r="25" ht="14.25" customHeight="1">
      <c r="A25" s="38">
        <v>0.1423611111111111</v>
      </c>
      <c r="B25" s="36">
        <v>38.0</v>
      </c>
      <c r="C25" s="36">
        <v>6.3</v>
      </c>
      <c r="D25" s="36">
        <v>532.0</v>
      </c>
      <c r="E25" s="36">
        <v>542.0</v>
      </c>
      <c r="F25" s="36">
        <v>1.02</v>
      </c>
      <c r="G25" s="36">
        <v>15.0</v>
      </c>
      <c r="H25" s="36">
        <v>1.04</v>
      </c>
      <c r="I25" s="36">
        <v>15.4</v>
      </c>
      <c r="J25" s="36">
        <v>90.9</v>
      </c>
      <c r="K25" s="36">
        <v>71.0</v>
      </c>
      <c r="L25" s="36">
        <v>60.0</v>
      </c>
      <c r="M25" s="36">
        <v>107.0</v>
      </c>
      <c r="N25" s="36">
        <v>43.0</v>
      </c>
      <c r="O25" s="36">
        <v>15.0</v>
      </c>
      <c r="P25" s="36">
        <v>18.0</v>
      </c>
      <c r="Q25" s="36">
        <v>0.3</v>
      </c>
      <c r="R25" s="36">
        <v>1.21</v>
      </c>
      <c r="S25" s="36">
        <v>2.86</v>
      </c>
      <c r="T25" s="36">
        <v>4.07</v>
      </c>
      <c r="U25" s="21">
        <f t="shared" si="1"/>
        <v>4070</v>
      </c>
      <c r="V25" s="21">
        <f t="shared" si="2"/>
        <v>3600</v>
      </c>
    </row>
    <row r="26" ht="14.25" customHeight="1">
      <c r="A26" s="38">
        <v>0.14444444444444443</v>
      </c>
      <c r="B26" s="36">
        <v>40.0</v>
      </c>
      <c r="C26" s="36">
        <v>6.3</v>
      </c>
      <c r="D26" s="36">
        <v>532.0</v>
      </c>
      <c r="E26" s="36">
        <v>541.0</v>
      </c>
      <c r="F26" s="36">
        <v>1.02</v>
      </c>
      <c r="G26" s="36">
        <v>15.0</v>
      </c>
      <c r="H26" s="36">
        <v>1.03</v>
      </c>
      <c r="I26" s="36">
        <v>15.4</v>
      </c>
      <c r="J26" s="36">
        <v>90.9</v>
      </c>
      <c r="K26" s="36">
        <v>71.0</v>
      </c>
      <c r="L26" s="36">
        <v>60.1</v>
      </c>
      <c r="M26" s="36">
        <v>107.0</v>
      </c>
      <c r="N26" s="36">
        <v>43.0</v>
      </c>
      <c r="O26" s="36">
        <v>15.0</v>
      </c>
      <c r="P26" s="36">
        <v>18.0</v>
      </c>
      <c r="Q26" s="36">
        <v>0.3</v>
      </c>
      <c r="R26" s="36">
        <v>1.18</v>
      </c>
      <c r="S26" s="36">
        <v>2.82</v>
      </c>
      <c r="T26" s="36">
        <v>4.01</v>
      </c>
      <c r="U26" s="21">
        <f t="shared" si="1"/>
        <v>4010</v>
      </c>
      <c r="V26" s="21">
        <f t="shared" si="2"/>
        <v>12100</v>
      </c>
    </row>
    <row r="27" ht="14.25" customHeight="1">
      <c r="A27" s="38">
        <v>0.14722222222222223</v>
      </c>
      <c r="B27" s="36">
        <v>42.0</v>
      </c>
      <c r="C27" s="36">
        <v>6.4</v>
      </c>
      <c r="D27" s="36">
        <v>542.0</v>
      </c>
      <c r="E27" s="36">
        <v>547.0</v>
      </c>
      <c r="F27" s="36">
        <v>1.01</v>
      </c>
      <c r="G27" s="36">
        <v>15.0</v>
      </c>
      <c r="H27" s="36">
        <v>1.01</v>
      </c>
      <c r="I27" s="36">
        <v>15.5</v>
      </c>
      <c r="J27" s="36">
        <v>90.9</v>
      </c>
      <c r="K27" s="36">
        <v>70.0</v>
      </c>
      <c r="L27" s="36">
        <v>60.4</v>
      </c>
      <c r="M27" s="36">
        <v>106.0</v>
      </c>
      <c r="N27" s="36">
        <v>43.0</v>
      </c>
      <c r="O27" s="36">
        <v>15.0</v>
      </c>
      <c r="P27" s="36">
        <v>18.0</v>
      </c>
      <c r="Q27" s="36">
        <v>0.29</v>
      </c>
      <c r="R27" s="36">
        <v>1.13</v>
      </c>
      <c r="S27" s="36">
        <v>2.77</v>
      </c>
      <c r="T27" s="36">
        <v>3.9</v>
      </c>
      <c r="U27" s="21">
        <f t="shared" si="1"/>
        <v>3900</v>
      </c>
      <c r="V27" s="21">
        <f t="shared" si="2"/>
        <v>78400</v>
      </c>
    </row>
    <row r="28" ht="14.25" customHeight="1">
      <c r="A28" s="38">
        <v>0.14930555555555555</v>
      </c>
      <c r="B28" s="36">
        <v>43.0</v>
      </c>
      <c r="C28" s="36">
        <v>6.7</v>
      </c>
      <c r="D28" s="36">
        <v>565.0</v>
      </c>
      <c r="E28" s="36">
        <v>564.0</v>
      </c>
      <c r="F28" s="36">
        <v>1.0</v>
      </c>
      <c r="G28" s="36">
        <v>17.0</v>
      </c>
      <c r="H28" s="36">
        <v>0.97</v>
      </c>
      <c r="I28" s="36">
        <v>16.1</v>
      </c>
      <c r="J28" s="36">
        <v>90.5</v>
      </c>
      <c r="K28" s="36">
        <v>70.0</v>
      </c>
      <c r="L28" s="36">
        <v>60.4</v>
      </c>
      <c r="M28" s="36">
        <v>106.0</v>
      </c>
      <c r="N28" s="36">
        <v>43.0</v>
      </c>
      <c r="O28" s="36">
        <v>17.0</v>
      </c>
      <c r="P28" s="36">
        <v>19.0</v>
      </c>
      <c r="Q28" s="36">
        <v>0.3</v>
      </c>
      <c r="R28" s="36">
        <v>1.07</v>
      </c>
      <c r="S28" s="36">
        <v>2.55</v>
      </c>
      <c r="T28" s="36">
        <v>3.62</v>
      </c>
      <c r="U28" s="21">
        <f t="shared" si="1"/>
        <v>3620</v>
      </c>
      <c r="V28" s="21">
        <f t="shared" si="2"/>
        <v>100</v>
      </c>
    </row>
    <row r="29" ht="14.25" customHeight="1">
      <c r="A29" s="38">
        <v>0.15208333333333332</v>
      </c>
      <c r="B29" s="36">
        <v>45.0</v>
      </c>
      <c r="C29" s="36">
        <v>6.9</v>
      </c>
      <c r="D29" s="36">
        <v>587.0</v>
      </c>
      <c r="E29" s="36">
        <v>583.0</v>
      </c>
      <c r="F29" s="36">
        <v>0.99</v>
      </c>
      <c r="G29" s="36">
        <v>17.0</v>
      </c>
      <c r="H29" s="36">
        <v>0.99</v>
      </c>
      <c r="I29" s="36">
        <v>16.5</v>
      </c>
      <c r="J29" s="36">
        <v>90.3</v>
      </c>
      <c r="K29" s="36">
        <v>70.0</v>
      </c>
      <c r="L29" s="36">
        <v>60.6</v>
      </c>
      <c r="M29" s="36">
        <v>106.0</v>
      </c>
      <c r="N29" s="36">
        <v>43.0</v>
      </c>
      <c r="O29" s="36">
        <v>17.0</v>
      </c>
      <c r="P29" s="36">
        <v>20.0</v>
      </c>
      <c r="Q29" s="36">
        <v>0.29</v>
      </c>
      <c r="R29" s="36">
        <v>1.06</v>
      </c>
      <c r="S29" s="36">
        <v>2.56</v>
      </c>
      <c r="T29" s="36">
        <v>3.61</v>
      </c>
      <c r="U29" s="21">
        <f t="shared" si="1"/>
        <v>3610</v>
      </c>
      <c r="V29" s="21">
        <f t="shared" si="2"/>
        <v>1600</v>
      </c>
    </row>
    <row r="30" ht="14.25" customHeight="1">
      <c r="A30" s="38">
        <v>0.15416666666666667</v>
      </c>
      <c r="B30" s="36">
        <v>47.0</v>
      </c>
      <c r="C30" s="36">
        <v>7.1</v>
      </c>
      <c r="D30" s="36">
        <v>601.0</v>
      </c>
      <c r="E30" s="36">
        <v>596.0</v>
      </c>
      <c r="F30" s="36">
        <v>0.99</v>
      </c>
      <c r="G30" s="36">
        <v>17.0</v>
      </c>
      <c r="H30" s="36">
        <v>1.01</v>
      </c>
      <c r="I30" s="36">
        <v>16.9</v>
      </c>
      <c r="J30" s="36">
        <v>90.0</v>
      </c>
      <c r="K30" s="36">
        <v>70.0</v>
      </c>
      <c r="L30" s="36">
        <v>60.7</v>
      </c>
      <c r="M30" s="36">
        <v>106.0</v>
      </c>
      <c r="N30" s="36">
        <v>43.0</v>
      </c>
      <c r="O30" s="36">
        <v>17.0</v>
      </c>
      <c r="P30" s="36">
        <v>20.0</v>
      </c>
      <c r="Q30" s="36">
        <v>0.3</v>
      </c>
      <c r="R30" s="36">
        <v>1.07</v>
      </c>
      <c r="S30" s="36">
        <v>2.51</v>
      </c>
      <c r="T30" s="36">
        <v>3.57</v>
      </c>
      <c r="U30" s="21">
        <f t="shared" si="1"/>
        <v>3570</v>
      </c>
      <c r="V30" s="21">
        <f t="shared" si="2"/>
        <v>2500</v>
      </c>
    </row>
    <row r="31" ht="14.25" customHeight="1">
      <c r="A31" s="38">
        <v>0.15694444444444444</v>
      </c>
      <c r="B31" s="36">
        <v>49.0</v>
      </c>
      <c r="C31" s="36">
        <v>7.2</v>
      </c>
      <c r="D31" s="36">
        <v>616.0</v>
      </c>
      <c r="E31" s="36">
        <v>613.0</v>
      </c>
      <c r="F31" s="36">
        <v>1.0</v>
      </c>
      <c r="G31" s="36">
        <v>17.0</v>
      </c>
      <c r="H31" s="36">
        <v>1.04</v>
      </c>
      <c r="I31" s="36">
        <v>17.3</v>
      </c>
      <c r="J31" s="36">
        <v>89.8</v>
      </c>
      <c r="K31" s="36">
        <v>70.0</v>
      </c>
      <c r="L31" s="36">
        <v>60.5</v>
      </c>
      <c r="M31" s="36">
        <v>106.0</v>
      </c>
      <c r="N31" s="36">
        <v>43.0</v>
      </c>
      <c r="O31" s="36">
        <v>17.0</v>
      </c>
      <c r="P31" s="36">
        <v>21.0</v>
      </c>
      <c r="Q31" s="36">
        <v>0.29</v>
      </c>
      <c r="R31" s="36">
        <v>1.06</v>
      </c>
      <c r="S31" s="36">
        <v>2.56</v>
      </c>
      <c r="T31" s="36">
        <v>3.62</v>
      </c>
      <c r="U31" s="21">
        <f t="shared" si="1"/>
        <v>3620</v>
      </c>
      <c r="V31" s="21">
        <f t="shared" si="2"/>
        <v>4900</v>
      </c>
    </row>
    <row r="32" ht="14.25" customHeight="1">
      <c r="A32" s="38">
        <v>0.1597222222222222</v>
      </c>
      <c r="B32" s="36">
        <v>51.0</v>
      </c>
      <c r="C32" s="36">
        <v>7.2</v>
      </c>
      <c r="D32" s="36">
        <v>614.0</v>
      </c>
      <c r="E32" s="36">
        <v>615.0</v>
      </c>
      <c r="F32" s="36">
        <v>1.0</v>
      </c>
      <c r="G32" s="36">
        <v>16.0</v>
      </c>
      <c r="H32" s="36">
        <v>1.07</v>
      </c>
      <c r="I32" s="36">
        <v>17.4</v>
      </c>
      <c r="J32" s="36">
        <v>89.7</v>
      </c>
      <c r="K32" s="36">
        <v>71.0</v>
      </c>
      <c r="L32" s="36">
        <v>60.0</v>
      </c>
      <c r="M32" s="36">
        <v>106.0</v>
      </c>
      <c r="N32" s="36">
        <v>43.0</v>
      </c>
      <c r="O32" s="36">
        <v>16.0</v>
      </c>
      <c r="P32" s="36">
        <v>21.0</v>
      </c>
      <c r="Q32" s="36">
        <v>0.3</v>
      </c>
      <c r="R32" s="36">
        <v>1.1</v>
      </c>
      <c r="S32" s="36">
        <v>2.59</v>
      </c>
      <c r="T32" s="36">
        <v>3.69</v>
      </c>
      <c r="U32" s="21">
        <f t="shared" si="1"/>
        <v>3690</v>
      </c>
      <c r="V32" s="21">
        <f t="shared" si="2"/>
        <v>0</v>
      </c>
    </row>
    <row r="33" ht="14.25" customHeight="1">
      <c r="A33" s="38">
        <v>0.1625</v>
      </c>
      <c r="B33" s="36">
        <v>52.0</v>
      </c>
      <c r="C33" s="36">
        <v>7.2</v>
      </c>
      <c r="D33" s="36">
        <v>614.0</v>
      </c>
      <c r="E33" s="36">
        <v>615.0</v>
      </c>
      <c r="F33" s="36">
        <v>1.0</v>
      </c>
      <c r="G33" s="36">
        <v>16.0</v>
      </c>
      <c r="H33" s="36">
        <v>1.07</v>
      </c>
      <c r="I33" s="36">
        <v>17.4</v>
      </c>
      <c r="J33" s="36">
        <v>89.7</v>
      </c>
      <c r="K33" s="36">
        <v>70.0</v>
      </c>
      <c r="L33" s="36">
        <v>60.2</v>
      </c>
      <c r="M33" s="36">
        <v>106.0</v>
      </c>
      <c r="N33" s="36">
        <v>43.0</v>
      </c>
      <c r="O33" s="36">
        <v>16.0</v>
      </c>
      <c r="P33" s="36">
        <v>21.0</v>
      </c>
      <c r="Q33" s="36">
        <v>0.3</v>
      </c>
      <c r="R33" s="36">
        <v>1.1</v>
      </c>
      <c r="S33" s="36">
        <v>2.59</v>
      </c>
      <c r="T33" s="36">
        <v>3.69</v>
      </c>
      <c r="U33" s="21">
        <f t="shared" si="1"/>
        <v>3690</v>
      </c>
      <c r="V33" s="21">
        <f t="shared" si="2"/>
        <v>1600</v>
      </c>
    </row>
    <row r="34" ht="14.25" customHeight="1">
      <c r="A34" s="38">
        <v>0.16458333333333333</v>
      </c>
      <c r="B34" s="36">
        <v>54.0</v>
      </c>
      <c r="C34" s="36">
        <v>7.3</v>
      </c>
      <c r="D34" s="36">
        <v>617.0</v>
      </c>
      <c r="E34" s="36">
        <v>622.0</v>
      </c>
      <c r="F34" s="36">
        <v>1.01</v>
      </c>
      <c r="G34" s="36">
        <v>16.0</v>
      </c>
      <c r="H34" s="36">
        <v>1.07</v>
      </c>
      <c r="I34" s="36">
        <v>17.6</v>
      </c>
      <c r="J34" s="36">
        <v>89.6</v>
      </c>
      <c r="K34" s="36">
        <v>71.0</v>
      </c>
      <c r="L34" s="36">
        <v>60.0</v>
      </c>
      <c r="M34" s="36">
        <v>107.0</v>
      </c>
      <c r="N34" s="36">
        <v>43.0</v>
      </c>
      <c r="O34" s="36">
        <v>16.0</v>
      </c>
      <c r="P34" s="36">
        <v>21.0</v>
      </c>
      <c r="Q34" s="36">
        <v>0.3</v>
      </c>
      <c r="R34" s="36">
        <v>1.09</v>
      </c>
      <c r="S34" s="36">
        <v>2.56</v>
      </c>
      <c r="T34" s="36">
        <v>3.65</v>
      </c>
      <c r="U34" s="21">
        <f t="shared" si="1"/>
        <v>3650</v>
      </c>
      <c r="V34" s="21">
        <f t="shared" si="2"/>
        <v>3600</v>
      </c>
    </row>
    <row r="35" ht="14.25" customHeight="1">
      <c r="A35" s="38">
        <v>0.1673611111111111</v>
      </c>
      <c r="B35" s="36">
        <v>55.0</v>
      </c>
      <c r="C35" s="36">
        <v>7.1</v>
      </c>
      <c r="D35" s="36">
        <v>606.0</v>
      </c>
      <c r="E35" s="36">
        <v>610.0</v>
      </c>
      <c r="F35" s="36">
        <v>1.01</v>
      </c>
      <c r="G35" s="36">
        <v>16.0</v>
      </c>
      <c r="H35" s="36">
        <v>1.07</v>
      </c>
      <c r="I35" s="36">
        <v>17.3</v>
      </c>
      <c r="J35" s="36">
        <v>89.8</v>
      </c>
      <c r="K35" s="36">
        <v>71.0</v>
      </c>
      <c r="L35" s="36">
        <v>60.0</v>
      </c>
      <c r="M35" s="36">
        <v>106.0</v>
      </c>
      <c r="N35" s="36">
        <v>43.0</v>
      </c>
      <c r="O35" s="36">
        <v>16.0</v>
      </c>
      <c r="P35" s="36">
        <v>21.0</v>
      </c>
      <c r="Q35" s="36">
        <v>0.3</v>
      </c>
      <c r="R35" s="36">
        <v>1.11</v>
      </c>
      <c r="S35" s="36">
        <v>2.61</v>
      </c>
      <c r="T35" s="36">
        <v>3.71</v>
      </c>
      <c r="U35" s="21">
        <f t="shared" si="1"/>
        <v>3710</v>
      </c>
      <c r="V35" s="21">
        <f t="shared" si="2"/>
        <v>0</v>
      </c>
    </row>
    <row r="36" ht="14.25" customHeight="1">
      <c r="A36" s="38">
        <v>0.16944444444444445</v>
      </c>
      <c r="B36" s="36">
        <v>57.0</v>
      </c>
      <c r="C36" s="36">
        <v>7.0</v>
      </c>
      <c r="D36" s="36">
        <v>598.0</v>
      </c>
      <c r="E36" s="36">
        <v>603.0</v>
      </c>
      <c r="F36" s="36">
        <v>1.01</v>
      </c>
      <c r="G36" s="36">
        <v>16.0</v>
      </c>
      <c r="H36" s="36">
        <v>1.06</v>
      </c>
      <c r="I36" s="36">
        <v>17.2</v>
      </c>
      <c r="J36" s="36">
        <v>89.8</v>
      </c>
      <c r="K36" s="36">
        <v>72.0</v>
      </c>
      <c r="L36" s="36">
        <v>59.5</v>
      </c>
      <c r="M36" s="36">
        <v>106.0</v>
      </c>
      <c r="N36" s="36">
        <v>43.0</v>
      </c>
      <c r="O36" s="36">
        <v>16.0</v>
      </c>
      <c r="P36" s="36">
        <v>20.0</v>
      </c>
      <c r="Q36" s="36">
        <v>0.31</v>
      </c>
      <c r="R36" s="36">
        <v>1.15</v>
      </c>
      <c r="S36" s="36">
        <v>2.55</v>
      </c>
      <c r="T36" s="36">
        <v>3.71</v>
      </c>
      <c r="U36" s="21">
        <f t="shared" si="1"/>
        <v>3710</v>
      </c>
      <c r="V36" s="21">
        <f t="shared" si="2"/>
        <v>4900</v>
      </c>
    </row>
    <row r="37" ht="14.25" customHeight="1">
      <c r="A37" s="38">
        <v>0.17222222222222222</v>
      </c>
      <c r="B37" s="36">
        <v>60.0</v>
      </c>
      <c r="C37" s="36">
        <v>6.9</v>
      </c>
      <c r="D37" s="36">
        <v>589.0</v>
      </c>
      <c r="E37" s="36">
        <v>594.0</v>
      </c>
      <c r="F37" s="36">
        <v>1.01</v>
      </c>
      <c r="G37" s="36">
        <v>16.0</v>
      </c>
      <c r="H37" s="36">
        <v>1.07</v>
      </c>
      <c r="I37" s="36">
        <v>17.0</v>
      </c>
      <c r="J37" s="36">
        <v>90.0</v>
      </c>
      <c r="K37" s="36">
        <v>72.0</v>
      </c>
      <c r="L37" s="36">
        <v>59.2</v>
      </c>
      <c r="M37" s="36">
        <v>106.0</v>
      </c>
      <c r="N37" s="36">
        <v>43.0</v>
      </c>
      <c r="O37" s="36">
        <v>16.0</v>
      </c>
      <c r="P37" s="36">
        <v>20.0</v>
      </c>
      <c r="Q37" s="36">
        <v>0.32</v>
      </c>
      <c r="R37" s="36">
        <v>1.19</v>
      </c>
      <c r="S37" s="36">
        <v>2.58</v>
      </c>
      <c r="T37" s="36">
        <v>3.78</v>
      </c>
      <c r="U37" s="21">
        <f t="shared" si="1"/>
        <v>3780</v>
      </c>
      <c r="V37" s="21">
        <f t="shared" si="2"/>
        <v>3600</v>
      </c>
    </row>
    <row r="38" ht="14.25" customHeight="1">
      <c r="A38" s="38">
        <v>0.175</v>
      </c>
      <c r="B38" s="36">
        <v>61.0</v>
      </c>
      <c r="C38" s="36">
        <v>7.0</v>
      </c>
      <c r="D38" s="36">
        <v>594.0</v>
      </c>
      <c r="E38" s="36">
        <v>594.0</v>
      </c>
      <c r="F38" s="36">
        <v>1.0</v>
      </c>
      <c r="G38" s="36">
        <v>16.0</v>
      </c>
      <c r="H38" s="36">
        <v>1.05</v>
      </c>
      <c r="I38" s="36">
        <v>16.9</v>
      </c>
      <c r="J38" s="36">
        <v>90.0</v>
      </c>
      <c r="K38" s="36">
        <v>72.0</v>
      </c>
      <c r="L38" s="36">
        <v>59.4</v>
      </c>
      <c r="M38" s="36">
        <v>106.0</v>
      </c>
      <c r="N38" s="36">
        <v>43.0</v>
      </c>
      <c r="O38" s="36">
        <v>16.0</v>
      </c>
      <c r="P38" s="36">
        <v>20.0</v>
      </c>
      <c r="Q38" s="36">
        <v>0.32</v>
      </c>
      <c r="R38" s="36">
        <v>1.18</v>
      </c>
      <c r="S38" s="36">
        <v>2.54</v>
      </c>
      <c r="T38" s="36">
        <v>3.72</v>
      </c>
      <c r="U38" s="21">
        <f t="shared" si="1"/>
        <v>3720</v>
      </c>
      <c r="V38" s="21">
        <f t="shared" si="2"/>
        <v>3600</v>
      </c>
    </row>
    <row r="39" ht="14.25" customHeight="1">
      <c r="A39" s="38">
        <v>0.17777777777777778</v>
      </c>
      <c r="B39" s="36">
        <v>63.0</v>
      </c>
      <c r="C39" s="36">
        <v>7.1</v>
      </c>
      <c r="D39" s="36">
        <v>607.0</v>
      </c>
      <c r="E39" s="36">
        <v>605.0</v>
      </c>
      <c r="F39" s="36">
        <v>1.0</v>
      </c>
      <c r="G39" s="36">
        <v>16.0</v>
      </c>
      <c r="H39" s="36">
        <v>1.05</v>
      </c>
      <c r="I39" s="36">
        <v>17.2</v>
      </c>
      <c r="J39" s="36">
        <v>89.9</v>
      </c>
      <c r="K39" s="36">
        <v>72.0</v>
      </c>
      <c r="L39" s="36">
        <v>59.5</v>
      </c>
      <c r="M39" s="36">
        <v>106.0</v>
      </c>
      <c r="N39" s="36">
        <v>43.0</v>
      </c>
      <c r="O39" s="36">
        <v>16.0</v>
      </c>
      <c r="P39" s="36">
        <v>21.0</v>
      </c>
      <c r="Q39" s="36">
        <v>0.31</v>
      </c>
      <c r="R39" s="36">
        <v>1.15</v>
      </c>
      <c r="S39" s="36">
        <v>2.51</v>
      </c>
      <c r="T39" s="36">
        <v>3.66</v>
      </c>
      <c r="U39" s="21">
        <f t="shared" si="1"/>
        <v>3660</v>
      </c>
      <c r="V39" s="21">
        <f t="shared" si="2"/>
        <v>0</v>
      </c>
    </row>
    <row r="40" ht="14.25" customHeight="1">
      <c r="A40" s="38">
        <v>0.18055555555555555</v>
      </c>
      <c r="B40" s="36">
        <v>66.0</v>
      </c>
      <c r="C40" s="36">
        <v>7.1</v>
      </c>
      <c r="D40" s="36">
        <v>607.0</v>
      </c>
      <c r="E40" s="36">
        <v>605.0</v>
      </c>
      <c r="F40" s="36">
        <v>1.0</v>
      </c>
      <c r="G40" s="36">
        <v>16.0</v>
      </c>
      <c r="H40" s="36">
        <v>1.05</v>
      </c>
      <c r="I40" s="36">
        <v>17.2</v>
      </c>
      <c r="J40" s="36">
        <v>89.9</v>
      </c>
      <c r="K40" s="36">
        <v>72.0</v>
      </c>
      <c r="L40" s="36">
        <v>59.5</v>
      </c>
      <c r="M40" s="36">
        <v>106.0</v>
      </c>
      <c r="N40" s="36">
        <v>43.0</v>
      </c>
      <c r="O40" s="36">
        <v>16.0</v>
      </c>
      <c r="P40" s="36">
        <v>21.0</v>
      </c>
      <c r="Q40" s="36">
        <v>0.31</v>
      </c>
      <c r="R40" s="36">
        <v>1.15</v>
      </c>
      <c r="S40" s="36">
        <v>2.51</v>
      </c>
      <c r="T40" s="36">
        <v>3.66</v>
      </c>
      <c r="U40" s="21">
        <f t="shared" si="1"/>
        <v>3660</v>
      </c>
      <c r="V40" s="21">
        <f t="shared" si="2"/>
        <v>4900</v>
      </c>
    </row>
    <row r="41" ht="14.25" customHeight="1">
      <c r="A41" s="38">
        <v>0.18333333333333332</v>
      </c>
      <c r="B41" s="36">
        <v>67.0</v>
      </c>
      <c r="C41" s="36">
        <v>7.0</v>
      </c>
      <c r="D41" s="36">
        <v>593.0</v>
      </c>
      <c r="E41" s="36">
        <v>589.0</v>
      </c>
      <c r="F41" s="36">
        <v>0.99</v>
      </c>
      <c r="G41" s="36">
        <v>16.0</v>
      </c>
      <c r="H41" s="36">
        <v>1.04</v>
      </c>
      <c r="I41" s="36">
        <v>16.6</v>
      </c>
      <c r="J41" s="36">
        <v>90.2</v>
      </c>
      <c r="K41" s="36">
        <v>72.0</v>
      </c>
      <c r="L41" s="36">
        <v>59.5</v>
      </c>
      <c r="M41" s="36">
        <v>105.0</v>
      </c>
      <c r="N41" s="36">
        <v>43.0</v>
      </c>
      <c r="O41" s="36">
        <v>16.0</v>
      </c>
      <c r="P41" s="36">
        <v>20.0</v>
      </c>
      <c r="Q41" s="36">
        <v>0.32</v>
      </c>
      <c r="R41" s="36">
        <v>1.18</v>
      </c>
      <c r="S41" s="36">
        <v>2.56</v>
      </c>
      <c r="T41" s="36">
        <v>3.73</v>
      </c>
      <c r="U41" s="21">
        <f t="shared" si="1"/>
        <v>3730</v>
      </c>
      <c r="V41" s="21">
        <f t="shared" si="2"/>
        <v>0</v>
      </c>
    </row>
    <row r="42" ht="14.25" customHeight="1">
      <c r="A42" s="38">
        <v>0.18611111111111112</v>
      </c>
      <c r="B42" s="36">
        <v>70.0</v>
      </c>
      <c r="C42" s="36">
        <v>6.9</v>
      </c>
      <c r="D42" s="36">
        <v>591.0</v>
      </c>
      <c r="E42" s="36">
        <v>582.0</v>
      </c>
      <c r="F42" s="36">
        <v>0.99</v>
      </c>
      <c r="G42" s="36">
        <v>16.0</v>
      </c>
      <c r="H42" s="36">
        <v>1.02</v>
      </c>
      <c r="I42" s="36">
        <v>16.4</v>
      </c>
      <c r="J42" s="36">
        <v>90.3</v>
      </c>
      <c r="K42" s="36">
        <v>72.0</v>
      </c>
      <c r="L42" s="36">
        <v>59.6</v>
      </c>
      <c r="M42" s="36">
        <v>105.0</v>
      </c>
      <c r="N42" s="36">
        <v>44.0</v>
      </c>
      <c r="O42" s="36">
        <v>16.0</v>
      </c>
      <c r="P42" s="36">
        <v>20.0</v>
      </c>
      <c r="Q42" s="36">
        <v>0.32</v>
      </c>
      <c r="R42" s="36">
        <v>1.18</v>
      </c>
      <c r="S42" s="36">
        <v>2.55</v>
      </c>
      <c r="T42" s="36">
        <v>3.73</v>
      </c>
      <c r="U42" s="21">
        <f t="shared" si="1"/>
        <v>3730</v>
      </c>
      <c r="V42" s="21">
        <f t="shared" si="2"/>
        <v>16900</v>
      </c>
    </row>
    <row r="43" ht="14.25" customHeight="1">
      <c r="A43" s="38">
        <v>0.18819444444444444</v>
      </c>
      <c r="B43" s="36">
        <v>71.0</v>
      </c>
      <c r="C43" s="36">
        <v>7.1</v>
      </c>
      <c r="D43" s="36">
        <v>606.0</v>
      </c>
      <c r="E43" s="36">
        <v>595.0</v>
      </c>
      <c r="F43" s="36">
        <v>0.98</v>
      </c>
      <c r="G43" s="36">
        <v>16.0</v>
      </c>
      <c r="H43" s="36">
        <v>1.06</v>
      </c>
      <c r="I43" s="36">
        <v>16.6</v>
      </c>
      <c r="J43" s="36">
        <v>90.2</v>
      </c>
      <c r="K43" s="36">
        <v>71.0</v>
      </c>
      <c r="L43" s="36">
        <v>59.8</v>
      </c>
      <c r="M43" s="36">
        <v>105.0</v>
      </c>
      <c r="N43" s="36">
        <v>44.0</v>
      </c>
      <c r="O43" s="36">
        <v>16.0</v>
      </c>
      <c r="P43" s="36">
        <v>21.0</v>
      </c>
      <c r="Q43" s="36">
        <v>0.31</v>
      </c>
      <c r="R43" s="36">
        <v>1.21</v>
      </c>
      <c r="S43" s="36">
        <v>2.65</v>
      </c>
      <c r="T43" s="36">
        <v>3.86</v>
      </c>
      <c r="U43" s="21">
        <f t="shared" si="1"/>
        <v>3860</v>
      </c>
      <c r="V43" s="21">
        <f t="shared" si="2"/>
        <v>400</v>
      </c>
    </row>
    <row r="44" ht="14.25" customHeight="1">
      <c r="A44" s="38">
        <v>0.19166666666666668</v>
      </c>
      <c r="B44" s="36">
        <v>74.0</v>
      </c>
      <c r="C44" s="36">
        <v>7.0</v>
      </c>
      <c r="D44" s="36">
        <v>595.0</v>
      </c>
      <c r="E44" s="36">
        <v>581.0</v>
      </c>
      <c r="F44" s="36">
        <v>0.98</v>
      </c>
      <c r="G44" s="36">
        <v>16.0</v>
      </c>
      <c r="H44" s="36">
        <v>1.03</v>
      </c>
      <c r="I44" s="36">
        <v>16.1</v>
      </c>
      <c r="J44" s="36">
        <v>90.5</v>
      </c>
      <c r="K44" s="36">
        <v>71.0</v>
      </c>
      <c r="L44" s="36">
        <v>59.8</v>
      </c>
      <c r="M44" s="36">
        <v>105.0</v>
      </c>
      <c r="N44" s="36">
        <v>44.0</v>
      </c>
      <c r="O44" s="36">
        <v>16.0</v>
      </c>
      <c r="P44" s="36">
        <v>20.0</v>
      </c>
      <c r="Q44" s="36">
        <v>0.31</v>
      </c>
      <c r="R44" s="36">
        <v>1.2</v>
      </c>
      <c r="S44" s="36">
        <v>2.64</v>
      </c>
      <c r="T44" s="36">
        <v>3.84</v>
      </c>
      <c r="U44" s="21">
        <f t="shared" si="1"/>
        <v>3840</v>
      </c>
      <c r="V44" s="21">
        <f t="shared" si="2"/>
        <v>900</v>
      </c>
    </row>
    <row r="45" ht="14.25" customHeight="1">
      <c r="A45" s="38">
        <v>0.19375</v>
      </c>
      <c r="B45" s="36">
        <v>75.0</v>
      </c>
      <c r="C45" s="36">
        <v>7.0</v>
      </c>
      <c r="D45" s="36">
        <v>599.0</v>
      </c>
      <c r="E45" s="36">
        <v>579.0</v>
      </c>
      <c r="F45" s="36">
        <v>0.97</v>
      </c>
      <c r="G45" s="36">
        <v>16.0</v>
      </c>
      <c r="H45" s="36">
        <v>1.02</v>
      </c>
      <c r="I45" s="36">
        <v>16.1</v>
      </c>
      <c r="J45" s="36">
        <v>90.5</v>
      </c>
      <c r="K45" s="36">
        <v>71.0</v>
      </c>
      <c r="L45" s="36">
        <v>59.6</v>
      </c>
      <c r="M45" s="36">
        <v>104.0</v>
      </c>
      <c r="N45" s="36">
        <v>44.0</v>
      </c>
      <c r="O45" s="36">
        <v>16.0</v>
      </c>
      <c r="P45" s="36">
        <v>20.0</v>
      </c>
      <c r="Q45" s="36">
        <v>0.31</v>
      </c>
      <c r="R45" s="36">
        <v>1.19</v>
      </c>
      <c r="S45" s="36">
        <v>2.62</v>
      </c>
      <c r="T45" s="36">
        <v>3.81</v>
      </c>
      <c r="U45" s="21">
        <f t="shared" si="1"/>
        <v>3810</v>
      </c>
      <c r="V45" s="21">
        <f t="shared" si="2"/>
        <v>12100</v>
      </c>
    </row>
    <row r="46" ht="14.25" customHeight="1">
      <c r="A46" s="38">
        <v>0.19583333333333333</v>
      </c>
      <c r="B46" s="36">
        <v>77.0</v>
      </c>
      <c r="C46" s="36">
        <v>7.1</v>
      </c>
      <c r="D46" s="36">
        <v>601.0</v>
      </c>
      <c r="E46" s="36">
        <v>578.0</v>
      </c>
      <c r="F46" s="36">
        <v>0.96</v>
      </c>
      <c r="G46" s="36">
        <v>16.0</v>
      </c>
      <c r="H46" s="36">
        <v>0.99</v>
      </c>
      <c r="I46" s="36">
        <v>16.0</v>
      </c>
      <c r="J46" s="36">
        <v>90.6</v>
      </c>
      <c r="K46" s="36">
        <v>71.0</v>
      </c>
      <c r="L46" s="36">
        <v>59.9</v>
      </c>
      <c r="M46" s="36">
        <v>104.0</v>
      </c>
      <c r="N46" s="36">
        <v>44.0</v>
      </c>
      <c r="O46" s="36">
        <v>16.0</v>
      </c>
      <c r="P46" s="36">
        <v>20.0</v>
      </c>
      <c r="Q46" s="36">
        <v>0.31</v>
      </c>
      <c r="R46" s="36">
        <v>1.13</v>
      </c>
      <c r="S46" s="36">
        <v>2.57</v>
      </c>
      <c r="T46" s="36">
        <v>3.7</v>
      </c>
      <c r="U46" s="21">
        <f t="shared" si="1"/>
        <v>3700</v>
      </c>
      <c r="V46" s="21">
        <f t="shared" si="2"/>
        <v>10000</v>
      </c>
    </row>
    <row r="47" ht="14.25" customHeight="1">
      <c r="A47" s="38">
        <v>0.1986111111111111</v>
      </c>
      <c r="B47" s="36">
        <v>79.0</v>
      </c>
      <c r="C47" s="36">
        <v>7.5</v>
      </c>
      <c r="D47" s="36">
        <v>636.0</v>
      </c>
      <c r="E47" s="36">
        <v>604.0</v>
      </c>
      <c r="F47" s="36">
        <v>0.95</v>
      </c>
      <c r="G47" s="36">
        <v>17.0</v>
      </c>
      <c r="H47" s="36">
        <v>1.0</v>
      </c>
      <c r="I47" s="36">
        <v>16.6</v>
      </c>
      <c r="J47" s="36">
        <v>90.2</v>
      </c>
      <c r="K47" s="36">
        <v>72.0</v>
      </c>
      <c r="L47" s="36">
        <v>59.1</v>
      </c>
      <c r="M47" s="36">
        <v>104.0</v>
      </c>
      <c r="N47" s="36">
        <v>44.0</v>
      </c>
      <c r="O47" s="36">
        <v>17.0</v>
      </c>
      <c r="P47" s="36">
        <v>22.0</v>
      </c>
      <c r="Q47" s="36">
        <v>0.31</v>
      </c>
      <c r="R47" s="36">
        <v>1.1</v>
      </c>
      <c r="S47" s="36">
        <v>2.49</v>
      </c>
      <c r="T47" s="36">
        <v>3.6</v>
      </c>
      <c r="U47" s="21">
        <f t="shared" si="1"/>
        <v>3600</v>
      </c>
      <c r="V47" s="21">
        <f t="shared" si="2"/>
        <v>100</v>
      </c>
    </row>
    <row r="48" ht="14.25" customHeight="1">
      <c r="A48" s="38">
        <v>0.2013888888888889</v>
      </c>
      <c r="B48" s="36">
        <v>81.0</v>
      </c>
      <c r="C48" s="36">
        <v>7.9</v>
      </c>
      <c r="D48" s="36">
        <v>672.0</v>
      </c>
      <c r="E48" s="36">
        <v>639.0</v>
      </c>
      <c r="F48" s="36">
        <v>0.95</v>
      </c>
      <c r="G48" s="36">
        <v>17.0</v>
      </c>
      <c r="H48" s="36">
        <v>1.05</v>
      </c>
      <c r="I48" s="36">
        <v>17.5</v>
      </c>
      <c r="J48" s="36">
        <v>89.7</v>
      </c>
      <c r="K48" s="36">
        <v>75.0</v>
      </c>
      <c r="L48" s="36">
        <v>57.9</v>
      </c>
      <c r="M48" s="36">
        <v>104.0</v>
      </c>
      <c r="N48" s="36">
        <v>44.0</v>
      </c>
      <c r="O48" s="36">
        <v>17.0</v>
      </c>
      <c r="P48" s="36">
        <v>23.0</v>
      </c>
      <c r="Q48" s="36">
        <v>0.31</v>
      </c>
      <c r="R48" s="36">
        <v>1.11</v>
      </c>
      <c r="S48" s="36">
        <v>2.48</v>
      </c>
      <c r="T48" s="36">
        <v>3.59</v>
      </c>
      <c r="U48" s="21">
        <f t="shared" si="1"/>
        <v>3590</v>
      </c>
      <c r="V48" s="21">
        <f t="shared" si="2"/>
        <v>0</v>
      </c>
    </row>
    <row r="49" ht="14.25" customHeight="1">
      <c r="A49" s="38">
        <v>0.20416666666666666</v>
      </c>
      <c r="B49" s="36">
        <v>82.0</v>
      </c>
      <c r="C49" s="36">
        <v>8.3</v>
      </c>
      <c r="D49" s="36">
        <v>702.0</v>
      </c>
      <c r="E49" s="36">
        <v>670.0</v>
      </c>
      <c r="F49" s="36">
        <v>0.95</v>
      </c>
      <c r="G49" s="36">
        <v>17.0</v>
      </c>
      <c r="H49" s="36">
        <v>1.09</v>
      </c>
      <c r="I49" s="36">
        <v>18.2</v>
      </c>
      <c r="J49" s="36">
        <v>89.2</v>
      </c>
      <c r="K49" s="36">
        <v>76.0</v>
      </c>
      <c r="L49" s="36">
        <v>57.2</v>
      </c>
      <c r="M49" s="36">
        <v>104.0</v>
      </c>
      <c r="N49" s="36">
        <v>44.0</v>
      </c>
      <c r="O49" s="36">
        <v>17.0</v>
      </c>
      <c r="P49" s="36">
        <v>24.0</v>
      </c>
      <c r="Q49" s="36">
        <v>0.31</v>
      </c>
      <c r="R49" s="36">
        <v>1.11</v>
      </c>
      <c r="S49" s="36">
        <v>2.48</v>
      </c>
      <c r="T49" s="36">
        <v>3.59</v>
      </c>
      <c r="U49" s="21">
        <f t="shared" si="1"/>
        <v>3590</v>
      </c>
      <c r="V49" s="21">
        <f t="shared" si="2"/>
        <v>100</v>
      </c>
    </row>
    <row r="50" ht="14.25" customHeight="1">
      <c r="A50" s="38">
        <v>0.20625</v>
      </c>
      <c r="B50" s="36">
        <v>84.0</v>
      </c>
      <c r="C50" s="36">
        <v>8.4</v>
      </c>
      <c r="D50" s="36">
        <v>715.0</v>
      </c>
      <c r="E50" s="36">
        <v>684.0</v>
      </c>
      <c r="F50" s="36">
        <v>0.96</v>
      </c>
      <c r="G50" s="36">
        <v>17.0</v>
      </c>
      <c r="H50" s="36">
        <v>1.12</v>
      </c>
      <c r="I50" s="36">
        <v>18.7</v>
      </c>
      <c r="J50" s="36">
        <v>89.0</v>
      </c>
      <c r="K50" s="36">
        <v>77.0</v>
      </c>
      <c r="L50" s="36">
        <v>56.7</v>
      </c>
      <c r="M50" s="36">
        <v>104.0</v>
      </c>
      <c r="N50" s="36">
        <v>44.0</v>
      </c>
      <c r="O50" s="36">
        <v>17.0</v>
      </c>
      <c r="P50" s="36">
        <v>24.0</v>
      </c>
      <c r="Q50" s="36">
        <v>0.32</v>
      </c>
      <c r="R50" s="36">
        <v>1.15</v>
      </c>
      <c r="S50" s="36">
        <v>2.45</v>
      </c>
      <c r="T50" s="36">
        <v>3.6</v>
      </c>
      <c r="U50" s="21">
        <f t="shared" si="1"/>
        <v>3600</v>
      </c>
      <c r="V50" s="21">
        <f t="shared" si="2"/>
        <v>1600</v>
      </c>
    </row>
    <row r="51" ht="14.25" customHeight="1">
      <c r="A51" s="38">
        <v>0.20902777777777778</v>
      </c>
      <c r="B51" s="36">
        <v>86.0</v>
      </c>
      <c r="C51" s="36">
        <v>8.5</v>
      </c>
      <c r="D51" s="36">
        <v>725.0</v>
      </c>
      <c r="E51" s="36">
        <v>697.0</v>
      </c>
      <c r="F51" s="36">
        <v>0.96</v>
      </c>
      <c r="G51" s="36">
        <v>16.0</v>
      </c>
      <c r="H51" s="36">
        <v>1.15</v>
      </c>
      <c r="I51" s="36">
        <v>18.9</v>
      </c>
      <c r="J51" s="36">
        <v>88.8</v>
      </c>
      <c r="K51" s="36">
        <v>77.0</v>
      </c>
      <c r="L51" s="36">
        <v>56.5</v>
      </c>
      <c r="M51" s="36">
        <v>104.0</v>
      </c>
      <c r="N51" s="36">
        <v>44.0</v>
      </c>
      <c r="O51" s="36">
        <v>16.0</v>
      </c>
      <c r="P51" s="36">
        <v>25.0</v>
      </c>
      <c r="Q51" s="36">
        <v>0.32</v>
      </c>
      <c r="R51" s="36">
        <v>1.18</v>
      </c>
      <c r="S51" s="36">
        <v>2.47</v>
      </c>
      <c r="T51" s="36">
        <v>3.64</v>
      </c>
      <c r="U51" s="21">
        <f t="shared" si="1"/>
        <v>3640</v>
      </c>
      <c r="V51" s="21">
        <f t="shared" si="2"/>
        <v>100</v>
      </c>
    </row>
    <row r="52" ht="14.25" customHeight="1">
      <c r="A52" s="38">
        <v>0.2111111111111111</v>
      </c>
      <c r="B52" s="36">
        <v>88.0</v>
      </c>
      <c r="C52" s="36">
        <v>8.6</v>
      </c>
      <c r="D52" s="36">
        <v>734.0</v>
      </c>
      <c r="E52" s="36">
        <v>707.0</v>
      </c>
      <c r="F52" s="36">
        <v>0.96</v>
      </c>
      <c r="G52" s="36">
        <v>17.0</v>
      </c>
      <c r="H52" s="36">
        <v>1.16</v>
      </c>
      <c r="I52" s="36">
        <v>19.2</v>
      </c>
      <c r="J52" s="36">
        <v>88.7</v>
      </c>
      <c r="K52" s="36">
        <v>77.0</v>
      </c>
      <c r="L52" s="36">
        <v>56.3</v>
      </c>
      <c r="M52" s="36">
        <v>104.0</v>
      </c>
      <c r="N52" s="36">
        <v>44.0</v>
      </c>
      <c r="O52" s="36">
        <v>17.0</v>
      </c>
      <c r="P52" s="36">
        <v>25.0</v>
      </c>
      <c r="Q52" s="36">
        <v>0.32</v>
      </c>
      <c r="R52" s="36">
        <v>1.16</v>
      </c>
      <c r="S52" s="36">
        <v>2.47</v>
      </c>
      <c r="T52" s="36">
        <v>3.63</v>
      </c>
      <c r="U52" s="21">
        <f t="shared" si="1"/>
        <v>3630</v>
      </c>
      <c r="V52" s="21">
        <f t="shared" si="2"/>
        <v>900</v>
      </c>
    </row>
    <row r="53" ht="14.25" customHeight="1">
      <c r="A53" s="38">
        <v>0.21388888888888888</v>
      </c>
      <c r="B53" s="36">
        <v>90.0</v>
      </c>
      <c r="C53" s="36">
        <v>8.7</v>
      </c>
      <c r="D53" s="36">
        <v>742.0</v>
      </c>
      <c r="E53" s="36">
        <v>717.0</v>
      </c>
      <c r="F53" s="36">
        <v>0.97</v>
      </c>
      <c r="G53" s="36">
        <v>16.0</v>
      </c>
      <c r="H53" s="36">
        <v>1.19</v>
      </c>
      <c r="I53" s="36">
        <v>19.5</v>
      </c>
      <c r="J53" s="36">
        <v>88.5</v>
      </c>
      <c r="K53" s="36">
        <v>77.0</v>
      </c>
      <c r="L53" s="36">
        <v>56.4</v>
      </c>
      <c r="M53" s="36">
        <v>105.0</v>
      </c>
      <c r="N53" s="36">
        <v>44.0</v>
      </c>
      <c r="O53" s="36">
        <v>16.0</v>
      </c>
      <c r="P53" s="36">
        <v>25.0</v>
      </c>
      <c r="Q53" s="36">
        <v>0.32</v>
      </c>
      <c r="R53" s="36">
        <v>1.17</v>
      </c>
      <c r="S53" s="36">
        <v>2.49</v>
      </c>
      <c r="T53" s="36">
        <v>3.66</v>
      </c>
      <c r="U53" s="21">
        <f t="shared" si="1"/>
        <v>3660</v>
      </c>
      <c r="V53" s="21">
        <f t="shared" si="2"/>
        <v>400</v>
      </c>
    </row>
    <row r="54" ht="14.25" customHeight="1">
      <c r="A54" s="38">
        <v>0.21666666666666667</v>
      </c>
      <c r="B54" s="36">
        <v>91.0</v>
      </c>
      <c r="C54" s="36">
        <v>8.8</v>
      </c>
      <c r="D54" s="36">
        <v>752.0</v>
      </c>
      <c r="E54" s="36">
        <v>725.0</v>
      </c>
      <c r="F54" s="36">
        <v>0.96</v>
      </c>
      <c r="G54" s="36">
        <v>16.0</v>
      </c>
      <c r="H54" s="36">
        <v>1.19</v>
      </c>
      <c r="I54" s="36">
        <v>19.6</v>
      </c>
      <c r="J54" s="36">
        <v>88.5</v>
      </c>
      <c r="K54" s="36">
        <v>77.0</v>
      </c>
      <c r="L54" s="36">
        <v>56.5</v>
      </c>
      <c r="M54" s="36">
        <v>104.0</v>
      </c>
      <c r="N54" s="36">
        <v>44.0</v>
      </c>
      <c r="O54" s="36">
        <v>16.0</v>
      </c>
      <c r="P54" s="36">
        <v>25.0</v>
      </c>
      <c r="Q54" s="36">
        <v>0.31</v>
      </c>
      <c r="R54" s="36">
        <v>1.14</v>
      </c>
      <c r="S54" s="36">
        <v>2.5</v>
      </c>
      <c r="T54" s="36">
        <v>3.64</v>
      </c>
      <c r="U54" s="21">
        <f t="shared" si="1"/>
        <v>3640</v>
      </c>
      <c r="V54" s="21">
        <f t="shared" si="2"/>
        <v>1600</v>
      </c>
    </row>
    <row r="55" ht="14.25" customHeight="1">
      <c r="A55" s="38">
        <v>0.21875</v>
      </c>
      <c r="B55" s="36">
        <v>93.0</v>
      </c>
      <c r="C55" s="36">
        <v>9.0</v>
      </c>
      <c r="D55" s="36">
        <v>762.0</v>
      </c>
      <c r="E55" s="36">
        <v>728.0</v>
      </c>
      <c r="F55" s="36">
        <v>0.96</v>
      </c>
      <c r="G55" s="36">
        <v>17.0</v>
      </c>
      <c r="H55" s="36">
        <v>1.17</v>
      </c>
      <c r="I55" s="36">
        <v>19.5</v>
      </c>
      <c r="J55" s="36">
        <v>88.5</v>
      </c>
      <c r="K55" s="36">
        <v>77.0</v>
      </c>
      <c r="L55" s="36">
        <v>56.4</v>
      </c>
      <c r="M55" s="36">
        <v>104.0</v>
      </c>
      <c r="N55" s="36">
        <v>44.0</v>
      </c>
      <c r="O55" s="36">
        <v>17.0</v>
      </c>
      <c r="P55" s="36">
        <v>26.0</v>
      </c>
      <c r="Q55" s="36">
        <v>0.31</v>
      </c>
      <c r="R55" s="36">
        <v>1.1</v>
      </c>
      <c r="S55" s="36">
        <v>2.5</v>
      </c>
      <c r="T55" s="36">
        <v>3.6</v>
      </c>
      <c r="U55" s="21">
        <f t="shared" si="1"/>
        <v>3600</v>
      </c>
      <c r="V55" s="21">
        <f t="shared" si="2"/>
        <v>1600</v>
      </c>
    </row>
    <row r="56" ht="14.25" customHeight="1">
      <c r="A56" s="38">
        <v>0.22152777777777777</v>
      </c>
      <c r="B56" s="36">
        <v>95.0</v>
      </c>
      <c r="C56" s="36">
        <v>9.1</v>
      </c>
      <c r="D56" s="36">
        <v>776.0</v>
      </c>
      <c r="E56" s="36">
        <v>737.0</v>
      </c>
      <c r="F56" s="36">
        <v>0.95</v>
      </c>
      <c r="G56" s="36">
        <v>17.0</v>
      </c>
      <c r="H56" s="36">
        <v>1.17</v>
      </c>
      <c r="I56" s="36">
        <v>19.7</v>
      </c>
      <c r="J56" s="36">
        <v>88.4</v>
      </c>
      <c r="K56" s="36">
        <v>77.0</v>
      </c>
      <c r="L56" s="36">
        <v>56.4</v>
      </c>
      <c r="M56" s="36">
        <v>103.0</v>
      </c>
      <c r="N56" s="36">
        <v>44.0</v>
      </c>
      <c r="O56" s="36">
        <v>17.0</v>
      </c>
      <c r="P56" s="36">
        <v>26.0</v>
      </c>
      <c r="Q56" s="36">
        <v>0.31</v>
      </c>
      <c r="R56" s="36">
        <v>1.12</v>
      </c>
      <c r="S56" s="36">
        <v>2.44</v>
      </c>
      <c r="T56" s="36">
        <v>3.56</v>
      </c>
      <c r="U56" s="21">
        <f t="shared" si="1"/>
        <v>3560</v>
      </c>
      <c r="V56" s="21">
        <f t="shared" si="2"/>
        <v>100</v>
      </c>
    </row>
    <row r="57" ht="14.25" customHeight="1">
      <c r="A57" s="38">
        <v>0.22430555555555556</v>
      </c>
      <c r="B57" s="36">
        <v>96.0</v>
      </c>
      <c r="C57" s="36">
        <v>9.3</v>
      </c>
      <c r="D57" s="36">
        <v>789.0</v>
      </c>
      <c r="E57" s="36">
        <v>745.0</v>
      </c>
      <c r="F57" s="36">
        <v>0.94</v>
      </c>
      <c r="G57" s="36">
        <v>17.0</v>
      </c>
      <c r="H57" s="36">
        <v>1.18</v>
      </c>
      <c r="I57" s="36">
        <v>19.9</v>
      </c>
      <c r="J57" s="36">
        <v>88.3</v>
      </c>
      <c r="K57" s="36">
        <v>77.0</v>
      </c>
      <c r="L57" s="36">
        <v>56.3</v>
      </c>
      <c r="M57" s="36">
        <v>103.0</v>
      </c>
      <c r="N57" s="36">
        <v>44.0</v>
      </c>
      <c r="O57" s="36">
        <v>17.0</v>
      </c>
      <c r="P57" s="36">
        <v>27.0</v>
      </c>
      <c r="Q57" s="36">
        <v>0.32</v>
      </c>
      <c r="R57" s="36">
        <v>1.14</v>
      </c>
      <c r="S57" s="36">
        <v>2.43</v>
      </c>
      <c r="T57" s="36">
        <v>3.57</v>
      </c>
      <c r="U57" s="21">
        <f t="shared" si="1"/>
        <v>3570</v>
      </c>
      <c r="V57" s="21">
        <f t="shared" si="2"/>
        <v>0</v>
      </c>
    </row>
    <row r="58" ht="14.25" customHeight="1">
      <c r="A58" s="38">
        <v>0.22777777777777777</v>
      </c>
      <c r="B58" s="36">
        <v>99.0</v>
      </c>
      <c r="C58" s="36">
        <v>9.3</v>
      </c>
      <c r="D58" s="36">
        <v>789.0</v>
      </c>
      <c r="E58" s="36">
        <v>745.0</v>
      </c>
      <c r="F58" s="36">
        <v>0.94</v>
      </c>
      <c r="G58" s="36">
        <v>17.0</v>
      </c>
      <c r="H58" s="36">
        <v>1.18</v>
      </c>
      <c r="I58" s="36">
        <v>19.9</v>
      </c>
      <c r="J58" s="36">
        <v>88.3</v>
      </c>
      <c r="K58" s="36">
        <v>77.0</v>
      </c>
      <c r="L58" s="36">
        <v>56.3</v>
      </c>
      <c r="M58" s="36">
        <v>103.0</v>
      </c>
      <c r="N58" s="36">
        <v>44.0</v>
      </c>
      <c r="O58" s="36">
        <v>17.0</v>
      </c>
      <c r="P58" s="36">
        <v>27.0</v>
      </c>
      <c r="Q58" s="36">
        <v>0.32</v>
      </c>
      <c r="R58" s="36">
        <v>1.14</v>
      </c>
      <c r="S58" s="36">
        <v>2.43</v>
      </c>
      <c r="T58" s="36">
        <v>3.57</v>
      </c>
      <c r="U58" s="21">
        <f t="shared" si="1"/>
        <v>3570</v>
      </c>
      <c r="V58" s="21">
        <f t="shared" si="2"/>
        <v>108900</v>
      </c>
    </row>
    <row r="59" ht="14.25" customHeight="1">
      <c r="A59" s="38">
        <v>0.23055555555555557</v>
      </c>
      <c r="B59" s="36">
        <v>102.0</v>
      </c>
      <c r="C59" s="36">
        <v>9.1</v>
      </c>
      <c r="D59" s="36">
        <v>775.0</v>
      </c>
      <c r="E59" s="36">
        <v>730.0</v>
      </c>
      <c r="F59" s="36">
        <v>0.94</v>
      </c>
      <c r="G59" s="36">
        <v>15.0</v>
      </c>
      <c r="H59" s="36">
        <v>1.23</v>
      </c>
      <c r="I59" s="36">
        <v>19.0</v>
      </c>
      <c r="J59" s="36">
        <v>88.8</v>
      </c>
      <c r="K59" s="36">
        <v>77.0</v>
      </c>
      <c r="L59" s="36">
        <v>56.3</v>
      </c>
      <c r="M59" s="36">
        <v>102.0</v>
      </c>
      <c r="N59" s="36">
        <v>45.0</v>
      </c>
      <c r="O59" s="36">
        <v>15.0</v>
      </c>
      <c r="P59" s="36">
        <v>26.0</v>
      </c>
      <c r="Q59" s="36">
        <v>0.34</v>
      </c>
      <c r="R59" s="36">
        <v>1.34</v>
      </c>
      <c r="S59" s="36">
        <v>2.57</v>
      </c>
      <c r="T59" s="36">
        <v>3.9</v>
      </c>
      <c r="U59" s="21">
        <f t="shared" si="1"/>
        <v>3900</v>
      </c>
      <c r="V59" s="21">
        <f t="shared" si="2"/>
        <v>6400</v>
      </c>
    </row>
    <row r="60" ht="14.25" customHeight="1">
      <c r="A60" s="38">
        <v>0.23333333333333334</v>
      </c>
      <c r="B60" s="36">
        <v>103.0</v>
      </c>
      <c r="C60" s="36">
        <v>9.2</v>
      </c>
      <c r="D60" s="36">
        <v>784.0</v>
      </c>
      <c r="E60" s="36">
        <v>739.0</v>
      </c>
      <c r="F60" s="36">
        <v>0.94</v>
      </c>
      <c r="G60" s="36">
        <v>15.0</v>
      </c>
      <c r="H60" s="36">
        <v>1.27</v>
      </c>
      <c r="I60" s="36">
        <v>19.1</v>
      </c>
      <c r="J60" s="36">
        <v>88.7</v>
      </c>
      <c r="K60" s="36">
        <v>78.0</v>
      </c>
      <c r="L60" s="36">
        <v>56.0</v>
      </c>
      <c r="M60" s="36">
        <v>102.0</v>
      </c>
      <c r="N60" s="36">
        <v>45.0</v>
      </c>
      <c r="O60" s="36">
        <v>15.0</v>
      </c>
      <c r="P60" s="36">
        <v>27.0</v>
      </c>
      <c r="Q60" s="36">
        <v>0.34</v>
      </c>
      <c r="R60" s="36">
        <v>1.37</v>
      </c>
      <c r="S60" s="36">
        <v>2.61</v>
      </c>
      <c r="T60" s="36">
        <v>3.98</v>
      </c>
      <c r="U60" s="21">
        <f t="shared" si="1"/>
        <v>3980</v>
      </c>
      <c r="V60" s="21">
        <f t="shared" si="2"/>
        <v>400</v>
      </c>
    </row>
    <row r="61" ht="14.25" customHeight="1">
      <c r="A61" s="38">
        <v>0.2361111111111111</v>
      </c>
      <c r="B61" s="36">
        <v>106.0</v>
      </c>
      <c r="C61" s="36">
        <v>9.6</v>
      </c>
      <c r="D61" s="36">
        <v>814.0</v>
      </c>
      <c r="E61" s="36">
        <v>758.0</v>
      </c>
      <c r="F61" s="36">
        <v>0.93</v>
      </c>
      <c r="G61" s="36">
        <v>15.0</v>
      </c>
      <c r="H61" s="36">
        <v>1.28</v>
      </c>
      <c r="I61" s="36">
        <v>19.4</v>
      </c>
      <c r="J61" s="36">
        <v>88.6</v>
      </c>
      <c r="K61" s="36">
        <v>79.0</v>
      </c>
      <c r="L61" s="36">
        <v>55.4</v>
      </c>
      <c r="M61" s="36">
        <v>101.0</v>
      </c>
      <c r="N61" s="36">
        <v>45.0</v>
      </c>
      <c r="O61" s="36">
        <v>15.0</v>
      </c>
      <c r="P61" s="36">
        <v>28.0</v>
      </c>
      <c r="Q61" s="36">
        <v>0.34</v>
      </c>
      <c r="R61" s="36">
        <v>1.34</v>
      </c>
      <c r="S61" s="36">
        <v>2.62</v>
      </c>
      <c r="T61" s="36">
        <v>3.96</v>
      </c>
      <c r="U61" s="21">
        <f t="shared" si="1"/>
        <v>3960</v>
      </c>
      <c r="V61" s="21">
        <f t="shared" si="2"/>
        <v>400</v>
      </c>
    </row>
    <row r="62" ht="14.25" customHeight="1">
      <c r="A62" s="38">
        <v>0.23819444444444443</v>
      </c>
      <c r="B62" s="36">
        <v>107.0</v>
      </c>
      <c r="C62" s="36">
        <v>9.8</v>
      </c>
      <c r="D62" s="36">
        <v>835.0</v>
      </c>
      <c r="E62" s="36">
        <v>774.0</v>
      </c>
      <c r="F62" s="36">
        <v>0.93</v>
      </c>
      <c r="G62" s="36">
        <v>15.0</v>
      </c>
      <c r="H62" s="36">
        <v>1.3</v>
      </c>
      <c r="I62" s="36">
        <v>19.7</v>
      </c>
      <c r="J62" s="36">
        <v>88.4</v>
      </c>
      <c r="K62" s="36">
        <v>80.0</v>
      </c>
      <c r="L62" s="36">
        <v>54.9</v>
      </c>
      <c r="M62" s="36">
        <v>101.0</v>
      </c>
      <c r="N62" s="36">
        <v>45.0</v>
      </c>
      <c r="O62" s="36">
        <v>15.0</v>
      </c>
      <c r="P62" s="36">
        <v>28.0</v>
      </c>
      <c r="Q62" s="36">
        <v>0.34</v>
      </c>
      <c r="R62" s="36">
        <v>1.35</v>
      </c>
      <c r="S62" s="36">
        <v>2.59</v>
      </c>
      <c r="T62" s="36">
        <v>3.94</v>
      </c>
      <c r="U62" s="21">
        <f t="shared" si="1"/>
        <v>3940</v>
      </c>
      <c r="V62" s="21">
        <f t="shared" si="2"/>
        <v>0</v>
      </c>
    </row>
    <row r="63" ht="14.25" customHeight="1">
      <c r="A63" s="38">
        <v>0.24097222222222223</v>
      </c>
      <c r="B63" s="36">
        <v>110.0</v>
      </c>
      <c r="C63" s="36">
        <v>10.2</v>
      </c>
      <c r="D63" s="36">
        <v>868.0</v>
      </c>
      <c r="E63" s="36">
        <v>801.0</v>
      </c>
      <c r="F63" s="36">
        <v>0.92</v>
      </c>
      <c r="G63" s="36">
        <v>15.0</v>
      </c>
      <c r="H63" s="36">
        <v>1.33</v>
      </c>
      <c r="I63" s="36">
        <v>20.3</v>
      </c>
      <c r="J63" s="36">
        <v>88.0</v>
      </c>
      <c r="K63" s="36">
        <v>81.0</v>
      </c>
      <c r="L63" s="36">
        <v>54.3</v>
      </c>
      <c r="M63" s="36">
        <v>101.0</v>
      </c>
      <c r="N63" s="36">
        <v>46.0</v>
      </c>
      <c r="O63" s="36">
        <v>15.0</v>
      </c>
      <c r="P63" s="36">
        <v>29.0</v>
      </c>
      <c r="Q63" s="36">
        <v>0.34</v>
      </c>
      <c r="R63" s="36">
        <v>1.32</v>
      </c>
      <c r="S63" s="36">
        <v>2.62</v>
      </c>
      <c r="T63" s="36">
        <v>3.94</v>
      </c>
      <c r="U63" s="21">
        <f t="shared" si="1"/>
        <v>3940</v>
      </c>
      <c r="V63" s="21">
        <f t="shared" si="2"/>
        <v>6400</v>
      </c>
    </row>
    <row r="64" ht="14.25" customHeight="1">
      <c r="A64" s="38">
        <v>0.24305555555555555</v>
      </c>
      <c r="B64" s="36">
        <v>111.0</v>
      </c>
      <c r="C64" s="36">
        <v>10.4</v>
      </c>
      <c r="D64" s="36">
        <v>883.0</v>
      </c>
      <c r="E64" s="36">
        <v>815.0</v>
      </c>
      <c r="F64" s="36">
        <v>0.92</v>
      </c>
      <c r="G64" s="36">
        <v>16.0</v>
      </c>
      <c r="H64" s="36">
        <v>1.33</v>
      </c>
      <c r="I64" s="36">
        <v>20.6</v>
      </c>
      <c r="J64" s="36">
        <v>87.8</v>
      </c>
      <c r="K64" s="36">
        <v>82.0</v>
      </c>
      <c r="L64" s="36">
        <v>53.9</v>
      </c>
      <c r="M64" s="36">
        <v>100.0</v>
      </c>
      <c r="N64" s="36">
        <v>46.0</v>
      </c>
      <c r="O64" s="36">
        <v>16.0</v>
      </c>
      <c r="P64" s="36">
        <v>30.0</v>
      </c>
      <c r="Q64" s="36">
        <v>0.34</v>
      </c>
      <c r="R64" s="36">
        <v>1.3</v>
      </c>
      <c r="S64" s="36">
        <v>2.56</v>
      </c>
      <c r="T64" s="36">
        <v>3.86</v>
      </c>
      <c r="U64" s="21">
        <f t="shared" si="1"/>
        <v>3860</v>
      </c>
      <c r="V64" s="21">
        <f t="shared" si="2"/>
        <v>90000</v>
      </c>
    </row>
    <row r="65" ht="14.25" customHeight="1">
      <c r="A65" s="38">
        <v>0.24583333333333332</v>
      </c>
      <c r="B65" s="36">
        <v>112.0</v>
      </c>
      <c r="C65" s="36">
        <v>10.9</v>
      </c>
      <c r="D65" s="36">
        <v>928.0</v>
      </c>
      <c r="E65" s="36">
        <v>854.0</v>
      </c>
      <c r="F65" s="36">
        <v>0.92</v>
      </c>
      <c r="G65" s="36">
        <v>17.0</v>
      </c>
      <c r="H65" s="36">
        <v>1.3</v>
      </c>
      <c r="I65" s="36">
        <v>22.0</v>
      </c>
      <c r="J65" s="36">
        <v>87.1</v>
      </c>
      <c r="K65" s="36">
        <v>83.0</v>
      </c>
      <c r="L65" s="36">
        <v>53.1</v>
      </c>
      <c r="M65" s="36">
        <v>100.0</v>
      </c>
      <c r="N65" s="36">
        <v>46.0</v>
      </c>
      <c r="O65" s="36">
        <v>17.0</v>
      </c>
      <c r="P65" s="36">
        <v>31.0</v>
      </c>
      <c r="Q65" s="36">
        <v>0.31</v>
      </c>
      <c r="R65" s="36">
        <v>1.11</v>
      </c>
      <c r="S65" s="36">
        <v>2.45</v>
      </c>
      <c r="T65" s="36">
        <v>3.56</v>
      </c>
      <c r="U65" s="21">
        <f t="shared" si="1"/>
        <v>3560</v>
      </c>
      <c r="V65" s="21">
        <f t="shared" si="2"/>
        <v>8100</v>
      </c>
    </row>
    <row r="66" ht="14.25" customHeight="1">
      <c r="A66" s="38">
        <v>0.24861111111111112</v>
      </c>
      <c r="B66" s="36">
        <v>115.0</v>
      </c>
      <c r="C66" s="36">
        <v>11.2</v>
      </c>
      <c r="D66" s="36">
        <v>948.0</v>
      </c>
      <c r="E66" s="36">
        <v>878.0</v>
      </c>
      <c r="F66" s="36">
        <v>0.93</v>
      </c>
      <c r="G66" s="36">
        <v>16.0</v>
      </c>
      <c r="H66" s="36">
        <v>1.37</v>
      </c>
      <c r="I66" s="36">
        <v>22.5</v>
      </c>
      <c r="J66" s="36">
        <v>86.8</v>
      </c>
      <c r="K66" s="36">
        <v>83.0</v>
      </c>
      <c r="L66" s="36">
        <v>53.1</v>
      </c>
      <c r="M66" s="36">
        <v>101.0</v>
      </c>
      <c r="N66" s="36">
        <v>46.0</v>
      </c>
      <c r="O66" s="36">
        <v>16.0</v>
      </c>
      <c r="P66" s="36">
        <v>32.0</v>
      </c>
      <c r="Q66" s="36">
        <v>0.32</v>
      </c>
      <c r="R66" s="36">
        <v>1.16</v>
      </c>
      <c r="S66" s="36">
        <v>2.49</v>
      </c>
      <c r="T66" s="36">
        <v>3.65</v>
      </c>
      <c r="U66" s="21">
        <f t="shared" si="1"/>
        <v>3650</v>
      </c>
      <c r="V66" s="21">
        <f t="shared" si="2"/>
        <v>400</v>
      </c>
    </row>
    <row r="67" ht="14.25" customHeight="1">
      <c r="A67" s="38">
        <v>0.2513888888888889</v>
      </c>
      <c r="B67" s="36">
        <v>117.0</v>
      </c>
      <c r="C67" s="36">
        <v>10.9</v>
      </c>
      <c r="D67" s="36">
        <v>925.0</v>
      </c>
      <c r="E67" s="36">
        <v>860.0</v>
      </c>
      <c r="F67" s="36">
        <v>0.93</v>
      </c>
      <c r="G67" s="36">
        <v>17.0</v>
      </c>
      <c r="H67" s="36">
        <v>1.34</v>
      </c>
      <c r="I67" s="36">
        <v>22.2</v>
      </c>
      <c r="J67" s="36">
        <v>86.9</v>
      </c>
      <c r="K67" s="36">
        <v>83.0</v>
      </c>
      <c r="L67" s="36">
        <v>53.1</v>
      </c>
      <c r="M67" s="36">
        <v>101.0</v>
      </c>
      <c r="N67" s="36">
        <v>45.0</v>
      </c>
      <c r="O67" s="36">
        <v>17.0</v>
      </c>
      <c r="P67" s="36">
        <v>31.0</v>
      </c>
      <c r="Q67" s="36">
        <v>0.32</v>
      </c>
      <c r="R67" s="36">
        <v>1.16</v>
      </c>
      <c r="S67" s="36">
        <v>2.47</v>
      </c>
      <c r="T67" s="36">
        <v>3.63</v>
      </c>
      <c r="U67" s="21">
        <f t="shared" si="1"/>
        <v>3630</v>
      </c>
      <c r="V67" s="21">
        <f t="shared" si="2"/>
        <v>8100</v>
      </c>
    </row>
    <row r="68" ht="14.25" customHeight="1">
      <c r="A68" s="38">
        <v>0.25416666666666665</v>
      </c>
      <c r="B68" s="36">
        <v>118.0</v>
      </c>
      <c r="C68" s="36">
        <v>10.9</v>
      </c>
      <c r="D68" s="36">
        <v>923.0</v>
      </c>
      <c r="E68" s="36">
        <v>851.0</v>
      </c>
      <c r="F68" s="36">
        <v>0.92</v>
      </c>
      <c r="G68" s="36">
        <v>17.0</v>
      </c>
      <c r="H68" s="36">
        <v>1.29</v>
      </c>
      <c r="I68" s="36">
        <v>21.9</v>
      </c>
      <c r="J68" s="36">
        <v>87.1</v>
      </c>
      <c r="K68" s="36">
        <v>84.0</v>
      </c>
      <c r="L68" s="36">
        <v>52.8</v>
      </c>
      <c r="M68" s="36">
        <v>100.0</v>
      </c>
      <c r="N68" s="36">
        <v>46.0</v>
      </c>
      <c r="O68" s="36">
        <v>17.0</v>
      </c>
      <c r="P68" s="36">
        <v>31.0</v>
      </c>
      <c r="Q68" s="36">
        <v>0.31</v>
      </c>
      <c r="R68" s="36">
        <v>1.11</v>
      </c>
      <c r="S68" s="36">
        <v>2.43</v>
      </c>
      <c r="T68" s="36">
        <v>3.54</v>
      </c>
      <c r="U68" s="21">
        <f t="shared" si="1"/>
        <v>3540</v>
      </c>
      <c r="V68" s="21">
        <f t="shared" si="2"/>
        <v>8100</v>
      </c>
    </row>
    <row r="69" ht="14.25" customHeight="1">
      <c r="A69" s="38">
        <v>0.2569444444444444</v>
      </c>
      <c r="B69" s="36">
        <v>121.0</v>
      </c>
      <c r="C69" s="36">
        <v>11.1</v>
      </c>
      <c r="D69" s="36">
        <v>943.0</v>
      </c>
      <c r="E69" s="36">
        <v>875.0</v>
      </c>
      <c r="F69" s="36">
        <v>0.93</v>
      </c>
      <c r="G69" s="36">
        <v>17.0</v>
      </c>
      <c r="H69" s="36">
        <v>1.36</v>
      </c>
      <c r="I69" s="36">
        <v>22.4</v>
      </c>
      <c r="J69" s="36">
        <v>86.8</v>
      </c>
      <c r="K69" s="36">
        <v>84.0</v>
      </c>
      <c r="L69" s="36">
        <v>52.6</v>
      </c>
      <c r="M69" s="36">
        <v>100.0</v>
      </c>
      <c r="N69" s="36">
        <v>46.0</v>
      </c>
      <c r="O69" s="36">
        <v>17.0</v>
      </c>
      <c r="P69" s="36">
        <v>32.0</v>
      </c>
      <c r="Q69" s="36">
        <v>0.32</v>
      </c>
      <c r="R69" s="36">
        <v>1.16</v>
      </c>
      <c r="S69" s="36">
        <v>2.48</v>
      </c>
      <c r="T69" s="36">
        <v>3.63</v>
      </c>
      <c r="U69" s="21">
        <f t="shared" si="1"/>
        <v>3630</v>
      </c>
      <c r="V69" s="21">
        <f t="shared" si="2"/>
        <v>36100</v>
      </c>
    </row>
    <row r="70" ht="14.25" customHeight="1">
      <c r="A70" s="38">
        <v>0.2590277777777778</v>
      </c>
      <c r="B70" s="36">
        <v>122.0</v>
      </c>
      <c r="C70" s="36">
        <v>11.2</v>
      </c>
      <c r="D70" s="36">
        <v>950.0</v>
      </c>
      <c r="E70" s="36">
        <v>883.0</v>
      </c>
      <c r="F70" s="36">
        <v>0.93</v>
      </c>
      <c r="G70" s="36">
        <v>16.0</v>
      </c>
      <c r="H70" s="36">
        <v>1.43</v>
      </c>
      <c r="I70" s="36">
        <v>22.4</v>
      </c>
      <c r="J70" s="36">
        <v>86.8</v>
      </c>
      <c r="K70" s="36">
        <v>83.0</v>
      </c>
      <c r="L70" s="36">
        <v>53.2</v>
      </c>
      <c r="M70" s="36">
        <v>100.0</v>
      </c>
      <c r="N70" s="36">
        <v>46.0</v>
      </c>
      <c r="O70" s="36">
        <v>16.0</v>
      </c>
      <c r="P70" s="36">
        <v>32.0</v>
      </c>
      <c r="Q70" s="36">
        <v>0.34</v>
      </c>
      <c r="R70" s="36">
        <v>1.28</v>
      </c>
      <c r="S70" s="36">
        <v>2.54</v>
      </c>
      <c r="T70" s="36">
        <v>3.82</v>
      </c>
      <c r="U70" s="21">
        <f t="shared" si="1"/>
        <v>3820</v>
      </c>
      <c r="V70" s="21">
        <f t="shared" si="2"/>
        <v>2500</v>
      </c>
    </row>
    <row r="71" ht="14.25" customHeight="1">
      <c r="A71" s="38">
        <v>0.26180555555555557</v>
      </c>
      <c r="B71" s="36">
        <v>124.0</v>
      </c>
      <c r="C71" s="36">
        <v>11.4</v>
      </c>
      <c r="D71" s="36">
        <v>969.0</v>
      </c>
      <c r="E71" s="36">
        <v>894.0</v>
      </c>
      <c r="F71" s="36">
        <v>0.92</v>
      </c>
      <c r="G71" s="36">
        <v>16.0</v>
      </c>
      <c r="H71" s="36">
        <v>1.45</v>
      </c>
      <c r="I71" s="36">
        <v>22.4</v>
      </c>
      <c r="J71" s="36">
        <v>86.8</v>
      </c>
      <c r="K71" s="36">
        <v>83.0</v>
      </c>
      <c r="L71" s="36">
        <v>53.2</v>
      </c>
      <c r="M71" s="36">
        <v>100.0</v>
      </c>
      <c r="N71" s="36">
        <v>46.0</v>
      </c>
      <c r="O71" s="36">
        <v>16.0</v>
      </c>
      <c r="P71" s="36">
        <v>33.0</v>
      </c>
      <c r="Q71" s="36">
        <v>0.34</v>
      </c>
      <c r="R71" s="36">
        <v>1.32</v>
      </c>
      <c r="S71" s="36">
        <v>2.55</v>
      </c>
      <c r="T71" s="36">
        <v>3.87</v>
      </c>
      <c r="U71" s="21">
        <f t="shared" si="1"/>
        <v>3870</v>
      </c>
      <c r="V71" s="21">
        <f t="shared" si="2"/>
        <v>3600</v>
      </c>
    </row>
    <row r="72" ht="14.25" customHeight="1">
      <c r="A72" s="38">
        <v>0.26458333333333334</v>
      </c>
      <c r="B72" s="36">
        <v>126.0</v>
      </c>
      <c r="C72" s="36">
        <v>11.7</v>
      </c>
      <c r="D72" s="36">
        <v>993.0</v>
      </c>
      <c r="E72" s="36">
        <v>909.0</v>
      </c>
      <c r="F72" s="36">
        <v>0.92</v>
      </c>
      <c r="G72" s="36">
        <v>16.0</v>
      </c>
      <c r="H72" s="36">
        <v>1.44</v>
      </c>
      <c r="I72" s="36">
        <v>22.7</v>
      </c>
      <c r="J72" s="36">
        <v>86.6</v>
      </c>
      <c r="K72" s="36">
        <v>83.0</v>
      </c>
      <c r="L72" s="36">
        <v>52.8</v>
      </c>
      <c r="M72" s="36">
        <v>100.0</v>
      </c>
      <c r="N72" s="36">
        <v>46.0</v>
      </c>
      <c r="O72" s="36">
        <v>16.0</v>
      </c>
      <c r="P72" s="36">
        <v>34.0</v>
      </c>
      <c r="Q72" s="36">
        <v>0.34</v>
      </c>
      <c r="R72" s="36">
        <v>1.3</v>
      </c>
      <c r="S72" s="36">
        <v>2.51</v>
      </c>
      <c r="T72" s="36">
        <v>3.81</v>
      </c>
      <c r="U72" s="21">
        <f t="shared" si="1"/>
        <v>3810</v>
      </c>
      <c r="V72" s="21">
        <f t="shared" si="2"/>
        <v>10000</v>
      </c>
    </row>
    <row r="73" ht="14.25" customHeight="1">
      <c r="A73" s="38">
        <v>0.2673611111111111</v>
      </c>
      <c r="B73" s="36">
        <v>128.0</v>
      </c>
      <c r="C73" s="36">
        <v>11.9</v>
      </c>
      <c r="D73" s="36">
        <v>1008.0</v>
      </c>
      <c r="E73" s="36">
        <v>916.0</v>
      </c>
      <c r="F73" s="36">
        <v>0.91</v>
      </c>
      <c r="G73" s="36">
        <v>16.0</v>
      </c>
      <c r="H73" s="36">
        <v>1.4</v>
      </c>
      <c r="I73" s="36">
        <v>22.7</v>
      </c>
      <c r="J73" s="36">
        <v>86.6</v>
      </c>
      <c r="K73" s="36">
        <v>84.0</v>
      </c>
      <c r="L73" s="36">
        <v>52.7</v>
      </c>
      <c r="M73" s="36">
        <v>99.0</v>
      </c>
      <c r="N73" s="36">
        <v>47.0</v>
      </c>
      <c r="O73" s="36">
        <v>16.0</v>
      </c>
      <c r="P73" s="36">
        <v>34.0</v>
      </c>
      <c r="Q73" s="36">
        <v>0.34</v>
      </c>
      <c r="R73" s="36">
        <v>1.26</v>
      </c>
      <c r="S73" s="36">
        <v>2.44</v>
      </c>
      <c r="T73" s="36">
        <v>3.71</v>
      </c>
      <c r="U73" s="21">
        <f t="shared" si="1"/>
        <v>3710</v>
      </c>
      <c r="V73" s="21">
        <f t="shared" si="2"/>
        <v>2500</v>
      </c>
    </row>
    <row r="74" ht="14.25" customHeight="1">
      <c r="A74" s="38">
        <v>0.2701388888888889</v>
      </c>
      <c r="B74" s="36">
        <v>130.0</v>
      </c>
      <c r="C74" s="36">
        <v>12.2</v>
      </c>
      <c r="D74" s="36">
        <v>1034.0</v>
      </c>
      <c r="E74" s="36">
        <v>944.0</v>
      </c>
      <c r="F74" s="36">
        <v>0.91</v>
      </c>
      <c r="G74" s="36">
        <v>16.0</v>
      </c>
      <c r="H74" s="36">
        <v>1.46</v>
      </c>
      <c r="I74" s="36">
        <v>23.3</v>
      </c>
      <c r="J74" s="36">
        <v>86.3</v>
      </c>
      <c r="K74" s="36">
        <v>85.0</v>
      </c>
      <c r="L74" s="36">
        <v>52.2</v>
      </c>
      <c r="M74" s="36">
        <v>99.0</v>
      </c>
      <c r="N74" s="36">
        <v>47.0</v>
      </c>
      <c r="O74" s="36">
        <v>16.0</v>
      </c>
      <c r="P74" s="36">
        <v>35.0</v>
      </c>
      <c r="Q74" s="36">
        <v>0.34</v>
      </c>
      <c r="R74" s="36">
        <v>1.29</v>
      </c>
      <c r="S74" s="36">
        <v>2.47</v>
      </c>
      <c r="T74" s="36">
        <v>3.76</v>
      </c>
      <c r="U74" s="21">
        <f t="shared" si="1"/>
        <v>3760</v>
      </c>
      <c r="V74" s="21">
        <f t="shared" si="2"/>
        <v>14400</v>
      </c>
    </row>
    <row r="75" ht="14.25" customHeight="1">
      <c r="A75" s="38">
        <v>0.27291666666666664</v>
      </c>
      <c r="B75" s="36">
        <v>132.0</v>
      </c>
      <c r="C75" s="36">
        <v>12.5</v>
      </c>
      <c r="D75" s="36">
        <v>1060.0</v>
      </c>
      <c r="E75" s="36">
        <v>974.0</v>
      </c>
      <c r="F75" s="36">
        <v>0.92</v>
      </c>
      <c r="G75" s="36">
        <v>15.0</v>
      </c>
      <c r="H75" s="36">
        <v>1.54</v>
      </c>
      <c r="I75" s="36">
        <v>23.8</v>
      </c>
      <c r="J75" s="36">
        <v>86.0</v>
      </c>
      <c r="K75" s="36">
        <v>85.0</v>
      </c>
      <c r="L75" s="36">
        <v>51.8</v>
      </c>
      <c r="M75" s="36">
        <v>99.0</v>
      </c>
      <c r="N75" s="36">
        <v>47.0</v>
      </c>
      <c r="O75" s="36">
        <v>15.0</v>
      </c>
      <c r="P75" s="36">
        <v>36.0</v>
      </c>
      <c r="Q75" s="36">
        <v>0.35</v>
      </c>
      <c r="R75" s="36">
        <v>1.38</v>
      </c>
      <c r="S75" s="36">
        <v>2.5</v>
      </c>
      <c r="T75" s="36">
        <v>3.88</v>
      </c>
      <c r="U75" s="21">
        <f t="shared" si="1"/>
        <v>3880</v>
      </c>
      <c r="V75" s="21">
        <f t="shared" si="2"/>
        <v>400</v>
      </c>
    </row>
    <row r="76" ht="14.25" customHeight="1">
      <c r="A76" s="38">
        <v>0.27569444444444446</v>
      </c>
      <c r="B76" s="36">
        <v>134.0</v>
      </c>
      <c r="C76" s="36">
        <v>12.7</v>
      </c>
      <c r="D76" s="36">
        <v>1077.0</v>
      </c>
      <c r="E76" s="36">
        <v>990.0</v>
      </c>
      <c r="F76" s="36">
        <v>0.92</v>
      </c>
      <c r="G76" s="36">
        <v>16.0</v>
      </c>
      <c r="H76" s="36">
        <v>1.55</v>
      </c>
      <c r="I76" s="36">
        <v>24.1</v>
      </c>
      <c r="J76" s="36">
        <v>85.8</v>
      </c>
      <c r="K76" s="36">
        <v>86.0</v>
      </c>
      <c r="L76" s="36">
        <v>51.2</v>
      </c>
      <c r="M76" s="36">
        <v>99.0</v>
      </c>
      <c r="N76" s="36">
        <v>47.0</v>
      </c>
      <c r="O76" s="36">
        <v>16.0</v>
      </c>
      <c r="P76" s="36">
        <v>36.0</v>
      </c>
      <c r="Q76" s="36">
        <v>0.35</v>
      </c>
      <c r="R76" s="36">
        <v>1.34</v>
      </c>
      <c r="S76" s="36">
        <v>2.52</v>
      </c>
      <c r="T76" s="36">
        <v>3.86</v>
      </c>
      <c r="U76" s="21">
        <f t="shared" si="1"/>
        <v>3860</v>
      </c>
      <c r="V76" s="21">
        <f t="shared" si="2"/>
        <v>8100</v>
      </c>
    </row>
    <row r="77" ht="14.25" customHeight="1">
      <c r="A77" s="38">
        <v>0.2777777777777778</v>
      </c>
      <c r="B77" s="36">
        <v>135.0</v>
      </c>
      <c r="C77" s="36">
        <v>12.8</v>
      </c>
      <c r="D77" s="36">
        <v>1091.0</v>
      </c>
      <c r="E77" s="36">
        <v>1006.0</v>
      </c>
      <c r="F77" s="36">
        <v>0.92</v>
      </c>
      <c r="G77" s="36">
        <v>15.0</v>
      </c>
      <c r="H77" s="36">
        <v>1.61</v>
      </c>
      <c r="I77" s="36">
        <v>24.4</v>
      </c>
      <c r="J77" s="36">
        <v>85.6</v>
      </c>
      <c r="K77" s="36">
        <v>88.0</v>
      </c>
      <c r="L77" s="36">
        <v>50.4</v>
      </c>
      <c r="M77" s="36">
        <v>99.0</v>
      </c>
      <c r="N77" s="36">
        <v>47.0</v>
      </c>
      <c r="O77" s="36">
        <v>15.0</v>
      </c>
      <c r="P77" s="36">
        <v>37.0</v>
      </c>
      <c r="Q77" s="36">
        <v>0.35</v>
      </c>
      <c r="R77" s="36">
        <v>1.37</v>
      </c>
      <c r="S77" s="36">
        <v>2.58</v>
      </c>
      <c r="T77" s="36">
        <v>3.95</v>
      </c>
      <c r="U77" s="21">
        <f t="shared" si="1"/>
        <v>3950</v>
      </c>
      <c r="V77" s="21">
        <f t="shared" si="2"/>
        <v>14400</v>
      </c>
    </row>
    <row r="78" ht="14.25" customHeight="1">
      <c r="A78" s="38">
        <v>0.28055555555555556</v>
      </c>
      <c r="B78" s="36">
        <v>138.0</v>
      </c>
      <c r="C78" s="36">
        <v>13.2</v>
      </c>
      <c r="D78" s="36">
        <v>1120.0</v>
      </c>
      <c r="E78" s="36">
        <v>1041.0</v>
      </c>
      <c r="F78" s="36">
        <v>0.93</v>
      </c>
      <c r="G78" s="36">
        <v>15.0</v>
      </c>
      <c r="H78" s="36">
        <v>1.7</v>
      </c>
      <c r="I78" s="36">
        <v>25.1</v>
      </c>
      <c r="J78" s="36">
        <v>85.2</v>
      </c>
      <c r="K78" s="36">
        <v>88.0</v>
      </c>
      <c r="L78" s="36">
        <v>50.4</v>
      </c>
      <c r="M78" s="36">
        <v>99.0</v>
      </c>
      <c r="N78" s="36">
        <v>47.0</v>
      </c>
      <c r="O78" s="36">
        <v>15.0</v>
      </c>
      <c r="P78" s="36">
        <v>38.0</v>
      </c>
      <c r="Q78" s="36">
        <v>0.36</v>
      </c>
      <c r="R78" s="36">
        <v>1.45</v>
      </c>
      <c r="S78" s="36">
        <v>2.62</v>
      </c>
      <c r="T78" s="36">
        <v>4.07</v>
      </c>
      <c r="U78" s="21">
        <f t="shared" si="1"/>
        <v>4070</v>
      </c>
      <c r="V78" s="21">
        <f t="shared" si="2"/>
        <v>900</v>
      </c>
    </row>
    <row r="79" ht="14.25" customHeight="1">
      <c r="A79" s="38">
        <v>0.2833333333333333</v>
      </c>
      <c r="B79" s="36">
        <v>139.0</v>
      </c>
      <c r="C79" s="36">
        <v>13.3</v>
      </c>
      <c r="D79" s="36">
        <v>1130.0</v>
      </c>
      <c r="E79" s="36">
        <v>1052.0</v>
      </c>
      <c r="F79" s="36">
        <v>0.93</v>
      </c>
      <c r="G79" s="36">
        <v>15.0</v>
      </c>
      <c r="H79" s="36">
        <v>1.71</v>
      </c>
      <c r="I79" s="36">
        <v>25.4</v>
      </c>
      <c r="J79" s="36">
        <v>85.0</v>
      </c>
      <c r="K79" s="36">
        <v>88.0</v>
      </c>
      <c r="L79" s="36">
        <v>50.2</v>
      </c>
      <c r="M79" s="36">
        <v>99.0</v>
      </c>
      <c r="N79" s="36">
        <v>47.0</v>
      </c>
      <c r="O79" s="36">
        <v>15.0</v>
      </c>
      <c r="P79" s="36">
        <v>38.0</v>
      </c>
      <c r="Q79" s="36">
        <v>0.36</v>
      </c>
      <c r="R79" s="36">
        <v>1.45</v>
      </c>
      <c r="S79" s="36">
        <v>2.58</v>
      </c>
      <c r="T79" s="36">
        <v>4.04</v>
      </c>
      <c r="U79" s="21">
        <f t="shared" si="1"/>
        <v>4040</v>
      </c>
      <c r="V79" s="21">
        <f t="shared" si="2"/>
        <v>122500</v>
      </c>
    </row>
    <row r="80" ht="14.25" customHeight="1">
      <c r="A80" s="38">
        <v>0.2861111111111111</v>
      </c>
      <c r="B80" s="36">
        <v>142.0</v>
      </c>
      <c r="C80" s="36">
        <v>13.6</v>
      </c>
      <c r="D80" s="36">
        <v>1156.0</v>
      </c>
      <c r="E80" s="36">
        <v>1070.0</v>
      </c>
      <c r="F80" s="36">
        <v>0.93</v>
      </c>
      <c r="G80" s="36">
        <v>16.0</v>
      </c>
      <c r="H80" s="36">
        <v>1.6</v>
      </c>
      <c r="I80" s="36">
        <v>25.9</v>
      </c>
      <c r="J80" s="36">
        <v>84.7</v>
      </c>
      <c r="K80" s="36">
        <v>88.0</v>
      </c>
      <c r="L80" s="36">
        <v>50.0</v>
      </c>
      <c r="M80" s="36">
        <v>99.0</v>
      </c>
      <c r="N80" s="36">
        <v>47.0</v>
      </c>
      <c r="O80" s="36">
        <v>16.0</v>
      </c>
      <c r="P80" s="36">
        <v>39.0</v>
      </c>
      <c r="Q80" s="36">
        <v>0.34</v>
      </c>
      <c r="R80" s="36">
        <v>1.25</v>
      </c>
      <c r="S80" s="36">
        <v>2.45</v>
      </c>
      <c r="T80" s="36">
        <v>3.69</v>
      </c>
      <c r="U80" s="21">
        <f t="shared" si="1"/>
        <v>3690</v>
      </c>
      <c r="V80" s="21">
        <f t="shared" si="2"/>
        <v>900</v>
      </c>
    </row>
    <row r="81" ht="14.25" customHeight="1">
      <c r="A81" s="38">
        <v>0.28888888888888886</v>
      </c>
      <c r="B81" s="36">
        <v>144.0</v>
      </c>
      <c r="C81" s="36">
        <v>13.6</v>
      </c>
      <c r="D81" s="36">
        <v>1158.0</v>
      </c>
      <c r="E81" s="36">
        <v>1069.0</v>
      </c>
      <c r="F81" s="36">
        <v>0.92</v>
      </c>
      <c r="G81" s="36">
        <v>16.0</v>
      </c>
      <c r="H81" s="36">
        <v>1.58</v>
      </c>
      <c r="I81" s="36">
        <v>25.9</v>
      </c>
      <c r="J81" s="36">
        <v>84.7</v>
      </c>
      <c r="K81" s="36">
        <v>89.0</v>
      </c>
      <c r="L81" s="36">
        <v>49.9</v>
      </c>
      <c r="M81" s="36">
        <v>99.0</v>
      </c>
      <c r="N81" s="36">
        <v>48.0</v>
      </c>
      <c r="O81" s="36">
        <v>16.0</v>
      </c>
      <c r="P81" s="36">
        <v>39.0</v>
      </c>
      <c r="Q81" s="36">
        <v>0.34</v>
      </c>
      <c r="R81" s="36">
        <v>1.23</v>
      </c>
      <c r="S81" s="36">
        <v>2.43</v>
      </c>
      <c r="T81" s="36">
        <v>3.66</v>
      </c>
      <c r="U81" s="21">
        <f t="shared" si="1"/>
        <v>3660</v>
      </c>
      <c r="V81" s="21">
        <f t="shared" si="2"/>
        <v>3600</v>
      </c>
    </row>
    <row r="82" ht="14.25" customHeight="1">
      <c r="A82" s="38">
        <v>0.2916666666666667</v>
      </c>
      <c r="B82" s="36">
        <v>146.0</v>
      </c>
      <c r="C82" s="36">
        <v>13.8</v>
      </c>
      <c r="D82" s="36">
        <v>1172.0</v>
      </c>
      <c r="E82" s="36">
        <v>1088.0</v>
      </c>
      <c r="F82" s="36">
        <v>0.93</v>
      </c>
      <c r="G82" s="36">
        <v>17.0</v>
      </c>
      <c r="H82" s="36">
        <v>1.57</v>
      </c>
      <c r="I82" s="36">
        <v>26.1</v>
      </c>
      <c r="J82" s="36">
        <v>84.6</v>
      </c>
      <c r="K82" s="36">
        <v>88.0</v>
      </c>
      <c r="L82" s="36">
        <v>50.0</v>
      </c>
      <c r="M82" s="36">
        <v>99.0</v>
      </c>
      <c r="N82" s="36">
        <v>48.0</v>
      </c>
      <c r="O82" s="36">
        <v>17.0</v>
      </c>
      <c r="P82" s="36">
        <v>40.0</v>
      </c>
      <c r="Q82" s="36">
        <v>0.34</v>
      </c>
      <c r="R82" s="36">
        <v>1.21</v>
      </c>
      <c r="S82" s="36">
        <v>2.39</v>
      </c>
      <c r="T82" s="36">
        <v>3.6</v>
      </c>
      <c r="U82" s="21">
        <f t="shared" si="1"/>
        <v>3600</v>
      </c>
      <c r="V82" s="21">
        <f t="shared" si="2"/>
        <v>100</v>
      </c>
    </row>
    <row r="83" ht="14.25" customHeight="1">
      <c r="A83" s="38">
        <v>0.29444444444444445</v>
      </c>
      <c r="B83" s="36">
        <v>148.0</v>
      </c>
      <c r="C83" s="36">
        <v>14.2</v>
      </c>
      <c r="D83" s="36">
        <v>1208.0</v>
      </c>
      <c r="E83" s="36">
        <v>1128.0</v>
      </c>
      <c r="F83" s="36">
        <v>0.93</v>
      </c>
      <c r="G83" s="36">
        <v>17.0</v>
      </c>
      <c r="H83" s="36">
        <v>1.62</v>
      </c>
      <c r="I83" s="36">
        <v>27.0</v>
      </c>
      <c r="J83" s="36">
        <v>84.1</v>
      </c>
      <c r="K83" s="36">
        <v>90.0</v>
      </c>
      <c r="L83" s="36">
        <v>49.3</v>
      </c>
      <c r="M83" s="36">
        <v>99.0</v>
      </c>
      <c r="N83" s="36">
        <v>48.0</v>
      </c>
      <c r="O83" s="36">
        <v>17.0</v>
      </c>
      <c r="P83" s="36">
        <v>41.0</v>
      </c>
      <c r="Q83" s="36">
        <v>0.35</v>
      </c>
      <c r="R83" s="36">
        <v>1.27</v>
      </c>
      <c r="S83" s="36">
        <v>2.34</v>
      </c>
      <c r="T83" s="36">
        <v>3.61</v>
      </c>
      <c r="U83" s="21">
        <f t="shared" si="1"/>
        <v>3610</v>
      </c>
      <c r="V83" s="21">
        <f t="shared" si="2"/>
        <v>0</v>
      </c>
    </row>
    <row r="84" ht="14.25" customHeight="1">
      <c r="A84" s="38">
        <v>0.2965277777777778</v>
      </c>
      <c r="B84" s="36">
        <v>149.0</v>
      </c>
      <c r="C84" s="36">
        <v>14.4</v>
      </c>
      <c r="D84" s="36">
        <v>1226.0</v>
      </c>
      <c r="E84" s="36">
        <v>1152.0</v>
      </c>
      <c r="F84" s="36">
        <v>0.94</v>
      </c>
      <c r="G84" s="36">
        <v>17.0</v>
      </c>
      <c r="H84" s="36">
        <v>1.66</v>
      </c>
      <c r="I84" s="36">
        <v>27.5</v>
      </c>
      <c r="J84" s="36">
        <v>83.8</v>
      </c>
      <c r="K84" s="36">
        <v>90.0</v>
      </c>
      <c r="L84" s="36">
        <v>48.9</v>
      </c>
      <c r="M84" s="36">
        <v>99.0</v>
      </c>
      <c r="N84" s="36">
        <v>48.0</v>
      </c>
      <c r="O84" s="36">
        <v>17.0</v>
      </c>
      <c r="P84" s="36">
        <v>42.0</v>
      </c>
      <c r="Q84" s="36">
        <v>0.35</v>
      </c>
      <c r="R84" s="36">
        <v>1.28</v>
      </c>
      <c r="S84" s="36">
        <v>2.33</v>
      </c>
      <c r="T84" s="36">
        <v>3.61</v>
      </c>
      <c r="U84" s="21">
        <f t="shared" si="1"/>
        <v>3610</v>
      </c>
      <c r="V84" s="21">
        <f t="shared" si="2"/>
        <v>3600</v>
      </c>
    </row>
    <row r="85" ht="14.25" customHeight="1">
      <c r="A85" s="38">
        <v>0.29930555555555555</v>
      </c>
      <c r="B85" s="36">
        <v>151.0</v>
      </c>
      <c r="C85" s="36">
        <v>14.6</v>
      </c>
      <c r="D85" s="36">
        <v>1240.0</v>
      </c>
      <c r="E85" s="36">
        <v>1167.0</v>
      </c>
      <c r="F85" s="36">
        <v>0.94</v>
      </c>
      <c r="G85" s="36">
        <v>16.0</v>
      </c>
      <c r="H85" s="36">
        <v>1.66</v>
      </c>
      <c r="I85" s="36">
        <v>27.2</v>
      </c>
      <c r="J85" s="36">
        <v>84.0</v>
      </c>
      <c r="K85" s="36">
        <v>92.0</v>
      </c>
      <c r="L85" s="36">
        <v>48.2</v>
      </c>
      <c r="M85" s="36">
        <v>99.0</v>
      </c>
      <c r="N85" s="36">
        <v>48.0</v>
      </c>
      <c r="O85" s="36">
        <v>16.0</v>
      </c>
      <c r="P85" s="36">
        <v>42.0</v>
      </c>
      <c r="Q85" s="36">
        <v>0.35</v>
      </c>
      <c r="R85" s="36">
        <v>1.29</v>
      </c>
      <c r="S85" s="36">
        <v>2.38</v>
      </c>
      <c r="T85" s="36">
        <v>3.67</v>
      </c>
      <c r="U85" s="21">
        <f t="shared" si="1"/>
        <v>3670</v>
      </c>
      <c r="V85" s="21">
        <f t="shared" si="2"/>
        <v>100</v>
      </c>
    </row>
    <row r="86" ht="14.25" customHeight="1">
      <c r="A86" s="38">
        <v>0.3013888888888889</v>
      </c>
      <c r="B86" s="36">
        <v>153.0</v>
      </c>
      <c r="C86" s="36">
        <v>15.0</v>
      </c>
      <c r="D86" s="36">
        <v>1276.0</v>
      </c>
      <c r="E86" s="36">
        <v>1202.0</v>
      </c>
      <c r="F86" s="36">
        <v>0.94</v>
      </c>
      <c r="G86" s="36">
        <v>16.0</v>
      </c>
      <c r="H86" s="36">
        <v>1.69</v>
      </c>
      <c r="I86" s="36">
        <v>27.8</v>
      </c>
      <c r="J86" s="36">
        <v>83.6</v>
      </c>
      <c r="K86" s="36">
        <v>93.0</v>
      </c>
      <c r="L86" s="36">
        <v>47.5</v>
      </c>
      <c r="M86" s="36">
        <v>99.0</v>
      </c>
      <c r="N86" s="36">
        <v>48.0</v>
      </c>
      <c r="O86" s="36">
        <v>16.0</v>
      </c>
      <c r="P86" s="36">
        <v>43.0</v>
      </c>
      <c r="Q86" s="36">
        <v>0.36</v>
      </c>
      <c r="R86" s="36">
        <v>1.31</v>
      </c>
      <c r="S86" s="36">
        <v>2.35</v>
      </c>
      <c r="T86" s="36">
        <v>3.66</v>
      </c>
      <c r="U86" s="21">
        <f t="shared" si="1"/>
        <v>3660</v>
      </c>
      <c r="V86" s="21">
        <f t="shared" si="2"/>
        <v>0</v>
      </c>
    </row>
    <row r="87" ht="14.25" customHeight="1">
      <c r="A87" s="38">
        <v>0.30416666666666664</v>
      </c>
      <c r="B87" s="36">
        <v>154.0</v>
      </c>
      <c r="C87" s="36">
        <v>15.0</v>
      </c>
      <c r="D87" s="36">
        <v>1276.0</v>
      </c>
      <c r="E87" s="36">
        <v>1202.0</v>
      </c>
      <c r="F87" s="36">
        <v>0.94</v>
      </c>
      <c r="G87" s="36">
        <v>16.0</v>
      </c>
      <c r="H87" s="36">
        <v>1.69</v>
      </c>
      <c r="I87" s="36">
        <v>27.8</v>
      </c>
      <c r="J87" s="36">
        <v>83.6</v>
      </c>
      <c r="K87" s="36">
        <v>94.0</v>
      </c>
      <c r="L87" s="36">
        <v>47.1</v>
      </c>
      <c r="M87" s="36">
        <v>99.0</v>
      </c>
      <c r="N87" s="36">
        <v>48.0</v>
      </c>
      <c r="O87" s="36">
        <v>16.0</v>
      </c>
      <c r="P87" s="36">
        <v>43.0</v>
      </c>
      <c r="Q87" s="36">
        <v>0.36</v>
      </c>
      <c r="R87" s="36">
        <v>1.31</v>
      </c>
      <c r="S87" s="36">
        <v>2.35</v>
      </c>
      <c r="T87" s="36">
        <v>3.66</v>
      </c>
      <c r="U87" s="21">
        <f t="shared" si="1"/>
        <v>3660</v>
      </c>
      <c r="V87" s="21">
        <f t="shared" si="2"/>
        <v>6400</v>
      </c>
    </row>
    <row r="88" ht="14.25" customHeight="1">
      <c r="A88" s="38">
        <v>0.30625</v>
      </c>
      <c r="B88" s="36">
        <v>156.0</v>
      </c>
      <c r="C88" s="36">
        <v>15.4</v>
      </c>
      <c r="D88" s="36">
        <v>1312.0</v>
      </c>
      <c r="E88" s="36">
        <v>1243.0</v>
      </c>
      <c r="F88" s="36">
        <v>0.95</v>
      </c>
      <c r="G88" s="36">
        <v>17.0</v>
      </c>
      <c r="H88" s="36">
        <v>1.72</v>
      </c>
      <c r="I88" s="36">
        <v>28.8</v>
      </c>
      <c r="J88" s="36">
        <v>83.0</v>
      </c>
      <c r="K88" s="36">
        <v>94.0</v>
      </c>
      <c r="L88" s="36">
        <v>46.8</v>
      </c>
      <c r="M88" s="36">
        <v>99.0</v>
      </c>
      <c r="N88" s="36">
        <v>48.0</v>
      </c>
      <c r="O88" s="36">
        <v>17.0</v>
      </c>
      <c r="P88" s="36">
        <v>44.0</v>
      </c>
      <c r="Q88" s="36">
        <v>0.36</v>
      </c>
      <c r="R88" s="36">
        <v>1.29</v>
      </c>
      <c r="S88" s="36">
        <v>2.29</v>
      </c>
      <c r="T88" s="36">
        <v>3.58</v>
      </c>
      <c r="U88" s="21">
        <f t="shared" si="1"/>
        <v>3580</v>
      </c>
      <c r="V88" s="21">
        <f t="shared" si="2"/>
        <v>25600</v>
      </c>
    </row>
    <row r="89" ht="14.25" customHeight="1">
      <c r="A89" s="38">
        <v>0.30833333333333335</v>
      </c>
      <c r="B89" s="36">
        <v>157.0</v>
      </c>
      <c r="C89" s="36">
        <v>15.7</v>
      </c>
      <c r="D89" s="36">
        <v>1336.0</v>
      </c>
      <c r="E89" s="36">
        <v>1272.0</v>
      </c>
      <c r="F89" s="36">
        <v>0.95</v>
      </c>
      <c r="G89" s="36">
        <v>18.0</v>
      </c>
      <c r="H89" s="36">
        <v>1.71</v>
      </c>
      <c r="I89" s="36">
        <v>30.0</v>
      </c>
      <c r="J89" s="36">
        <v>82.3</v>
      </c>
      <c r="K89" s="36">
        <v>95.0</v>
      </c>
      <c r="L89" s="36">
        <v>46.6</v>
      </c>
      <c r="M89" s="36">
        <v>99.0</v>
      </c>
      <c r="N89" s="36">
        <v>48.0</v>
      </c>
      <c r="O89" s="36">
        <v>18.0</v>
      </c>
      <c r="P89" s="36">
        <v>45.0</v>
      </c>
      <c r="Q89" s="36">
        <v>0.36</v>
      </c>
      <c r="R89" s="36">
        <v>1.24</v>
      </c>
      <c r="S89" s="36">
        <v>2.18</v>
      </c>
      <c r="T89" s="36">
        <v>3.42</v>
      </c>
      <c r="U89" s="21">
        <f t="shared" si="1"/>
        <v>3420</v>
      </c>
      <c r="V89" s="21">
        <f t="shared" si="2"/>
        <v>12100</v>
      </c>
    </row>
    <row r="90" ht="14.25" customHeight="1">
      <c r="A90" s="38">
        <v>0.3104166666666667</v>
      </c>
      <c r="B90" s="36">
        <v>160.0</v>
      </c>
      <c r="C90" s="36">
        <v>16.1</v>
      </c>
      <c r="D90" s="36">
        <v>1371.0</v>
      </c>
      <c r="E90" s="36">
        <v>1307.0</v>
      </c>
      <c r="F90" s="36">
        <v>0.95</v>
      </c>
      <c r="G90" s="36">
        <v>18.0</v>
      </c>
      <c r="H90" s="36">
        <v>1.7</v>
      </c>
      <c r="I90" s="36">
        <v>30.8</v>
      </c>
      <c r="J90" s="36">
        <v>81.8</v>
      </c>
      <c r="K90" s="36">
        <v>95.0</v>
      </c>
      <c r="L90" s="36">
        <v>46.6</v>
      </c>
      <c r="M90" s="36">
        <v>100.0</v>
      </c>
      <c r="N90" s="36">
        <v>48.0</v>
      </c>
      <c r="O90" s="36">
        <v>18.0</v>
      </c>
      <c r="P90" s="36">
        <v>46.0</v>
      </c>
      <c r="Q90" s="36">
        <v>0.36</v>
      </c>
      <c r="R90" s="36">
        <v>1.18</v>
      </c>
      <c r="S90" s="36">
        <v>2.12</v>
      </c>
      <c r="T90" s="36">
        <v>3.31</v>
      </c>
      <c r="U90" s="21">
        <f t="shared" si="1"/>
        <v>3310</v>
      </c>
      <c r="V90" s="21">
        <f t="shared" si="2"/>
        <v>1600</v>
      </c>
    </row>
    <row r="91" ht="14.25" customHeight="1">
      <c r="A91" s="38">
        <v>0.3125</v>
      </c>
      <c r="B91" s="36">
        <v>161.0</v>
      </c>
      <c r="C91" s="36">
        <v>16.6</v>
      </c>
      <c r="D91" s="36">
        <v>1410.0</v>
      </c>
      <c r="E91" s="36">
        <v>1345.0</v>
      </c>
      <c r="F91" s="36">
        <v>0.95</v>
      </c>
      <c r="G91" s="36">
        <v>18.0</v>
      </c>
      <c r="H91" s="36">
        <v>1.71</v>
      </c>
      <c r="I91" s="36">
        <v>31.5</v>
      </c>
      <c r="J91" s="36">
        <v>81.5</v>
      </c>
      <c r="K91" s="36">
        <v>95.0</v>
      </c>
      <c r="L91" s="36">
        <v>46.6</v>
      </c>
      <c r="M91" s="36">
        <v>99.0</v>
      </c>
      <c r="N91" s="36">
        <v>48.0</v>
      </c>
      <c r="O91" s="36">
        <v>18.0</v>
      </c>
      <c r="P91" s="36">
        <v>48.0</v>
      </c>
      <c r="Q91" s="36">
        <v>0.36</v>
      </c>
      <c r="R91" s="36">
        <v>1.17</v>
      </c>
      <c r="S91" s="36">
        <v>2.09</v>
      </c>
      <c r="T91" s="36">
        <v>3.27</v>
      </c>
      <c r="U91" s="21">
        <f t="shared" si="1"/>
        <v>3270</v>
      </c>
      <c r="V91" s="21">
        <f t="shared" si="2"/>
        <v>900</v>
      </c>
    </row>
    <row r="92" ht="14.25" customHeight="1">
      <c r="A92" s="38">
        <v>0.31527777777777777</v>
      </c>
      <c r="B92" s="36">
        <v>163.0</v>
      </c>
      <c r="C92" s="36">
        <v>16.9</v>
      </c>
      <c r="D92" s="36">
        <v>1437.0</v>
      </c>
      <c r="E92" s="36">
        <v>1387.0</v>
      </c>
      <c r="F92" s="36">
        <v>0.97</v>
      </c>
      <c r="G92" s="36">
        <v>19.0</v>
      </c>
      <c r="H92" s="36">
        <v>1.76</v>
      </c>
      <c r="I92" s="36">
        <v>32.5</v>
      </c>
      <c r="J92" s="36">
        <v>80.8</v>
      </c>
      <c r="K92" s="36">
        <v>94.0</v>
      </c>
      <c r="L92" s="36">
        <v>46.7</v>
      </c>
      <c r="M92" s="36">
        <v>100.0</v>
      </c>
      <c r="N92" s="36">
        <v>48.0</v>
      </c>
      <c r="O92" s="36">
        <v>19.0</v>
      </c>
      <c r="P92" s="36">
        <v>49.0</v>
      </c>
      <c r="Q92" s="36">
        <v>0.36</v>
      </c>
      <c r="R92" s="36">
        <v>1.17</v>
      </c>
      <c r="S92" s="36">
        <v>2.07</v>
      </c>
      <c r="T92" s="36">
        <v>3.24</v>
      </c>
      <c r="U92" s="21">
        <f t="shared" si="1"/>
        <v>3240</v>
      </c>
      <c r="V92" s="21">
        <f t="shared" si="2"/>
        <v>12100</v>
      </c>
    </row>
    <row r="93" ht="14.25" customHeight="1">
      <c r="A93" s="38">
        <v>0.31805555555555554</v>
      </c>
      <c r="B93" s="36">
        <v>164.0</v>
      </c>
      <c r="C93" s="36">
        <v>17.3</v>
      </c>
      <c r="D93" s="36">
        <v>1468.0</v>
      </c>
      <c r="E93" s="36">
        <v>1436.0</v>
      </c>
      <c r="F93" s="36">
        <v>0.98</v>
      </c>
      <c r="G93" s="36">
        <v>18.0</v>
      </c>
      <c r="H93" s="36">
        <v>1.87</v>
      </c>
      <c r="I93" s="36">
        <v>33.5</v>
      </c>
      <c r="J93" s="36">
        <v>80.3</v>
      </c>
      <c r="K93" s="36">
        <v>94.0</v>
      </c>
      <c r="L93" s="36">
        <v>46.7</v>
      </c>
      <c r="M93" s="36">
        <v>100.0</v>
      </c>
      <c r="N93" s="36">
        <v>48.0</v>
      </c>
      <c r="O93" s="36">
        <v>18.0</v>
      </c>
      <c r="P93" s="36">
        <v>50.0</v>
      </c>
      <c r="Q93" s="36">
        <v>0.37</v>
      </c>
      <c r="R93" s="36">
        <v>1.23</v>
      </c>
      <c r="S93" s="36">
        <v>2.11</v>
      </c>
      <c r="T93" s="36">
        <v>3.35</v>
      </c>
      <c r="U93" s="21">
        <f t="shared" si="1"/>
        <v>3350</v>
      </c>
      <c r="V93" s="21">
        <f t="shared" si="2"/>
        <v>900</v>
      </c>
    </row>
    <row r="94" ht="14.25" customHeight="1">
      <c r="A94" s="38">
        <v>0.32013888888888886</v>
      </c>
      <c r="B94" s="36">
        <v>165.0</v>
      </c>
      <c r="C94" s="36">
        <v>17.4</v>
      </c>
      <c r="D94" s="36">
        <v>1476.0</v>
      </c>
      <c r="E94" s="36">
        <v>1459.0</v>
      </c>
      <c r="F94" s="36">
        <v>0.99</v>
      </c>
      <c r="G94" s="36">
        <v>18.0</v>
      </c>
      <c r="H94" s="36">
        <v>1.87</v>
      </c>
      <c r="I94" s="36">
        <v>33.9</v>
      </c>
      <c r="J94" s="36">
        <v>80.0</v>
      </c>
      <c r="K94" s="36">
        <v>95.0</v>
      </c>
      <c r="L94" s="36">
        <v>46.5</v>
      </c>
      <c r="M94" s="36">
        <v>101.0</v>
      </c>
      <c r="N94" s="36">
        <v>49.0</v>
      </c>
      <c r="O94" s="36">
        <v>18.0</v>
      </c>
      <c r="P94" s="36">
        <v>50.0</v>
      </c>
      <c r="Q94" s="36">
        <v>0.36</v>
      </c>
      <c r="R94" s="36">
        <v>1.21</v>
      </c>
      <c r="S94" s="36">
        <v>2.11</v>
      </c>
      <c r="T94" s="36">
        <v>3.32</v>
      </c>
      <c r="U94" s="21">
        <f t="shared" si="1"/>
        <v>3320</v>
      </c>
      <c r="V94" s="21">
        <f t="shared" si="2"/>
        <v>0</v>
      </c>
    </row>
    <row r="95" ht="14.25" customHeight="1">
      <c r="A95" s="38">
        <v>0.32222222222222224</v>
      </c>
      <c r="B95" s="36">
        <v>167.0</v>
      </c>
      <c r="C95" s="36">
        <v>17.5</v>
      </c>
      <c r="D95" s="36">
        <v>1486.0</v>
      </c>
      <c r="E95" s="36">
        <v>1477.0</v>
      </c>
      <c r="F95" s="36">
        <v>0.99</v>
      </c>
      <c r="G95" s="36">
        <v>18.0</v>
      </c>
      <c r="H95" s="36">
        <v>1.88</v>
      </c>
      <c r="I95" s="36">
        <v>34.0</v>
      </c>
      <c r="J95" s="36">
        <v>80.0</v>
      </c>
      <c r="K95" s="36">
        <v>96.0</v>
      </c>
      <c r="L95" s="36">
        <v>45.9</v>
      </c>
      <c r="M95" s="36">
        <v>100.0</v>
      </c>
      <c r="N95" s="36">
        <v>49.0</v>
      </c>
      <c r="O95" s="36">
        <v>18.0</v>
      </c>
      <c r="P95" s="36">
        <v>50.0</v>
      </c>
      <c r="Q95" s="36">
        <v>0.37</v>
      </c>
      <c r="R95" s="36">
        <v>1.21</v>
      </c>
      <c r="S95" s="36">
        <v>2.1</v>
      </c>
      <c r="T95" s="36">
        <v>3.32</v>
      </c>
      <c r="U95" s="21">
        <f t="shared" si="1"/>
        <v>3320</v>
      </c>
      <c r="V95" s="21">
        <f t="shared" si="2"/>
        <v>0</v>
      </c>
    </row>
    <row r="96" ht="14.25" customHeight="1">
      <c r="A96" s="38">
        <v>0.32430555555555557</v>
      </c>
      <c r="B96" s="36">
        <v>169.0</v>
      </c>
      <c r="C96" s="36">
        <v>17.8</v>
      </c>
      <c r="D96" s="36">
        <v>1514.0</v>
      </c>
      <c r="E96" s="36">
        <v>1503.0</v>
      </c>
      <c r="F96" s="36">
        <v>0.99</v>
      </c>
      <c r="G96" s="36">
        <v>18.0</v>
      </c>
      <c r="H96" s="36">
        <v>1.91</v>
      </c>
      <c r="I96" s="36">
        <v>34.5</v>
      </c>
      <c r="J96" s="36">
        <v>79.7</v>
      </c>
      <c r="K96" s="36">
        <v>97.0</v>
      </c>
      <c r="L96" s="36">
        <v>45.0</v>
      </c>
      <c r="M96" s="36">
        <v>100.0</v>
      </c>
      <c r="N96" s="36">
        <v>49.0</v>
      </c>
      <c r="O96" s="36">
        <v>18.0</v>
      </c>
      <c r="P96" s="36">
        <v>51.0</v>
      </c>
      <c r="Q96" s="36">
        <v>0.37</v>
      </c>
      <c r="R96" s="36">
        <v>1.22</v>
      </c>
      <c r="S96" s="36">
        <v>2.1</v>
      </c>
      <c r="T96" s="36">
        <v>3.32</v>
      </c>
      <c r="U96" s="21">
        <f t="shared" si="1"/>
        <v>3320</v>
      </c>
      <c r="V96" s="21">
        <f t="shared" si="2"/>
        <v>400</v>
      </c>
    </row>
    <row r="97" ht="14.25" customHeight="1">
      <c r="A97" s="38">
        <v>0.3263888888888889</v>
      </c>
      <c r="B97" s="36">
        <v>171.0</v>
      </c>
      <c r="C97" s="36">
        <v>17.9</v>
      </c>
      <c r="D97" s="36">
        <v>1522.0</v>
      </c>
      <c r="E97" s="36">
        <v>1525.0</v>
      </c>
      <c r="F97" s="36">
        <v>1.0</v>
      </c>
      <c r="G97" s="36">
        <v>18.0</v>
      </c>
      <c r="H97" s="36">
        <v>1.94</v>
      </c>
      <c r="I97" s="36">
        <v>34.9</v>
      </c>
      <c r="J97" s="36">
        <v>79.4</v>
      </c>
      <c r="K97" s="36">
        <v>97.0</v>
      </c>
      <c r="L97" s="36">
        <v>45.0</v>
      </c>
      <c r="M97" s="36">
        <v>101.0</v>
      </c>
      <c r="N97" s="36">
        <v>49.0</v>
      </c>
      <c r="O97" s="36">
        <v>18.0</v>
      </c>
      <c r="P97" s="36">
        <v>52.0</v>
      </c>
      <c r="Q97" s="36">
        <v>0.37</v>
      </c>
      <c r="R97" s="36">
        <v>1.22</v>
      </c>
      <c r="S97" s="36">
        <v>2.12</v>
      </c>
      <c r="T97" s="36">
        <v>3.34</v>
      </c>
      <c r="U97" s="21">
        <f t="shared" si="1"/>
        <v>3340</v>
      </c>
      <c r="V97" s="21">
        <f t="shared" si="2"/>
        <v>0</v>
      </c>
    </row>
    <row r="98" ht="14.25" customHeight="1">
      <c r="A98" s="38">
        <v>0.32916666666666666</v>
      </c>
      <c r="B98" s="36">
        <v>172.0</v>
      </c>
      <c r="C98" s="36">
        <v>17.9</v>
      </c>
      <c r="D98" s="36">
        <v>1522.0</v>
      </c>
      <c r="E98" s="36">
        <v>1524.0</v>
      </c>
      <c r="F98" s="36">
        <v>1.0</v>
      </c>
      <c r="G98" s="36">
        <v>18.0</v>
      </c>
      <c r="H98" s="36">
        <v>1.94</v>
      </c>
      <c r="I98" s="36">
        <v>34.9</v>
      </c>
      <c r="J98" s="36">
        <v>79.4</v>
      </c>
      <c r="K98" s="36">
        <v>98.0</v>
      </c>
      <c r="L98" s="36">
        <v>44.7</v>
      </c>
      <c r="M98" s="36">
        <v>101.0</v>
      </c>
      <c r="N98" s="36">
        <v>49.0</v>
      </c>
      <c r="O98" s="36">
        <v>18.0</v>
      </c>
      <c r="P98" s="36">
        <v>52.0</v>
      </c>
      <c r="Q98" s="36">
        <v>0.37</v>
      </c>
      <c r="R98" s="36">
        <v>1.22</v>
      </c>
      <c r="S98" s="36">
        <v>2.12</v>
      </c>
      <c r="T98" s="36">
        <v>3.34</v>
      </c>
      <c r="U98" s="21">
        <f t="shared" si="1"/>
        <v>3340</v>
      </c>
      <c r="V98" s="21">
        <f t="shared" si="2"/>
        <v>14400</v>
      </c>
    </row>
    <row r="99" ht="14.25" customHeight="1">
      <c r="A99" s="38">
        <v>0.33125</v>
      </c>
      <c r="B99" s="36">
        <v>174.0</v>
      </c>
      <c r="C99" s="36">
        <v>18.1</v>
      </c>
      <c r="D99" s="36">
        <v>1541.0</v>
      </c>
      <c r="E99" s="36">
        <v>1558.0</v>
      </c>
      <c r="F99" s="36">
        <v>1.01</v>
      </c>
      <c r="G99" s="36">
        <v>17.0</v>
      </c>
      <c r="H99" s="36">
        <v>2.05</v>
      </c>
      <c r="I99" s="36">
        <v>35.5</v>
      </c>
      <c r="J99" s="36">
        <v>79.1</v>
      </c>
      <c r="K99" s="36">
        <v>98.0</v>
      </c>
      <c r="L99" s="36">
        <v>44.6</v>
      </c>
      <c r="M99" s="36">
        <v>101.0</v>
      </c>
      <c r="N99" s="36">
        <v>49.0</v>
      </c>
      <c r="O99" s="36">
        <v>17.0</v>
      </c>
      <c r="P99" s="36">
        <v>52.0</v>
      </c>
      <c r="Q99" s="36">
        <v>0.37</v>
      </c>
      <c r="R99" s="36">
        <v>1.27</v>
      </c>
      <c r="S99" s="36">
        <v>2.19</v>
      </c>
      <c r="T99" s="36">
        <v>3.46</v>
      </c>
      <c r="U99" s="21">
        <f t="shared" si="1"/>
        <v>3460</v>
      </c>
      <c r="V99" s="21">
        <f t="shared" si="2"/>
        <v>57600</v>
      </c>
    </row>
    <row r="100" ht="14.25" customHeight="1">
      <c r="A100" s="38">
        <v>0.3333333333333333</v>
      </c>
      <c r="B100" s="36">
        <v>175.0</v>
      </c>
      <c r="C100" s="36">
        <v>18.6</v>
      </c>
      <c r="D100" s="36">
        <v>1585.0</v>
      </c>
      <c r="E100" s="36">
        <v>1606.0</v>
      </c>
      <c r="F100" s="36">
        <v>1.01</v>
      </c>
      <c r="G100" s="36">
        <v>19.0</v>
      </c>
      <c r="H100" s="36">
        <v>1.96</v>
      </c>
      <c r="I100" s="36">
        <v>36.6</v>
      </c>
      <c r="J100" s="36">
        <v>78.4</v>
      </c>
      <c r="K100" s="36">
        <v>98.0</v>
      </c>
      <c r="L100" s="36">
        <v>44.5</v>
      </c>
      <c r="M100" s="36">
        <v>101.0</v>
      </c>
      <c r="N100" s="36">
        <v>49.0</v>
      </c>
      <c r="O100" s="36">
        <v>19.0</v>
      </c>
      <c r="P100" s="36">
        <v>54.0</v>
      </c>
      <c r="Q100" s="36">
        <v>0.36</v>
      </c>
      <c r="R100" s="36">
        <v>1.16</v>
      </c>
      <c r="S100" s="36">
        <v>2.06</v>
      </c>
      <c r="T100" s="36">
        <v>3.22</v>
      </c>
      <c r="U100" s="21">
        <f t="shared" si="1"/>
        <v>3220</v>
      </c>
      <c r="V100" s="21">
        <f t="shared" si="2"/>
        <v>14400</v>
      </c>
    </row>
    <row r="101" ht="14.25" customHeight="1">
      <c r="A101" s="38">
        <v>0.33541666666666664</v>
      </c>
      <c r="B101" s="36">
        <v>177.0</v>
      </c>
      <c r="C101" s="36">
        <v>18.8</v>
      </c>
      <c r="D101" s="36">
        <v>1599.0</v>
      </c>
      <c r="E101" s="36">
        <v>1628.0</v>
      </c>
      <c r="F101" s="36">
        <v>1.02</v>
      </c>
      <c r="G101" s="36">
        <v>18.0</v>
      </c>
      <c r="H101" s="36">
        <v>2.08</v>
      </c>
      <c r="I101" s="36">
        <v>37.3</v>
      </c>
      <c r="J101" s="36">
        <v>78.0</v>
      </c>
      <c r="K101" s="36">
        <v>99.0</v>
      </c>
      <c r="L101" s="36">
        <v>44.2</v>
      </c>
      <c r="M101" s="36">
        <v>101.0</v>
      </c>
      <c r="N101" s="36">
        <v>50.0</v>
      </c>
      <c r="O101" s="36">
        <v>18.0</v>
      </c>
      <c r="P101" s="36">
        <v>54.0</v>
      </c>
      <c r="Q101" s="36">
        <v>0.35</v>
      </c>
      <c r="R101" s="36">
        <v>1.16</v>
      </c>
      <c r="S101" s="36">
        <v>2.18</v>
      </c>
      <c r="T101" s="36">
        <v>3.34</v>
      </c>
      <c r="U101" s="21">
        <f t="shared" si="1"/>
        <v>3340</v>
      </c>
      <c r="V101" s="21">
        <f t="shared" si="2"/>
        <v>4900</v>
      </c>
    </row>
    <row r="102" ht="14.25" customHeight="1">
      <c r="A102" s="38">
        <v>0.3375</v>
      </c>
      <c r="B102" s="36">
        <v>179.0</v>
      </c>
      <c r="C102" s="36">
        <v>19.4</v>
      </c>
      <c r="D102" s="36">
        <v>1651.0</v>
      </c>
      <c r="E102" s="36">
        <v>1693.0</v>
      </c>
      <c r="F102" s="36">
        <v>1.03</v>
      </c>
      <c r="G102" s="36">
        <v>18.0</v>
      </c>
      <c r="H102" s="36">
        <v>2.12</v>
      </c>
      <c r="I102" s="36">
        <v>38.9</v>
      </c>
      <c r="J102" s="36">
        <v>77.0</v>
      </c>
      <c r="K102" s="36">
        <v>99.0</v>
      </c>
      <c r="L102" s="36">
        <v>43.8</v>
      </c>
      <c r="M102" s="36">
        <v>101.0</v>
      </c>
      <c r="N102" s="36">
        <v>49.0</v>
      </c>
      <c r="O102" s="36">
        <v>18.0</v>
      </c>
      <c r="P102" s="36">
        <v>56.0</v>
      </c>
      <c r="Q102" s="36">
        <v>0.34</v>
      </c>
      <c r="R102" s="36">
        <v>1.12</v>
      </c>
      <c r="S102" s="36">
        <v>2.15</v>
      </c>
      <c r="T102" s="36">
        <v>3.27</v>
      </c>
      <c r="U102" s="21">
        <f t="shared" si="1"/>
        <v>3270</v>
      </c>
      <c r="V102" s="21">
        <f t="shared" si="2"/>
        <v>0</v>
      </c>
    </row>
    <row r="103" ht="14.25" customHeight="1">
      <c r="A103" s="38">
        <v>0.33958333333333335</v>
      </c>
      <c r="B103" s="36">
        <v>180.0</v>
      </c>
      <c r="C103" s="36">
        <v>19.7</v>
      </c>
      <c r="D103" s="36">
        <v>1675.0</v>
      </c>
      <c r="E103" s="36">
        <v>1743.0</v>
      </c>
      <c r="F103" s="36">
        <v>1.04</v>
      </c>
      <c r="G103" s="36">
        <v>18.0</v>
      </c>
      <c r="H103" s="36">
        <v>2.21</v>
      </c>
      <c r="I103" s="36">
        <v>40.5</v>
      </c>
      <c r="J103" s="36">
        <v>76.1</v>
      </c>
      <c r="K103" s="36">
        <v>100.0</v>
      </c>
      <c r="L103" s="36">
        <v>43.3</v>
      </c>
      <c r="M103" s="36">
        <v>102.0</v>
      </c>
      <c r="N103" s="36">
        <v>49.0</v>
      </c>
      <c r="O103" s="36">
        <v>18.0</v>
      </c>
      <c r="P103" s="36">
        <v>57.0</v>
      </c>
      <c r="Q103" s="36">
        <v>0.35</v>
      </c>
      <c r="R103" s="36">
        <v>1.15</v>
      </c>
      <c r="S103" s="36">
        <v>2.12</v>
      </c>
      <c r="T103" s="36">
        <v>3.27</v>
      </c>
      <c r="U103" s="21">
        <f t="shared" si="1"/>
        <v>3270</v>
      </c>
      <c r="V103" s="21">
        <f t="shared" si="2"/>
        <v>36100</v>
      </c>
    </row>
    <row r="104" ht="14.25" customHeight="1">
      <c r="A104" s="38">
        <v>0.3416666666666667</v>
      </c>
      <c r="B104" s="36">
        <v>182.0</v>
      </c>
      <c r="C104" s="36">
        <v>20.0</v>
      </c>
      <c r="D104" s="36">
        <v>1701.0</v>
      </c>
      <c r="E104" s="36">
        <v>1791.0</v>
      </c>
      <c r="F104" s="36">
        <v>1.05</v>
      </c>
      <c r="G104" s="36">
        <v>19.0</v>
      </c>
      <c r="H104" s="36">
        <v>2.15</v>
      </c>
      <c r="I104" s="36">
        <v>41.9</v>
      </c>
      <c r="J104" s="36">
        <v>75.3</v>
      </c>
      <c r="K104" s="36">
        <v>101.0</v>
      </c>
      <c r="L104" s="36">
        <v>42.8</v>
      </c>
      <c r="M104" s="36">
        <v>103.0</v>
      </c>
      <c r="N104" s="36">
        <v>48.0</v>
      </c>
      <c r="O104" s="36">
        <v>19.0</v>
      </c>
      <c r="P104" s="36">
        <v>58.0</v>
      </c>
      <c r="Q104" s="36">
        <v>0.34</v>
      </c>
      <c r="R104" s="36">
        <v>1.06</v>
      </c>
      <c r="S104" s="36">
        <v>2.02</v>
      </c>
      <c r="T104" s="36">
        <v>3.08</v>
      </c>
      <c r="U104" s="21">
        <f t="shared" si="1"/>
        <v>3080</v>
      </c>
      <c r="V104" s="21">
        <f t="shared" si="2"/>
        <v>28900</v>
      </c>
    </row>
    <row r="105" ht="14.25" customHeight="1">
      <c r="A105" s="38">
        <v>0.34375</v>
      </c>
      <c r="B105" s="36">
        <v>183.0</v>
      </c>
      <c r="C105" s="36">
        <v>20.4</v>
      </c>
      <c r="D105" s="36">
        <v>1731.0</v>
      </c>
      <c r="E105" s="36">
        <v>1838.0</v>
      </c>
      <c r="F105" s="36">
        <v>1.06</v>
      </c>
      <c r="G105" s="36">
        <v>21.0</v>
      </c>
      <c r="H105" s="36">
        <v>2.08</v>
      </c>
      <c r="I105" s="36">
        <v>42.8</v>
      </c>
      <c r="J105" s="36">
        <v>74.8</v>
      </c>
      <c r="K105" s="36">
        <v>102.0</v>
      </c>
      <c r="L105" s="36">
        <v>42.3</v>
      </c>
      <c r="M105" s="36">
        <v>104.0</v>
      </c>
      <c r="N105" s="36">
        <v>48.0</v>
      </c>
      <c r="O105" s="36">
        <v>21.0</v>
      </c>
      <c r="P105" s="36">
        <v>59.0</v>
      </c>
      <c r="Q105" s="36">
        <v>0.36</v>
      </c>
      <c r="R105" s="36">
        <v>1.05</v>
      </c>
      <c r="S105" s="36">
        <v>1.86</v>
      </c>
      <c r="T105" s="36">
        <v>2.91</v>
      </c>
      <c r="U105" s="21">
        <f t="shared" si="1"/>
        <v>2910</v>
      </c>
      <c r="V105" s="21">
        <f t="shared" si="2"/>
        <v>900</v>
      </c>
    </row>
    <row r="106" ht="14.25" customHeight="1">
      <c r="A106" s="38">
        <v>0.3458333333333333</v>
      </c>
      <c r="B106" s="36">
        <v>184.0</v>
      </c>
      <c r="C106" s="36">
        <v>20.2</v>
      </c>
      <c r="D106" s="36">
        <v>1718.0</v>
      </c>
      <c r="E106" s="36">
        <v>1839.0</v>
      </c>
      <c r="F106" s="36">
        <v>1.07</v>
      </c>
      <c r="G106" s="36">
        <v>21.0</v>
      </c>
      <c r="H106" s="36">
        <v>2.05</v>
      </c>
      <c r="I106" s="36">
        <v>42.7</v>
      </c>
      <c r="J106" s="36">
        <v>74.8</v>
      </c>
      <c r="K106" s="36">
        <v>103.0</v>
      </c>
      <c r="L106" s="36">
        <v>41.9</v>
      </c>
      <c r="M106" s="36">
        <v>104.0</v>
      </c>
      <c r="N106" s="36">
        <v>48.0</v>
      </c>
      <c r="O106" s="36">
        <v>21.0</v>
      </c>
      <c r="P106" s="36">
        <v>58.0</v>
      </c>
      <c r="Q106" s="36">
        <v>0.36</v>
      </c>
      <c r="R106" s="36">
        <v>1.04</v>
      </c>
      <c r="S106" s="36">
        <v>1.84</v>
      </c>
      <c r="T106" s="36">
        <v>2.88</v>
      </c>
      <c r="U106" s="21">
        <f t="shared" si="1"/>
        <v>2880</v>
      </c>
      <c r="V106" s="21">
        <f t="shared" si="2"/>
        <v>32400</v>
      </c>
    </row>
    <row r="107" ht="14.25" customHeight="1">
      <c r="A107" s="38">
        <v>0.3486111111111111</v>
      </c>
      <c r="B107" s="36">
        <v>187.0</v>
      </c>
      <c r="C107" s="36">
        <v>19.8</v>
      </c>
      <c r="D107" s="36">
        <v>1686.0</v>
      </c>
      <c r="E107" s="36">
        <v>1800.0</v>
      </c>
      <c r="F107" s="36">
        <v>1.07</v>
      </c>
      <c r="G107" s="36">
        <v>20.0</v>
      </c>
      <c r="H107" s="36">
        <v>2.15</v>
      </c>
      <c r="I107" s="36">
        <v>42.1</v>
      </c>
      <c r="J107" s="36">
        <v>75.2</v>
      </c>
      <c r="K107" s="36">
        <v>104.0</v>
      </c>
      <c r="L107" s="36">
        <v>41.3</v>
      </c>
      <c r="M107" s="36">
        <v>103.0</v>
      </c>
      <c r="N107" s="36">
        <v>49.0</v>
      </c>
      <c r="O107" s="36">
        <v>20.0</v>
      </c>
      <c r="P107" s="36">
        <v>57.0</v>
      </c>
      <c r="Q107" s="36">
        <v>0.34</v>
      </c>
      <c r="R107" s="36">
        <v>1.05</v>
      </c>
      <c r="S107" s="36">
        <v>2.01</v>
      </c>
      <c r="T107" s="36">
        <v>3.06</v>
      </c>
      <c r="U107" s="21">
        <f t="shared" si="1"/>
        <v>3060</v>
      </c>
      <c r="V107" s="21">
        <f t="shared" si="2"/>
        <v>19600</v>
      </c>
    </row>
    <row r="108" ht="14.25" customHeight="1">
      <c r="A108" s="38">
        <v>0.3506944444444444</v>
      </c>
      <c r="B108" s="36">
        <v>188.0</v>
      </c>
      <c r="C108" s="36">
        <v>20.0</v>
      </c>
      <c r="D108" s="36">
        <v>1703.0</v>
      </c>
      <c r="E108" s="36">
        <v>1824.0</v>
      </c>
      <c r="F108" s="36">
        <v>1.07</v>
      </c>
      <c r="G108" s="36">
        <v>21.0</v>
      </c>
      <c r="H108" s="36">
        <v>2.04</v>
      </c>
      <c r="I108" s="36">
        <v>42.1</v>
      </c>
      <c r="J108" s="36">
        <v>75.2</v>
      </c>
      <c r="K108" s="36">
        <v>105.0</v>
      </c>
      <c r="L108" s="36">
        <v>40.8</v>
      </c>
      <c r="M108" s="36">
        <v>103.0</v>
      </c>
      <c r="N108" s="36">
        <v>49.0</v>
      </c>
      <c r="O108" s="36">
        <v>21.0</v>
      </c>
      <c r="P108" s="36">
        <v>58.0</v>
      </c>
      <c r="Q108" s="36">
        <v>0.36</v>
      </c>
      <c r="R108" s="36">
        <v>1.04</v>
      </c>
      <c r="S108" s="36">
        <v>1.88</v>
      </c>
      <c r="T108" s="36">
        <v>2.92</v>
      </c>
      <c r="U108" s="21">
        <f t="shared" si="1"/>
        <v>2920</v>
      </c>
      <c r="V108" s="21">
        <f t="shared" si="2"/>
        <v>0</v>
      </c>
    </row>
    <row r="109" ht="14.25" customHeight="1">
      <c r="A109" s="38">
        <v>0.35208333333333336</v>
      </c>
      <c r="B109" s="36">
        <v>190.0</v>
      </c>
      <c r="C109" s="36">
        <v>20.0</v>
      </c>
      <c r="D109" s="36">
        <v>1703.0</v>
      </c>
      <c r="E109" s="36">
        <v>1824.0</v>
      </c>
      <c r="F109" s="36">
        <v>1.07</v>
      </c>
      <c r="G109" s="36">
        <v>21.0</v>
      </c>
      <c r="H109" s="36">
        <v>2.04</v>
      </c>
      <c r="I109" s="36">
        <v>42.1</v>
      </c>
      <c r="J109" s="36">
        <v>75.2</v>
      </c>
      <c r="K109" s="36">
        <v>105.0</v>
      </c>
      <c r="L109" s="36">
        <v>40.7</v>
      </c>
      <c r="M109" s="36">
        <v>103.0</v>
      </c>
      <c r="N109" s="36">
        <v>49.0</v>
      </c>
      <c r="O109" s="36">
        <v>21.0</v>
      </c>
      <c r="P109" s="36">
        <v>58.0</v>
      </c>
      <c r="Q109" s="36">
        <v>0.36</v>
      </c>
      <c r="R109" s="36">
        <v>1.04</v>
      </c>
      <c r="S109" s="36">
        <v>1.88</v>
      </c>
      <c r="T109" s="36">
        <v>2.92</v>
      </c>
      <c r="U109" s="21">
        <f t="shared" si="1"/>
        <v>2920</v>
      </c>
      <c r="V109" s="21">
        <f t="shared" si="2"/>
        <v>6400</v>
      </c>
    </row>
    <row r="110" ht="14.25" customHeight="1">
      <c r="A110" s="38">
        <v>0.3541666666666667</v>
      </c>
      <c r="B110" s="36">
        <v>191.0</v>
      </c>
      <c r="C110" s="36">
        <v>20.6</v>
      </c>
      <c r="D110" s="36">
        <v>1755.0</v>
      </c>
      <c r="E110" s="36">
        <v>1856.0</v>
      </c>
      <c r="F110" s="36">
        <v>1.06</v>
      </c>
      <c r="G110" s="36">
        <v>21.0</v>
      </c>
      <c r="H110" s="36">
        <v>1.98</v>
      </c>
      <c r="I110" s="36">
        <v>41.9</v>
      </c>
      <c r="J110" s="36">
        <v>75.3</v>
      </c>
      <c r="K110" s="36">
        <v>105.0</v>
      </c>
      <c r="L110" s="36">
        <v>40.4</v>
      </c>
      <c r="M110" s="36">
        <v>102.0</v>
      </c>
      <c r="N110" s="36">
        <v>50.0</v>
      </c>
      <c r="O110" s="36">
        <v>21.0</v>
      </c>
      <c r="P110" s="36">
        <v>59.0</v>
      </c>
      <c r="Q110" s="36">
        <v>0.35</v>
      </c>
      <c r="R110" s="36">
        <v>0.99</v>
      </c>
      <c r="S110" s="36">
        <v>1.85</v>
      </c>
      <c r="T110" s="36">
        <v>2.84</v>
      </c>
      <c r="U110" s="21">
        <f t="shared" si="1"/>
        <v>2840</v>
      </c>
      <c r="V110" s="21">
        <f t="shared" si="2"/>
        <v>100</v>
      </c>
    </row>
    <row r="111" ht="14.25" customHeight="1">
      <c r="A111" s="38">
        <v>0.35625</v>
      </c>
      <c r="B111" s="36">
        <v>193.0</v>
      </c>
      <c r="C111" s="36">
        <v>21.0</v>
      </c>
      <c r="D111" s="36">
        <v>1787.0</v>
      </c>
      <c r="E111" s="36">
        <v>1873.0</v>
      </c>
      <c r="F111" s="36">
        <v>1.05</v>
      </c>
      <c r="G111" s="36">
        <v>21.0</v>
      </c>
      <c r="H111" s="36">
        <v>1.97</v>
      </c>
      <c r="I111" s="36">
        <v>41.8</v>
      </c>
      <c r="J111" s="36">
        <v>75.3</v>
      </c>
      <c r="K111" s="36">
        <v>106.0</v>
      </c>
      <c r="L111" s="36">
        <v>40.2</v>
      </c>
      <c r="M111" s="36">
        <v>101.0</v>
      </c>
      <c r="N111" s="36">
        <v>51.0</v>
      </c>
      <c r="O111" s="36">
        <v>21.0</v>
      </c>
      <c r="P111" s="36">
        <v>61.0</v>
      </c>
      <c r="Q111" s="36">
        <v>0.35</v>
      </c>
      <c r="R111" s="36">
        <v>1.0</v>
      </c>
      <c r="S111" s="36">
        <v>1.83</v>
      </c>
      <c r="T111" s="36">
        <v>2.83</v>
      </c>
      <c r="U111" s="21">
        <f t="shared" si="1"/>
        <v>2830</v>
      </c>
      <c r="V111" s="21">
        <f t="shared" si="2"/>
        <v>6400</v>
      </c>
    </row>
    <row r="112" ht="14.25" customHeight="1">
      <c r="A112" s="38">
        <v>0.35833333333333334</v>
      </c>
      <c r="B112" s="36">
        <v>193.0</v>
      </c>
      <c r="C112" s="36">
        <v>21.6</v>
      </c>
      <c r="D112" s="36">
        <v>1836.0</v>
      </c>
      <c r="E112" s="36">
        <v>1908.0</v>
      </c>
      <c r="F112" s="36">
        <v>1.04</v>
      </c>
      <c r="G112" s="36">
        <v>21.0</v>
      </c>
      <c r="H112" s="36">
        <v>2.04</v>
      </c>
      <c r="I112" s="36">
        <v>42.2</v>
      </c>
      <c r="J112" s="36">
        <v>75.1</v>
      </c>
      <c r="K112" s="36">
        <v>106.0</v>
      </c>
      <c r="L112" s="36">
        <v>39.9</v>
      </c>
      <c r="M112" s="36">
        <v>100.0</v>
      </c>
      <c r="N112" s="36">
        <v>51.0</v>
      </c>
      <c r="O112" s="36">
        <v>21.0</v>
      </c>
      <c r="P112" s="36">
        <v>62.0</v>
      </c>
      <c r="Q112" s="36">
        <v>0.36</v>
      </c>
      <c r="R112" s="36">
        <v>1.05</v>
      </c>
      <c r="S112" s="36">
        <v>1.86</v>
      </c>
      <c r="T112" s="36">
        <v>2.91</v>
      </c>
      <c r="U112" s="21">
        <f t="shared" si="1"/>
        <v>2910</v>
      </c>
      <c r="V112" s="21">
        <f t="shared" si="2"/>
        <v>100</v>
      </c>
    </row>
    <row r="113" ht="14.25" customHeight="1">
      <c r="A113" s="38">
        <v>0.3611111111111111</v>
      </c>
      <c r="B113" s="36">
        <v>196.0</v>
      </c>
      <c r="C113" s="36">
        <v>21.8</v>
      </c>
      <c r="D113" s="36">
        <v>1851.0</v>
      </c>
      <c r="E113" s="36">
        <v>1923.0</v>
      </c>
      <c r="F113" s="36">
        <v>1.04</v>
      </c>
      <c r="G113" s="36">
        <v>21.0</v>
      </c>
      <c r="H113" s="36">
        <v>2.06</v>
      </c>
      <c r="I113" s="36">
        <v>42.4</v>
      </c>
      <c r="J113" s="36">
        <v>75.0</v>
      </c>
      <c r="K113" s="36">
        <v>106.0</v>
      </c>
      <c r="L113" s="36">
        <v>39.9</v>
      </c>
      <c r="M113" s="36">
        <v>100.0</v>
      </c>
      <c r="N113" s="36">
        <v>51.0</v>
      </c>
      <c r="O113" s="36">
        <v>21.0</v>
      </c>
      <c r="P113" s="36">
        <v>63.0</v>
      </c>
      <c r="Q113" s="36">
        <v>0.37</v>
      </c>
      <c r="R113" s="36">
        <v>1.07</v>
      </c>
      <c r="S113" s="36">
        <v>1.85</v>
      </c>
      <c r="T113" s="36">
        <v>2.92</v>
      </c>
      <c r="U113" s="21">
        <f t="shared" si="1"/>
        <v>2920</v>
      </c>
    </row>
    <row r="114" ht="14.25" customHeight="1">
      <c r="A114" s="36" t="s">
        <v>80</v>
      </c>
      <c r="U114" s="21">
        <f t="shared" si="1"/>
        <v>0</v>
      </c>
    </row>
    <row r="115" ht="14.25" customHeight="1">
      <c r="A115" s="38">
        <v>0.3625</v>
      </c>
      <c r="B115" s="36">
        <v>197.0</v>
      </c>
      <c r="C115" s="36">
        <v>22.5</v>
      </c>
      <c r="D115" s="36">
        <v>1914.0</v>
      </c>
      <c r="E115" s="36">
        <v>2011.0</v>
      </c>
      <c r="F115" s="36">
        <v>1.05</v>
      </c>
      <c r="G115" s="36">
        <v>21.0</v>
      </c>
      <c r="H115" s="36">
        <v>2.16</v>
      </c>
      <c r="I115" s="36">
        <v>44.6</v>
      </c>
      <c r="J115" s="36">
        <v>73.7</v>
      </c>
      <c r="K115" s="36">
        <v>106.0</v>
      </c>
      <c r="L115" s="36">
        <v>40.0</v>
      </c>
      <c r="M115" s="36">
        <v>101.0</v>
      </c>
      <c r="N115" s="36">
        <v>51.0</v>
      </c>
      <c r="O115" s="36">
        <v>21.0</v>
      </c>
      <c r="P115" s="36">
        <v>65.0</v>
      </c>
      <c r="Q115" s="36">
        <v>0.37</v>
      </c>
      <c r="R115" s="36">
        <v>1.09</v>
      </c>
      <c r="S115" s="36">
        <v>1.82</v>
      </c>
      <c r="T115" s="36">
        <v>2.91</v>
      </c>
      <c r="U115" s="21">
        <f t="shared" si="1"/>
        <v>2910</v>
      </c>
      <c r="V115" s="21">
        <f t="shared" ref="V115:V138" si="3">(U115-U116)^2</f>
        <v>8100</v>
      </c>
      <c r="W115" s="21">
        <f>SQRT(AVERAGE(V115:V138))</f>
        <v>61.23724357</v>
      </c>
      <c r="X115" s="21">
        <f>STDEV(U115:U153)/AVERAGE(U115:U153)</f>
        <v>0.186230307</v>
      </c>
    </row>
    <row r="116" ht="14.25" customHeight="1">
      <c r="A116" s="38">
        <v>0.3645833333333333</v>
      </c>
      <c r="B116" s="36">
        <v>198.0</v>
      </c>
      <c r="C116" s="36">
        <v>22.9</v>
      </c>
      <c r="D116" s="36">
        <v>1947.0</v>
      </c>
      <c r="E116" s="36">
        <v>2070.0</v>
      </c>
      <c r="F116" s="36">
        <v>1.06</v>
      </c>
      <c r="G116" s="36">
        <v>20.0</v>
      </c>
      <c r="H116" s="36">
        <v>2.3</v>
      </c>
      <c r="I116" s="36">
        <v>46.1</v>
      </c>
      <c r="J116" s="36">
        <v>72.8</v>
      </c>
      <c r="K116" s="36">
        <v>106.0</v>
      </c>
      <c r="L116" s="36">
        <v>39.9</v>
      </c>
      <c r="M116" s="36">
        <v>101.0</v>
      </c>
      <c r="N116" s="36">
        <v>51.0</v>
      </c>
      <c r="O116" s="36">
        <v>20.0</v>
      </c>
      <c r="P116" s="36">
        <v>66.0</v>
      </c>
      <c r="Q116" s="36">
        <v>0.38</v>
      </c>
      <c r="R116" s="36">
        <v>1.13</v>
      </c>
      <c r="S116" s="36">
        <v>1.87</v>
      </c>
      <c r="T116" s="36">
        <v>3.0</v>
      </c>
      <c r="U116" s="21">
        <f t="shared" si="1"/>
        <v>3000</v>
      </c>
      <c r="V116" s="21">
        <f t="shared" si="3"/>
        <v>400</v>
      </c>
    </row>
    <row r="117" ht="14.25" customHeight="1">
      <c r="A117" s="38">
        <v>0.36666666666666664</v>
      </c>
      <c r="B117" s="36">
        <v>199.0</v>
      </c>
      <c r="C117" s="36">
        <v>22.8</v>
      </c>
      <c r="D117" s="36">
        <v>1939.0</v>
      </c>
      <c r="E117" s="36">
        <v>2099.0</v>
      </c>
      <c r="F117" s="36">
        <v>1.08</v>
      </c>
      <c r="G117" s="36">
        <v>20.0</v>
      </c>
      <c r="H117" s="36">
        <v>2.34</v>
      </c>
      <c r="I117" s="36">
        <v>47.2</v>
      </c>
      <c r="J117" s="36">
        <v>72.2</v>
      </c>
      <c r="K117" s="36">
        <v>107.0</v>
      </c>
      <c r="L117" s="36">
        <v>39.7</v>
      </c>
      <c r="M117" s="36">
        <v>102.0</v>
      </c>
      <c r="N117" s="36">
        <v>51.0</v>
      </c>
      <c r="O117" s="36">
        <v>20.0</v>
      </c>
      <c r="P117" s="36">
        <v>66.0</v>
      </c>
      <c r="Q117" s="36">
        <v>0.38</v>
      </c>
      <c r="R117" s="36">
        <v>1.13</v>
      </c>
      <c r="S117" s="36">
        <v>1.85</v>
      </c>
      <c r="T117" s="36">
        <v>2.98</v>
      </c>
      <c r="U117" s="21">
        <f t="shared" si="1"/>
        <v>2980</v>
      </c>
      <c r="V117" s="21">
        <f t="shared" si="3"/>
        <v>3600</v>
      </c>
    </row>
    <row r="118" ht="14.25" customHeight="1">
      <c r="A118" s="38">
        <v>0.36875</v>
      </c>
      <c r="B118" s="36">
        <v>201.0</v>
      </c>
      <c r="C118" s="36">
        <v>23.1</v>
      </c>
      <c r="D118" s="36">
        <v>1959.0</v>
      </c>
      <c r="E118" s="36">
        <v>2156.0</v>
      </c>
      <c r="F118" s="36">
        <v>1.1</v>
      </c>
      <c r="G118" s="36">
        <v>21.0</v>
      </c>
      <c r="H118" s="36">
        <v>2.39</v>
      </c>
      <c r="I118" s="36">
        <v>49.0</v>
      </c>
      <c r="J118" s="36">
        <v>71.1</v>
      </c>
      <c r="K118" s="36">
        <v>107.0</v>
      </c>
      <c r="L118" s="36">
        <v>39.7</v>
      </c>
      <c r="M118" s="36">
        <v>103.0</v>
      </c>
      <c r="N118" s="36">
        <v>50.0</v>
      </c>
      <c r="O118" s="36">
        <v>21.0</v>
      </c>
      <c r="P118" s="36">
        <v>66.0</v>
      </c>
      <c r="Q118" s="36">
        <v>0.38</v>
      </c>
      <c r="R118" s="36">
        <v>1.1</v>
      </c>
      <c r="S118" s="36">
        <v>1.82</v>
      </c>
      <c r="T118" s="36">
        <v>2.92</v>
      </c>
      <c r="U118" s="21">
        <f t="shared" si="1"/>
        <v>2920</v>
      </c>
      <c r="V118" s="21">
        <f t="shared" si="3"/>
        <v>2500</v>
      </c>
    </row>
    <row r="119" ht="14.25" customHeight="1">
      <c r="A119" s="38">
        <v>0.3701388888888889</v>
      </c>
      <c r="B119" s="36">
        <v>202.0</v>
      </c>
      <c r="C119" s="36">
        <v>23.2</v>
      </c>
      <c r="D119" s="36">
        <v>1973.0</v>
      </c>
      <c r="E119" s="36">
        <v>2189.0</v>
      </c>
      <c r="F119" s="36">
        <v>1.11</v>
      </c>
      <c r="G119" s="36">
        <v>21.0</v>
      </c>
      <c r="H119" s="36">
        <v>2.38</v>
      </c>
      <c r="I119" s="36">
        <v>49.7</v>
      </c>
      <c r="J119" s="36">
        <v>70.7</v>
      </c>
      <c r="K119" s="36">
        <v>108.0</v>
      </c>
      <c r="L119" s="36">
        <v>39.1</v>
      </c>
      <c r="M119" s="36">
        <v>104.0</v>
      </c>
      <c r="N119" s="36">
        <v>50.0</v>
      </c>
      <c r="O119" s="36">
        <v>21.0</v>
      </c>
      <c r="P119" s="36">
        <v>67.0</v>
      </c>
      <c r="Q119" s="36">
        <v>0.38</v>
      </c>
      <c r="R119" s="36">
        <v>1.08</v>
      </c>
      <c r="S119" s="36">
        <v>1.79</v>
      </c>
      <c r="T119" s="36">
        <v>2.87</v>
      </c>
      <c r="U119" s="21">
        <f t="shared" si="1"/>
        <v>2870</v>
      </c>
      <c r="V119" s="21">
        <f t="shared" si="3"/>
        <v>400</v>
      </c>
    </row>
    <row r="120" ht="14.25" customHeight="1">
      <c r="A120" s="38">
        <v>0.37222222222222223</v>
      </c>
      <c r="B120" s="36">
        <v>204.0</v>
      </c>
      <c r="C120" s="36">
        <v>23.3</v>
      </c>
      <c r="D120" s="36">
        <v>1984.0</v>
      </c>
      <c r="E120" s="36">
        <v>2206.0</v>
      </c>
      <c r="F120" s="36">
        <v>1.11</v>
      </c>
      <c r="G120" s="36">
        <v>21.0</v>
      </c>
      <c r="H120" s="36">
        <v>2.41</v>
      </c>
      <c r="I120" s="36">
        <v>50.0</v>
      </c>
      <c r="J120" s="36">
        <v>70.5</v>
      </c>
      <c r="K120" s="36">
        <v>111.0</v>
      </c>
      <c r="L120" s="36">
        <v>37.1</v>
      </c>
      <c r="M120" s="36">
        <v>103.0</v>
      </c>
      <c r="N120" s="36">
        <v>50.0</v>
      </c>
      <c r="O120" s="36">
        <v>21.0</v>
      </c>
      <c r="P120" s="36">
        <v>67.0</v>
      </c>
      <c r="Q120" s="36">
        <v>0.37</v>
      </c>
      <c r="R120" s="36">
        <v>1.08</v>
      </c>
      <c r="S120" s="36">
        <v>1.81</v>
      </c>
      <c r="T120" s="36">
        <v>2.89</v>
      </c>
      <c r="U120" s="21">
        <f t="shared" si="1"/>
        <v>2890</v>
      </c>
      <c r="V120" s="21">
        <f t="shared" si="3"/>
        <v>22500</v>
      </c>
    </row>
    <row r="121" ht="14.25" customHeight="1">
      <c r="A121" s="38">
        <v>0.37430555555555556</v>
      </c>
      <c r="B121" s="36">
        <v>204.0</v>
      </c>
      <c r="C121" s="36">
        <v>23.4</v>
      </c>
      <c r="D121" s="36">
        <v>1992.0</v>
      </c>
      <c r="E121" s="36">
        <v>2222.0</v>
      </c>
      <c r="F121" s="36">
        <v>1.12</v>
      </c>
      <c r="G121" s="36">
        <v>22.0</v>
      </c>
      <c r="H121" s="36">
        <v>2.29</v>
      </c>
      <c r="I121" s="36">
        <v>50.2</v>
      </c>
      <c r="J121" s="36">
        <v>70.4</v>
      </c>
      <c r="K121" s="36">
        <v>112.0</v>
      </c>
      <c r="L121" s="36">
        <v>36.5</v>
      </c>
      <c r="M121" s="36">
        <v>104.0</v>
      </c>
      <c r="N121" s="36">
        <v>50.0</v>
      </c>
      <c r="O121" s="36">
        <v>22.0</v>
      </c>
      <c r="P121" s="36">
        <v>67.0</v>
      </c>
      <c r="Q121" s="36">
        <v>0.37</v>
      </c>
      <c r="R121" s="36">
        <v>1.02</v>
      </c>
      <c r="S121" s="36">
        <v>1.72</v>
      </c>
      <c r="T121" s="36">
        <v>2.74</v>
      </c>
      <c r="U121" s="21">
        <f t="shared" si="1"/>
        <v>2740</v>
      </c>
      <c r="V121" s="21">
        <f t="shared" si="3"/>
        <v>100</v>
      </c>
    </row>
    <row r="122" ht="14.25" customHeight="1">
      <c r="A122" s="38">
        <v>0.37569444444444444</v>
      </c>
      <c r="B122" s="36">
        <v>206.0</v>
      </c>
      <c r="C122" s="36">
        <v>23.8</v>
      </c>
      <c r="D122" s="36">
        <v>2020.0</v>
      </c>
      <c r="E122" s="36">
        <v>2253.0</v>
      </c>
      <c r="F122" s="36">
        <v>1.12</v>
      </c>
      <c r="G122" s="36">
        <v>22.0</v>
      </c>
      <c r="H122" s="36">
        <v>2.31</v>
      </c>
      <c r="I122" s="36">
        <v>50.9</v>
      </c>
      <c r="J122" s="36">
        <v>70.0</v>
      </c>
      <c r="K122" s="36">
        <v>112.0</v>
      </c>
      <c r="L122" s="36">
        <v>36.5</v>
      </c>
      <c r="M122" s="36">
        <v>104.0</v>
      </c>
      <c r="N122" s="36">
        <v>50.0</v>
      </c>
      <c r="O122" s="36">
        <v>22.0</v>
      </c>
      <c r="P122" s="36">
        <v>68.0</v>
      </c>
      <c r="Q122" s="36">
        <v>0.37</v>
      </c>
      <c r="R122" s="36">
        <v>1.01</v>
      </c>
      <c r="S122" s="36">
        <v>1.72</v>
      </c>
      <c r="T122" s="36">
        <v>2.73</v>
      </c>
      <c r="U122" s="21">
        <f t="shared" si="1"/>
        <v>2730</v>
      </c>
      <c r="V122" s="21">
        <f t="shared" si="3"/>
        <v>8100</v>
      </c>
    </row>
    <row r="123" ht="14.25" customHeight="1">
      <c r="A123" s="38">
        <v>0.37777777777777777</v>
      </c>
      <c r="B123" s="36">
        <v>207.0</v>
      </c>
      <c r="C123" s="36">
        <v>23.5</v>
      </c>
      <c r="D123" s="36">
        <v>1996.0</v>
      </c>
      <c r="E123" s="36">
        <v>2244.0</v>
      </c>
      <c r="F123" s="36">
        <v>1.12</v>
      </c>
      <c r="G123" s="36">
        <v>23.0</v>
      </c>
      <c r="H123" s="36">
        <v>2.25</v>
      </c>
      <c r="I123" s="36">
        <v>51.2</v>
      </c>
      <c r="J123" s="36">
        <v>69.8</v>
      </c>
      <c r="K123" s="36">
        <v>113.0</v>
      </c>
      <c r="L123" s="36">
        <v>36.1</v>
      </c>
      <c r="M123" s="36">
        <v>104.0</v>
      </c>
      <c r="N123" s="36">
        <v>50.0</v>
      </c>
      <c r="O123" s="36">
        <v>23.0</v>
      </c>
      <c r="P123" s="36">
        <v>68.0</v>
      </c>
      <c r="Q123" s="36">
        <v>0.37</v>
      </c>
      <c r="R123" s="36">
        <v>0.98</v>
      </c>
      <c r="S123" s="36">
        <v>1.66</v>
      </c>
      <c r="T123" s="36">
        <v>2.64</v>
      </c>
      <c r="U123" s="21">
        <f t="shared" si="1"/>
        <v>2640</v>
      </c>
      <c r="V123" s="21">
        <f t="shared" si="3"/>
        <v>2500</v>
      </c>
    </row>
    <row r="124" ht="14.25" customHeight="1">
      <c r="A124" s="38">
        <v>0.37916666666666665</v>
      </c>
      <c r="B124" s="36">
        <v>209.0</v>
      </c>
      <c r="C124" s="36">
        <v>23.7</v>
      </c>
      <c r="D124" s="36">
        <v>2017.0</v>
      </c>
      <c r="E124" s="36">
        <v>2279.0</v>
      </c>
      <c r="F124" s="36">
        <v>1.13</v>
      </c>
      <c r="G124" s="36">
        <v>22.0</v>
      </c>
      <c r="H124" s="36">
        <v>2.32</v>
      </c>
      <c r="I124" s="36">
        <v>51.8</v>
      </c>
      <c r="J124" s="36">
        <v>69.4</v>
      </c>
      <c r="K124" s="36">
        <v>114.0</v>
      </c>
      <c r="L124" s="36">
        <v>35.7</v>
      </c>
      <c r="M124" s="36">
        <v>104.0</v>
      </c>
      <c r="N124" s="36">
        <v>50.0</v>
      </c>
      <c r="O124" s="36">
        <v>22.0</v>
      </c>
      <c r="P124" s="36">
        <v>68.0</v>
      </c>
      <c r="Q124" s="36">
        <v>0.37</v>
      </c>
      <c r="R124" s="36">
        <v>0.99</v>
      </c>
      <c r="S124" s="36">
        <v>1.7</v>
      </c>
      <c r="T124" s="36">
        <v>2.69</v>
      </c>
      <c r="U124" s="21">
        <f t="shared" si="1"/>
        <v>2690</v>
      </c>
      <c r="V124" s="21">
        <f t="shared" si="3"/>
        <v>3600</v>
      </c>
    </row>
    <row r="125" ht="14.25" customHeight="1">
      <c r="A125" s="38">
        <v>0.38125</v>
      </c>
      <c r="B125" s="36">
        <v>210.0</v>
      </c>
      <c r="C125" s="36">
        <v>23.8</v>
      </c>
      <c r="D125" s="36">
        <v>2024.0</v>
      </c>
      <c r="E125" s="36">
        <v>2292.0</v>
      </c>
      <c r="F125" s="36">
        <v>1.13</v>
      </c>
      <c r="G125" s="36">
        <v>23.0</v>
      </c>
      <c r="H125" s="36">
        <v>2.28</v>
      </c>
      <c r="I125" s="36">
        <v>52.0</v>
      </c>
      <c r="J125" s="36">
        <v>69.3</v>
      </c>
      <c r="K125" s="36">
        <v>115.0</v>
      </c>
      <c r="L125" s="36">
        <v>35.2</v>
      </c>
      <c r="M125" s="36">
        <v>104.0</v>
      </c>
      <c r="N125" s="36">
        <v>50.0</v>
      </c>
      <c r="O125" s="36">
        <v>23.0</v>
      </c>
      <c r="P125" s="36">
        <v>69.0</v>
      </c>
      <c r="Q125" s="36">
        <v>0.37</v>
      </c>
      <c r="R125" s="36">
        <v>0.97</v>
      </c>
      <c r="S125" s="36">
        <v>1.65</v>
      </c>
      <c r="T125" s="36">
        <v>2.63</v>
      </c>
      <c r="U125" s="21">
        <f t="shared" si="1"/>
        <v>2630</v>
      </c>
      <c r="V125" s="21">
        <f t="shared" si="3"/>
        <v>4900</v>
      </c>
    </row>
    <row r="126" ht="14.25" customHeight="1">
      <c r="A126" s="38">
        <v>0.38333333333333336</v>
      </c>
      <c r="B126" s="36">
        <v>211.0</v>
      </c>
      <c r="C126" s="36">
        <v>24.0</v>
      </c>
      <c r="D126" s="36">
        <v>2043.0</v>
      </c>
      <c r="E126" s="36">
        <v>2325.0</v>
      </c>
      <c r="F126" s="36">
        <v>1.14</v>
      </c>
      <c r="G126" s="36">
        <v>22.0</v>
      </c>
      <c r="H126" s="36">
        <v>2.35</v>
      </c>
      <c r="I126" s="36">
        <v>52.4</v>
      </c>
      <c r="J126" s="36">
        <v>69.1</v>
      </c>
      <c r="K126" s="36">
        <v>115.0</v>
      </c>
      <c r="L126" s="36">
        <v>34.8</v>
      </c>
      <c r="M126" s="36">
        <v>104.0</v>
      </c>
      <c r="N126" s="36">
        <v>51.0</v>
      </c>
      <c r="O126" s="36">
        <v>22.0</v>
      </c>
      <c r="P126" s="36">
        <v>69.0</v>
      </c>
      <c r="Q126" s="36">
        <v>0.39</v>
      </c>
      <c r="R126" s="36">
        <v>1.06</v>
      </c>
      <c r="S126" s="36">
        <v>1.64</v>
      </c>
      <c r="T126" s="36">
        <v>2.7</v>
      </c>
      <c r="U126" s="21">
        <f t="shared" si="1"/>
        <v>2700</v>
      </c>
      <c r="V126" s="21">
        <f t="shared" si="3"/>
        <v>400</v>
      </c>
    </row>
    <row r="127" ht="14.25" customHeight="1">
      <c r="A127" s="38">
        <v>0.38472222222222224</v>
      </c>
      <c r="B127" s="36">
        <v>213.0</v>
      </c>
      <c r="C127" s="36">
        <v>24.6</v>
      </c>
      <c r="D127" s="36">
        <v>2089.0</v>
      </c>
      <c r="E127" s="36">
        <v>2383.0</v>
      </c>
      <c r="F127" s="36">
        <v>1.14</v>
      </c>
      <c r="G127" s="36">
        <v>22.0</v>
      </c>
      <c r="H127" s="36">
        <v>2.39</v>
      </c>
      <c r="I127" s="36">
        <v>53.5</v>
      </c>
      <c r="J127" s="36">
        <v>68.5</v>
      </c>
      <c r="K127" s="36">
        <v>116.0</v>
      </c>
      <c r="L127" s="36">
        <v>34.5</v>
      </c>
      <c r="M127" s="36">
        <v>104.0</v>
      </c>
      <c r="N127" s="36">
        <v>51.0</v>
      </c>
      <c r="O127" s="36">
        <v>22.0</v>
      </c>
      <c r="P127" s="36">
        <v>71.0</v>
      </c>
      <c r="Q127" s="36">
        <v>0.39</v>
      </c>
      <c r="R127" s="36">
        <v>1.04</v>
      </c>
      <c r="S127" s="36">
        <v>1.64</v>
      </c>
      <c r="T127" s="36">
        <v>2.68</v>
      </c>
      <c r="U127" s="21">
        <f t="shared" si="1"/>
        <v>2680</v>
      </c>
      <c r="V127" s="21">
        <f t="shared" si="3"/>
        <v>900</v>
      </c>
    </row>
    <row r="128" ht="14.25" customHeight="1">
      <c r="A128" s="38">
        <v>0.38680555555555557</v>
      </c>
      <c r="B128" s="36">
        <v>214.0</v>
      </c>
      <c r="C128" s="36">
        <v>24.7</v>
      </c>
      <c r="D128" s="36">
        <v>2101.0</v>
      </c>
      <c r="E128" s="36">
        <v>2405.0</v>
      </c>
      <c r="F128" s="36">
        <v>1.14</v>
      </c>
      <c r="G128" s="36">
        <v>22.0</v>
      </c>
      <c r="H128" s="36">
        <v>2.42</v>
      </c>
      <c r="I128" s="36">
        <v>53.6</v>
      </c>
      <c r="J128" s="36">
        <v>68.4</v>
      </c>
      <c r="K128" s="36">
        <v>116.0</v>
      </c>
      <c r="L128" s="36">
        <v>34.2</v>
      </c>
      <c r="M128" s="36">
        <v>104.0</v>
      </c>
      <c r="N128" s="36">
        <v>51.0</v>
      </c>
      <c r="O128" s="36">
        <v>22.0</v>
      </c>
      <c r="P128" s="36">
        <v>71.0</v>
      </c>
      <c r="Q128" s="36">
        <v>0.38</v>
      </c>
      <c r="R128" s="36">
        <v>1.04</v>
      </c>
      <c r="S128" s="36">
        <v>1.67</v>
      </c>
      <c r="T128" s="36">
        <v>2.71</v>
      </c>
      <c r="U128" s="21">
        <f t="shared" si="1"/>
        <v>2710</v>
      </c>
      <c r="V128" s="21">
        <f t="shared" si="3"/>
        <v>8100</v>
      </c>
    </row>
    <row r="129" ht="14.25" customHeight="1">
      <c r="A129" s="38">
        <v>0.3888888888888889</v>
      </c>
      <c r="B129" s="36">
        <v>216.0</v>
      </c>
      <c r="C129" s="36">
        <v>24.9</v>
      </c>
      <c r="D129" s="36">
        <v>2114.0</v>
      </c>
      <c r="E129" s="36">
        <v>2446.0</v>
      </c>
      <c r="F129" s="36">
        <v>1.16</v>
      </c>
      <c r="G129" s="36">
        <v>21.0</v>
      </c>
      <c r="H129" s="36">
        <v>2.55</v>
      </c>
      <c r="I129" s="36">
        <v>54.7</v>
      </c>
      <c r="J129" s="36">
        <v>67.7</v>
      </c>
      <c r="K129" s="36">
        <v>117.0</v>
      </c>
      <c r="L129" s="36">
        <v>33.9</v>
      </c>
      <c r="M129" s="36">
        <v>104.0</v>
      </c>
      <c r="N129" s="36">
        <v>51.0</v>
      </c>
      <c r="O129" s="36">
        <v>21.0</v>
      </c>
      <c r="P129" s="36">
        <v>72.0</v>
      </c>
      <c r="Q129" s="36">
        <v>0.4</v>
      </c>
      <c r="R129" s="36">
        <v>1.11</v>
      </c>
      <c r="S129" s="36">
        <v>1.69</v>
      </c>
      <c r="T129" s="36">
        <v>2.8</v>
      </c>
      <c r="U129" s="21">
        <f t="shared" si="1"/>
        <v>2800</v>
      </c>
      <c r="V129" s="21">
        <f t="shared" si="3"/>
        <v>16900</v>
      </c>
    </row>
    <row r="130" ht="14.25" customHeight="1">
      <c r="A130" s="38">
        <v>0.3902777777777778</v>
      </c>
      <c r="B130" s="36">
        <v>217.0</v>
      </c>
      <c r="C130" s="36">
        <v>25.2</v>
      </c>
      <c r="D130" s="36">
        <v>2143.0</v>
      </c>
      <c r="E130" s="36">
        <v>2492.0</v>
      </c>
      <c r="F130" s="36">
        <v>1.16</v>
      </c>
      <c r="G130" s="36">
        <v>22.0</v>
      </c>
      <c r="H130" s="36">
        <v>2.5</v>
      </c>
      <c r="I130" s="36">
        <v>56.2</v>
      </c>
      <c r="J130" s="36">
        <v>66.9</v>
      </c>
      <c r="K130" s="36">
        <v>117.0</v>
      </c>
      <c r="L130" s="36">
        <v>33.8</v>
      </c>
      <c r="M130" s="36">
        <v>105.0</v>
      </c>
      <c r="N130" s="36">
        <v>51.0</v>
      </c>
      <c r="O130" s="36">
        <v>22.0</v>
      </c>
      <c r="P130" s="36">
        <v>73.0</v>
      </c>
      <c r="Q130" s="36">
        <v>0.37</v>
      </c>
      <c r="R130" s="36">
        <v>0.99</v>
      </c>
      <c r="S130" s="36">
        <v>1.69</v>
      </c>
      <c r="T130" s="36">
        <v>2.67</v>
      </c>
      <c r="U130" s="21">
        <f t="shared" si="1"/>
        <v>2670</v>
      </c>
      <c r="V130" s="21">
        <f t="shared" si="3"/>
        <v>2500</v>
      </c>
    </row>
    <row r="131" ht="14.25" customHeight="1">
      <c r="A131" s="38">
        <v>0.3923611111111111</v>
      </c>
      <c r="B131" s="36">
        <v>218.0</v>
      </c>
      <c r="C131" s="36">
        <v>25.2</v>
      </c>
      <c r="D131" s="36">
        <v>2145.0</v>
      </c>
      <c r="E131" s="36">
        <v>2513.0</v>
      </c>
      <c r="F131" s="36">
        <v>1.17</v>
      </c>
      <c r="G131" s="36">
        <v>23.0</v>
      </c>
      <c r="H131" s="36">
        <v>2.48</v>
      </c>
      <c r="I131" s="36">
        <v>56.7</v>
      </c>
      <c r="J131" s="36">
        <v>66.6</v>
      </c>
      <c r="K131" s="36">
        <v>117.0</v>
      </c>
      <c r="L131" s="36">
        <v>33.7</v>
      </c>
      <c r="M131" s="36">
        <v>105.0</v>
      </c>
      <c r="N131" s="36">
        <v>50.0</v>
      </c>
      <c r="O131" s="36">
        <v>23.0</v>
      </c>
      <c r="P131" s="36">
        <v>73.0</v>
      </c>
      <c r="Q131" s="36">
        <v>0.37</v>
      </c>
      <c r="R131" s="36">
        <v>0.97</v>
      </c>
      <c r="S131" s="36">
        <v>1.65</v>
      </c>
      <c r="T131" s="36">
        <v>2.62</v>
      </c>
      <c r="U131" s="21">
        <f t="shared" si="1"/>
        <v>2620</v>
      </c>
      <c r="V131" s="21">
        <f t="shared" si="3"/>
        <v>400</v>
      </c>
    </row>
    <row r="132" ht="14.25" customHeight="1">
      <c r="A132" s="38">
        <v>0.39444444444444443</v>
      </c>
      <c r="B132" s="36">
        <v>220.0</v>
      </c>
      <c r="C132" s="36">
        <v>24.9</v>
      </c>
      <c r="D132" s="36">
        <v>2119.0</v>
      </c>
      <c r="E132" s="36">
        <v>2514.0</v>
      </c>
      <c r="F132" s="36">
        <v>1.19</v>
      </c>
      <c r="G132" s="36">
        <v>23.0</v>
      </c>
      <c r="H132" s="36">
        <v>2.52</v>
      </c>
      <c r="I132" s="36">
        <v>57.3</v>
      </c>
      <c r="J132" s="36">
        <v>66.2</v>
      </c>
      <c r="K132" s="36">
        <v>118.0</v>
      </c>
      <c r="L132" s="36">
        <v>33.4</v>
      </c>
      <c r="M132" s="36">
        <v>106.0</v>
      </c>
      <c r="N132" s="36">
        <v>50.0</v>
      </c>
      <c r="O132" s="36">
        <v>23.0</v>
      </c>
      <c r="P132" s="36">
        <v>72.0</v>
      </c>
      <c r="Q132" s="36">
        <v>0.38</v>
      </c>
      <c r="R132" s="36">
        <v>1.0</v>
      </c>
      <c r="S132" s="36">
        <v>1.64</v>
      </c>
      <c r="T132" s="36">
        <v>2.64</v>
      </c>
      <c r="U132" s="21">
        <f t="shared" si="1"/>
        <v>2640</v>
      </c>
      <c r="V132" s="21">
        <f t="shared" si="3"/>
        <v>100</v>
      </c>
    </row>
    <row r="133" ht="14.25" customHeight="1">
      <c r="A133" s="38">
        <v>0.3958333333333333</v>
      </c>
      <c r="B133" s="36">
        <v>220.0</v>
      </c>
      <c r="C133" s="36">
        <v>25.4</v>
      </c>
      <c r="D133" s="36">
        <v>2156.0</v>
      </c>
      <c r="E133" s="36">
        <v>2554.0</v>
      </c>
      <c r="F133" s="36">
        <v>1.18</v>
      </c>
      <c r="G133" s="36">
        <v>23.0</v>
      </c>
      <c r="H133" s="36">
        <v>2.54</v>
      </c>
      <c r="I133" s="36">
        <v>57.4</v>
      </c>
      <c r="J133" s="36">
        <v>66.2</v>
      </c>
      <c r="K133" s="36">
        <v>118.0</v>
      </c>
      <c r="L133" s="36">
        <v>33.4</v>
      </c>
      <c r="M133" s="36">
        <v>106.0</v>
      </c>
      <c r="N133" s="36">
        <v>50.0</v>
      </c>
      <c r="O133" s="36">
        <v>23.0</v>
      </c>
      <c r="P133" s="36">
        <v>73.0</v>
      </c>
      <c r="Q133" s="36">
        <v>0.37</v>
      </c>
      <c r="R133" s="36">
        <v>0.99</v>
      </c>
      <c r="S133" s="36">
        <v>1.66</v>
      </c>
      <c r="T133" s="36">
        <v>2.65</v>
      </c>
      <c r="U133" s="21">
        <f t="shared" si="1"/>
        <v>2650</v>
      </c>
      <c r="V133" s="21">
        <f t="shared" si="3"/>
        <v>0</v>
      </c>
    </row>
    <row r="134" ht="14.25" customHeight="1">
      <c r="A134" s="38">
        <v>0.39791666666666664</v>
      </c>
      <c r="B134" s="36">
        <v>222.0</v>
      </c>
      <c r="C134" s="36">
        <v>25.4</v>
      </c>
      <c r="D134" s="36">
        <v>2156.0</v>
      </c>
      <c r="E134" s="36">
        <v>2554.0</v>
      </c>
      <c r="F134" s="36">
        <v>1.18</v>
      </c>
      <c r="G134" s="36">
        <v>23.0</v>
      </c>
      <c r="H134" s="36">
        <v>2.54</v>
      </c>
      <c r="I134" s="36">
        <v>57.4</v>
      </c>
      <c r="J134" s="36">
        <v>66.2</v>
      </c>
      <c r="K134" s="36">
        <v>118.0</v>
      </c>
      <c r="L134" s="36">
        <v>33.4</v>
      </c>
      <c r="M134" s="36">
        <v>106.0</v>
      </c>
      <c r="N134" s="36">
        <v>50.0</v>
      </c>
      <c r="O134" s="36">
        <v>23.0</v>
      </c>
      <c r="P134" s="36">
        <v>73.0</v>
      </c>
      <c r="Q134" s="36">
        <v>0.37</v>
      </c>
      <c r="R134" s="36">
        <v>0.99</v>
      </c>
      <c r="S134" s="36">
        <v>1.66</v>
      </c>
      <c r="T134" s="36">
        <v>2.65</v>
      </c>
      <c r="U134" s="21">
        <f t="shared" si="1"/>
        <v>2650</v>
      </c>
      <c r="V134" s="21">
        <f t="shared" si="3"/>
        <v>900</v>
      </c>
    </row>
    <row r="135" ht="14.25" customHeight="1">
      <c r="A135" s="38">
        <v>0.4</v>
      </c>
      <c r="B135" s="36">
        <v>223.0</v>
      </c>
      <c r="C135" s="36">
        <v>25.8</v>
      </c>
      <c r="D135" s="36">
        <v>2195.0</v>
      </c>
      <c r="E135" s="36">
        <v>2587.0</v>
      </c>
      <c r="F135" s="36">
        <v>1.18</v>
      </c>
      <c r="G135" s="36">
        <v>22.0</v>
      </c>
      <c r="H135" s="36">
        <v>2.58</v>
      </c>
      <c r="I135" s="36">
        <v>57.7</v>
      </c>
      <c r="J135" s="36">
        <v>66.0</v>
      </c>
      <c r="K135" s="36">
        <v>119.0</v>
      </c>
      <c r="L135" s="36">
        <v>32.6</v>
      </c>
      <c r="M135" s="36">
        <v>106.0</v>
      </c>
      <c r="N135" s="36">
        <v>51.0</v>
      </c>
      <c r="O135" s="36">
        <v>22.0</v>
      </c>
      <c r="P135" s="36">
        <v>74.0</v>
      </c>
      <c r="Q135" s="36">
        <v>0.37</v>
      </c>
      <c r="R135" s="36">
        <v>0.99</v>
      </c>
      <c r="S135" s="36">
        <v>1.69</v>
      </c>
      <c r="T135" s="36">
        <v>2.68</v>
      </c>
      <c r="U135" s="21">
        <f t="shared" si="1"/>
        <v>2680</v>
      </c>
      <c r="V135" s="21">
        <f t="shared" si="3"/>
        <v>2500</v>
      </c>
    </row>
    <row r="136" ht="14.25" customHeight="1">
      <c r="A136" s="38">
        <v>0.4013888888888889</v>
      </c>
      <c r="B136" s="36">
        <v>225.0</v>
      </c>
      <c r="C136" s="36">
        <v>26.2</v>
      </c>
      <c r="D136" s="36">
        <v>2231.0</v>
      </c>
      <c r="E136" s="36">
        <v>2615.0</v>
      </c>
      <c r="F136" s="36">
        <v>1.17</v>
      </c>
      <c r="G136" s="36">
        <v>23.0</v>
      </c>
      <c r="H136" s="36">
        <v>2.53</v>
      </c>
      <c r="I136" s="36">
        <v>57.7</v>
      </c>
      <c r="J136" s="36">
        <v>66.0</v>
      </c>
      <c r="K136" s="36">
        <v>120.0</v>
      </c>
      <c r="L136" s="36">
        <v>32.1</v>
      </c>
      <c r="M136" s="36">
        <v>105.0</v>
      </c>
      <c r="N136" s="36">
        <v>51.0</v>
      </c>
      <c r="O136" s="36">
        <v>23.0</v>
      </c>
      <c r="P136" s="36">
        <v>76.0</v>
      </c>
      <c r="Q136" s="36">
        <v>0.35</v>
      </c>
      <c r="R136" s="36">
        <v>0.91</v>
      </c>
      <c r="S136" s="36">
        <v>1.71</v>
      </c>
      <c r="T136" s="36">
        <v>2.63</v>
      </c>
      <c r="U136" s="21">
        <f t="shared" si="1"/>
        <v>2630</v>
      </c>
      <c r="V136" s="21">
        <f t="shared" si="3"/>
        <v>100</v>
      </c>
    </row>
    <row r="137" ht="14.25" customHeight="1">
      <c r="A137" s="38">
        <v>0.40347222222222223</v>
      </c>
      <c r="B137" s="36">
        <v>226.0</v>
      </c>
      <c r="C137" s="36">
        <v>26.6</v>
      </c>
      <c r="D137" s="36">
        <v>2264.0</v>
      </c>
      <c r="E137" s="36">
        <v>2647.0</v>
      </c>
      <c r="F137" s="36">
        <v>1.17</v>
      </c>
      <c r="G137" s="36">
        <v>23.0</v>
      </c>
      <c r="H137" s="36">
        <v>2.55</v>
      </c>
      <c r="I137" s="36">
        <v>58.0</v>
      </c>
      <c r="J137" s="36">
        <v>65.8</v>
      </c>
      <c r="K137" s="36">
        <v>121.0</v>
      </c>
      <c r="L137" s="36">
        <v>31.4</v>
      </c>
      <c r="M137" s="36">
        <v>104.0</v>
      </c>
      <c r="N137" s="36">
        <v>52.0</v>
      </c>
      <c r="O137" s="36">
        <v>23.0</v>
      </c>
      <c r="P137" s="36">
        <v>77.0</v>
      </c>
      <c r="Q137" s="36">
        <v>0.35</v>
      </c>
      <c r="R137" s="36">
        <v>0.92</v>
      </c>
      <c r="S137" s="36">
        <v>1.72</v>
      </c>
      <c r="T137" s="36">
        <v>2.64</v>
      </c>
      <c r="U137" s="21">
        <f t="shared" si="1"/>
        <v>2640</v>
      </c>
      <c r="V137" s="21">
        <f t="shared" si="3"/>
        <v>400</v>
      </c>
    </row>
    <row r="138" ht="14.25" customHeight="1">
      <c r="A138" s="38">
        <v>0.4048611111111111</v>
      </c>
      <c r="B138" s="36">
        <v>227.0</v>
      </c>
      <c r="C138" s="36">
        <v>27.1</v>
      </c>
      <c r="D138" s="36">
        <v>2300.0</v>
      </c>
      <c r="E138" s="36">
        <v>2699.0</v>
      </c>
      <c r="F138" s="36">
        <v>1.17</v>
      </c>
      <c r="G138" s="36">
        <v>23.0</v>
      </c>
      <c r="H138" s="36">
        <v>2.6</v>
      </c>
      <c r="I138" s="36">
        <v>59.5</v>
      </c>
      <c r="J138" s="36">
        <v>64.9</v>
      </c>
      <c r="K138" s="36">
        <v>122.0</v>
      </c>
      <c r="L138" s="36">
        <v>30.8</v>
      </c>
      <c r="M138" s="36">
        <v>104.0</v>
      </c>
      <c r="N138" s="36">
        <v>51.0</v>
      </c>
      <c r="O138" s="36">
        <v>23.0</v>
      </c>
      <c r="P138" s="36">
        <v>78.0</v>
      </c>
      <c r="Q138" s="36">
        <v>0.35</v>
      </c>
      <c r="R138" s="36">
        <v>0.93</v>
      </c>
      <c r="S138" s="36">
        <v>1.69</v>
      </c>
      <c r="T138" s="36">
        <v>2.62</v>
      </c>
      <c r="U138" s="21">
        <f t="shared" si="1"/>
        <v>2620</v>
      </c>
      <c r="V138" s="21">
        <f t="shared" si="3"/>
        <v>100</v>
      </c>
    </row>
    <row r="139" ht="14.25" customHeight="1">
      <c r="A139" s="38">
        <v>0.40694444444444444</v>
      </c>
      <c r="B139" s="36">
        <v>229.0</v>
      </c>
      <c r="C139" s="36">
        <v>27.4</v>
      </c>
      <c r="D139" s="36">
        <v>2326.0</v>
      </c>
      <c r="E139" s="36">
        <v>2715.0</v>
      </c>
      <c r="F139" s="36">
        <v>1.17</v>
      </c>
      <c r="G139" s="36">
        <v>23.0</v>
      </c>
      <c r="H139" s="36">
        <v>2.57</v>
      </c>
      <c r="I139" s="36">
        <v>59.0</v>
      </c>
      <c r="J139" s="36">
        <v>65.2</v>
      </c>
      <c r="K139" s="36">
        <v>123.0</v>
      </c>
      <c r="L139" s="36">
        <v>30.4</v>
      </c>
      <c r="M139" s="36">
        <v>104.0</v>
      </c>
      <c r="N139" s="36">
        <v>52.0</v>
      </c>
      <c r="O139" s="36">
        <v>23.0</v>
      </c>
      <c r="P139" s="36">
        <v>79.0</v>
      </c>
      <c r="Q139" s="36">
        <v>0.35</v>
      </c>
      <c r="R139" s="36">
        <v>0.91</v>
      </c>
      <c r="S139" s="36">
        <v>1.7</v>
      </c>
      <c r="T139" s="36">
        <v>2.61</v>
      </c>
      <c r="U139" s="21">
        <f t="shared" si="1"/>
        <v>2610</v>
      </c>
    </row>
    <row r="140" ht="14.25" customHeight="1">
      <c r="A140" s="36" t="s">
        <v>81</v>
      </c>
      <c r="U140" s="21">
        <f t="shared" si="1"/>
        <v>0</v>
      </c>
    </row>
    <row r="141" ht="14.25" customHeight="1">
      <c r="A141" s="38">
        <v>0.40902777777777777</v>
      </c>
      <c r="B141" s="36">
        <v>230.0</v>
      </c>
      <c r="C141" s="36">
        <v>27.6</v>
      </c>
      <c r="D141" s="36">
        <v>2345.0</v>
      </c>
      <c r="E141" s="36">
        <v>2764.0</v>
      </c>
      <c r="F141" s="36">
        <v>1.18</v>
      </c>
      <c r="G141" s="36">
        <v>23.0</v>
      </c>
      <c r="H141" s="36">
        <v>2.68</v>
      </c>
      <c r="I141" s="36">
        <v>60.4</v>
      </c>
      <c r="J141" s="36">
        <v>64.4</v>
      </c>
      <c r="K141" s="36">
        <v>124.0</v>
      </c>
      <c r="L141" s="36">
        <v>29.8</v>
      </c>
      <c r="M141" s="36">
        <v>104.0</v>
      </c>
      <c r="N141" s="36">
        <v>52.0</v>
      </c>
      <c r="O141" s="36">
        <v>23.0</v>
      </c>
      <c r="P141" s="36">
        <v>79.0</v>
      </c>
      <c r="Q141" s="36">
        <v>0.36</v>
      </c>
      <c r="R141" s="36">
        <v>0.96</v>
      </c>
      <c r="S141" s="36">
        <v>1.7</v>
      </c>
      <c r="T141" s="36">
        <v>2.66</v>
      </c>
      <c r="U141" s="21">
        <f t="shared" si="1"/>
        <v>2660</v>
      </c>
      <c r="V141" s="21">
        <f t="shared" ref="V141:V152" si="4">(U141-U142)^2</f>
        <v>400</v>
      </c>
      <c r="W141" s="21">
        <f>SQRT(AVERAGE(V141:V157))</f>
        <v>58.08040404</v>
      </c>
      <c r="X141" s="21">
        <f>STDEV(U141:U158)/AVERAGE(U141:U158)</f>
        <v>0.2602014229</v>
      </c>
    </row>
    <row r="142" ht="14.25" customHeight="1">
      <c r="A142" s="38">
        <v>0.41041666666666665</v>
      </c>
      <c r="B142" s="36">
        <v>231.0</v>
      </c>
      <c r="C142" s="36">
        <v>28.0</v>
      </c>
      <c r="D142" s="36">
        <v>2381.0</v>
      </c>
      <c r="E142" s="36">
        <v>2804.0</v>
      </c>
      <c r="F142" s="36">
        <v>1.18</v>
      </c>
      <c r="G142" s="36">
        <v>23.0</v>
      </c>
      <c r="H142" s="36">
        <v>2.69</v>
      </c>
      <c r="I142" s="36">
        <v>61.1</v>
      </c>
      <c r="J142" s="36">
        <v>63.9</v>
      </c>
      <c r="K142" s="36">
        <v>124.0</v>
      </c>
      <c r="L142" s="36">
        <v>29.8</v>
      </c>
      <c r="M142" s="36">
        <v>104.0</v>
      </c>
      <c r="N142" s="36">
        <v>52.0</v>
      </c>
      <c r="O142" s="36">
        <v>23.0</v>
      </c>
      <c r="P142" s="36">
        <v>81.0</v>
      </c>
      <c r="Q142" s="36">
        <v>0.37</v>
      </c>
      <c r="R142" s="36">
        <v>0.97</v>
      </c>
      <c r="S142" s="36">
        <v>1.67</v>
      </c>
      <c r="T142" s="36">
        <v>2.64</v>
      </c>
      <c r="U142" s="21">
        <f t="shared" si="1"/>
        <v>2640</v>
      </c>
      <c r="V142" s="21">
        <f t="shared" si="4"/>
        <v>3600</v>
      </c>
    </row>
    <row r="143" ht="14.25" customHeight="1">
      <c r="A143" s="38">
        <v>0.41180555555555554</v>
      </c>
      <c r="B143" s="36">
        <v>232.0</v>
      </c>
      <c r="C143" s="36">
        <v>28.6</v>
      </c>
      <c r="D143" s="36">
        <v>2429.0</v>
      </c>
      <c r="E143" s="36">
        <v>2870.0</v>
      </c>
      <c r="F143" s="36">
        <v>1.18</v>
      </c>
      <c r="G143" s="36">
        <v>23.0</v>
      </c>
      <c r="H143" s="36">
        <v>2.71</v>
      </c>
      <c r="I143" s="36">
        <v>62.9</v>
      </c>
      <c r="J143" s="36">
        <v>62.9</v>
      </c>
      <c r="K143" s="36">
        <v>125.0</v>
      </c>
      <c r="L143" s="36">
        <v>29.2</v>
      </c>
      <c r="M143" s="36">
        <v>104.0</v>
      </c>
      <c r="N143" s="36">
        <v>52.0</v>
      </c>
      <c r="O143" s="36">
        <v>23.0</v>
      </c>
      <c r="P143" s="36">
        <v>82.0</v>
      </c>
      <c r="Q143" s="36">
        <v>0.37</v>
      </c>
      <c r="R143" s="36">
        <v>0.96</v>
      </c>
      <c r="S143" s="36">
        <v>1.62</v>
      </c>
      <c r="T143" s="36">
        <v>2.58</v>
      </c>
      <c r="U143" s="21">
        <f t="shared" si="1"/>
        <v>2580</v>
      </c>
      <c r="V143" s="21">
        <f t="shared" si="4"/>
        <v>12100</v>
      </c>
    </row>
    <row r="144" ht="14.25" customHeight="1">
      <c r="A144" s="38">
        <v>0.4131944444444444</v>
      </c>
      <c r="B144" s="36">
        <v>233.0</v>
      </c>
      <c r="C144" s="36">
        <v>28.9</v>
      </c>
      <c r="D144" s="36">
        <v>2460.0</v>
      </c>
      <c r="E144" s="36">
        <v>2927.0</v>
      </c>
      <c r="F144" s="36">
        <v>1.19</v>
      </c>
      <c r="G144" s="36">
        <v>24.0</v>
      </c>
      <c r="H144" s="36">
        <v>2.67</v>
      </c>
      <c r="I144" s="36">
        <v>64.8</v>
      </c>
      <c r="J144" s="36">
        <v>61.8</v>
      </c>
      <c r="K144" s="36">
        <v>126.0</v>
      </c>
      <c r="L144" s="36">
        <v>28.6</v>
      </c>
      <c r="M144" s="36">
        <v>105.0</v>
      </c>
      <c r="N144" s="36">
        <v>51.0</v>
      </c>
      <c r="O144" s="36">
        <v>24.0</v>
      </c>
      <c r="P144" s="36">
        <v>83.0</v>
      </c>
      <c r="Q144" s="36">
        <v>0.38</v>
      </c>
      <c r="R144" s="36">
        <v>0.93</v>
      </c>
      <c r="S144" s="36">
        <v>1.54</v>
      </c>
      <c r="T144" s="36">
        <v>2.47</v>
      </c>
      <c r="U144" s="21">
        <f t="shared" si="1"/>
        <v>2470</v>
      </c>
      <c r="V144" s="21">
        <f t="shared" si="4"/>
        <v>1600</v>
      </c>
    </row>
    <row r="145" ht="14.25" customHeight="1">
      <c r="A145" s="38">
        <v>0.4152777777777778</v>
      </c>
      <c r="B145" s="36">
        <v>235.0</v>
      </c>
      <c r="C145" s="36">
        <v>28.6</v>
      </c>
      <c r="D145" s="36">
        <v>2434.0</v>
      </c>
      <c r="E145" s="36">
        <v>2917.0</v>
      </c>
      <c r="F145" s="36">
        <v>1.2</v>
      </c>
      <c r="G145" s="36">
        <v>25.0</v>
      </c>
      <c r="H145" s="36">
        <v>2.62</v>
      </c>
      <c r="I145" s="36">
        <v>64.9</v>
      </c>
      <c r="J145" s="36">
        <v>61.8</v>
      </c>
      <c r="K145" s="36">
        <v>130.0</v>
      </c>
      <c r="L145" s="36">
        <v>26.8</v>
      </c>
      <c r="M145" s="36">
        <v>105.0</v>
      </c>
      <c r="N145" s="36">
        <v>51.0</v>
      </c>
      <c r="O145" s="36">
        <v>25.0</v>
      </c>
      <c r="P145" s="36">
        <v>82.0</v>
      </c>
      <c r="Q145" s="36">
        <v>0.38</v>
      </c>
      <c r="R145" s="36">
        <v>0.91</v>
      </c>
      <c r="S145" s="36">
        <v>1.52</v>
      </c>
      <c r="T145" s="36">
        <v>2.43</v>
      </c>
      <c r="U145" s="21">
        <f t="shared" si="1"/>
        <v>2430</v>
      </c>
      <c r="V145" s="21">
        <f t="shared" si="4"/>
        <v>3600</v>
      </c>
    </row>
    <row r="146" ht="14.25" customHeight="1">
      <c r="A146" s="38">
        <v>0.4166666666666667</v>
      </c>
      <c r="B146" s="36">
        <v>235.0</v>
      </c>
      <c r="C146" s="36">
        <v>28.9</v>
      </c>
      <c r="D146" s="36">
        <v>2460.0</v>
      </c>
      <c r="E146" s="36">
        <v>2957.0</v>
      </c>
      <c r="F146" s="36">
        <v>1.2</v>
      </c>
      <c r="G146" s="36">
        <v>25.0</v>
      </c>
      <c r="H146" s="36">
        <v>2.61</v>
      </c>
      <c r="I146" s="36">
        <v>66.1</v>
      </c>
      <c r="J146" s="36">
        <v>61.1</v>
      </c>
      <c r="K146" s="36">
        <v>130.0</v>
      </c>
      <c r="L146" s="36">
        <v>26.5</v>
      </c>
      <c r="M146" s="36">
        <v>106.0</v>
      </c>
      <c r="N146" s="36">
        <v>51.0</v>
      </c>
      <c r="O146" s="36">
        <v>25.0</v>
      </c>
      <c r="P146" s="36">
        <v>83.0</v>
      </c>
      <c r="Q146" s="36">
        <v>0.38</v>
      </c>
      <c r="R146" s="36">
        <v>0.9</v>
      </c>
      <c r="S146" s="36">
        <v>1.47</v>
      </c>
      <c r="T146" s="36">
        <v>2.37</v>
      </c>
      <c r="U146" s="21">
        <f t="shared" si="1"/>
        <v>2370</v>
      </c>
      <c r="V146" s="21">
        <f t="shared" si="4"/>
        <v>0</v>
      </c>
    </row>
    <row r="147" ht="14.25" customHeight="1">
      <c r="A147" s="38">
        <v>0.41875</v>
      </c>
      <c r="B147" s="36">
        <v>237.0</v>
      </c>
      <c r="C147" s="36">
        <v>28.9</v>
      </c>
      <c r="D147" s="36">
        <v>2460.0</v>
      </c>
      <c r="E147" s="36">
        <v>2957.0</v>
      </c>
      <c r="F147" s="36">
        <v>1.2</v>
      </c>
      <c r="G147" s="36">
        <v>25.0</v>
      </c>
      <c r="H147" s="36">
        <v>2.61</v>
      </c>
      <c r="I147" s="36">
        <v>66.1</v>
      </c>
      <c r="J147" s="36">
        <v>61.1</v>
      </c>
      <c r="K147" s="36">
        <v>131.0</v>
      </c>
      <c r="L147" s="36">
        <v>26.0</v>
      </c>
      <c r="M147" s="36">
        <v>106.0</v>
      </c>
      <c r="N147" s="36">
        <v>51.0</v>
      </c>
      <c r="O147" s="36">
        <v>25.0</v>
      </c>
      <c r="P147" s="36">
        <v>83.0</v>
      </c>
      <c r="Q147" s="36">
        <v>0.38</v>
      </c>
      <c r="R147" s="36">
        <v>0.9</v>
      </c>
      <c r="S147" s="36">
        <v>1.47</v>
      </c>
      <c r="T147" s="36">
        <v>2.37</v>
      </c>
      <c r="U147" s="21">
        <f t="shared" si="1"/>
        <v>2370</v>
      </c>
      <c r="V147" s="21">
        <f t="shared" si="4"/>
        <v>25600</v>
      </c>
    </row>
    <row r="148" ht="14.25" customHeight="1">
      <c r="A148" s="38">
        <v>0.4201388888888889</v>
      </c>
      <c r="B148" s="36">
        <v>238.0</v>
      </c>
      <c r="C148" s="36">
        <v>29.3</v>
      </c>
      <c r="D148" s="36">
        <v>2492.0</v>
      </c>
      <c r="E148" s="36">
        <v>2999.0</v>
      </c>
      <c r="F148" s="36">
        <v>1.2</v>
      </c>
      <c r="G148" s="36">
        <v>27.0</v>
      </c>
      <c r="H148" s="36">
        <v>2.5</v>
      </c>
      <c r="I148" s="36">
        <v>67.8</v>
      </c>
      <c r="J148" s="36">
        <v>60.0</v>
      </c>
      <c r="K148" s="36">
        <v>131.0</v>
      </c>
      <c r="L148" s="36">
        <v>26.2</v>
      </c>
      <c r="M148" s="36">
        <v>107.0</v>
      </c>
      <c r="N148" s="36">
        <v>50.0</v>
      </c>
      <c r="O148" s="36">
        <v>27.0</v>
      </c>
      <c r="P148" s="36">
        <v>84.0</v>
      </c>
      <c r="Q148" s="36">
        <v>0.37</v>
      </c>
      <c r="R148" s="36">
        <v>0.82</v>
      </c>
      <c r="S148" s="36">
        <v>1.39</v>
      </c>
      <c r="T148" s="36">
        <v>2.21</v>
      </c>
      <c r="U148" s="21">
        <f t="shared" si="1"/>
        <v>2210</v>
      </c>
      <c r="V148" s="21">
        <f t="shared" si="4"/>
        <v>100</v>
      </c>
    </row>
    <row r="149" ht="14.25" customHeight="1">
      <c r="A149" s="38">
        <v>0.4215277777777778</v>
      </c>
      <c r="B149" s="36">
        <v>239.0</v>
      </c>
      <c r="C149" s="36">
        <v>29.7</v>
      </c>
      <c r="D149" s="36">
        <v>2522.0</v>
      </c>
      <c r="E149" s="36">
        <v>3039.0</v>
      </c>
      <c r="F149" s="36">
        <v>1.21</v>
      </c>
      <c r="G149" s="36">
        <v>27.0</v>
      </c>
      <c r="H149" s="36">
        <v>2.51</v>
      </c>
      <c r="I149" s="36">
        <v>68.5</v>
      </c>
      <c r="J149" s="36">
        <v>59.6</v>
      </c>
      <c r="K149" s="36">
        <v>131.0</v>
      </c>
      <c r="L149" s="36">
        <v>26.2</v>
      </c>
      <c r="M149" s="36">
        <v>106.0</v>
      </c>
      <c r="N149" s="36">
        <v>50.0</v>
      </c>
      <c r="O149" s="36">
        <v>27.0</v>
      </c>
      <c r="P149" s="36">
        <v>85.0</v>
      </c>
      <c r="Q149" s="36">
        <v>0.36</v>
      </c>
      <c r="R149" s="36">
        <v>0.79</v>
      </c>
      <c r="S149" s="36">
        <v>1.41</v>
      </c>
      <c r="T149" s="36">
        <v>2.2</v>
      </c>
      <c r="U149" s="21">
        <f t="shared" si="1"/>
        <v>2200</v>
      </c>
      <c r="V149" s="21">
        <f t="shared" si="4"/>
        <v>400</v>
      </c>
    </row>
    <row r="150" ht="14.25" customHeight="1">
      <c r="A150" s="38">
        <v>0.42291666666666666</v>
      </c>
      <c r="B150" s="36">
        <v>240.0</v>
      </c>
      <c r="C150" s="36">
        <v>29.9</v>
      </c>
      <c r="D150" s="36">
        <v>2542.0</v>
      </c>
      <c r="E150" s="36">
        <v>3068.0</v>
      </c>
      <c r="F150" s="36">
        <v>1.21</v>
      </c>
      <c r="G150" s="36">
        <v>27.0</v>
      </c>
      <c r="H150" s="36">
        <v>2.55</v>
      </c>
      <c r="I150" s="36">
        <v>69.1</v>
      </c>
      <c r="J150" s="36">
        <v>59.3</v>
      </c>
      <c r="K150" s="36">
        <v>132.0</v>
      </c>
      <c r="L150" s="36">
        <v>25.7</v>
      </c>
      <c r="M150" s="36">
        <v>106.0</v>
      </c>
      <c r="N150" s="36">
        <v>50.0</v>
      </c>
      <c r="O150" s="36">
        <v>27.0</v>
      </c>
      <c r="P150" s="36">
        <v>86.0</v>
      </c>
      <c r="Q150" s="36">
        <v>0.36</v>
      </c>
      <c r="R150" s="36">
        <v>0.8</v>
      </c>
      <c r="S150" s="36">
        <v>1.42</v>
      </c>
      <c r="T150" s="36">
        <v>2.22</v>
      </c>
      <c r="U150" s="21">
        <f t="shared" si="1"/>
        <v>2220</v>
      </c>
      <c r="V150" s="21">
        <f t="shared" si="4"/>
        <v>0</v>
      </c>
    </row>
    <row r="151" ht="14.25" customHeight="1">
      <c r="A151" s="38">
        <v>0.425</v>
      </c>
      <c r="B151" s="36">
        <v>241.0</v>
      </c>
      <c r="C151" s="36">
        <v>30.3</v>
      </c>
      <c r="D151" s="36">
        <v>2579.0</v>
      </c>
      <c r="E151" s="36">
        <v>3117.0</v>
      </c>
      <c r="F151" s="36">
        <v>1.21</v>
      </c>
      <c r="G151" s="36">
        <v>27.0</v>
      </c>
      <c r="H151" s="36">
        <v>2.58</v>
      </c>
      <c r="I151" s="36">
        <v>69.8</v>
      </c>
      <c r="J151" s="36">
        <v>58.8</v>
      </c>
      <c r="K151" s="36">
        <v>132.0</v>
      </c>
      <c r="L151" s="36">
        <v>25.2</v>
      </c>
      <c r="M151" s="36">
        <v>106.0</v>
      </c>
      <c r="N151" s="36">
        <v>51.0</v>
      </c>
      <c r="O151" s="36">
        <v>27.0</v>
      </c>
      <c r="P151" s="36">
        <v>87.0</v>
      </c>
      <c r="Q151" s="36">
        <v>0.37</v>
      </c>
      <c r="R151" s="36">
        <v>0.82</v>
      </c>
      <c r="S151" s="36">
        <v>1.4</v>
      </c>
      <c r="T151" s="36">
        <v>2.22</v>
      </c>
      <c r="U151" s="21">
        <f t="shared" si="1"/>
        <v>2220</v>
      </c>
      <c r="V151" s="21">
        <f t="shared" si="4"/>
        <v>900</v>
      </c>
    </row>
    <row r="152" ht="14.25" customHeight="1">
      <c r="A152" s="38">
        <v>0.4263888888888889</v>
      </c>
      <c r="B152" s="36">
        <v>242.0</v>
      </c>
      <c r="C152" s="36">
        <v>30.9</v>
      </c>
      <c r="D152" s="36">
        <v>2623.0</v>
      </c>
      <c r="E152" s="36">
        <v>3184.0</v>
      </c>
      <c r="F152" s="36">
        <v>1.21</v>
      </c>
      <c r="G152" s="36">
        <v>27.0</v>
      </c>
      <c r="H152" s="36">
        <v>2.63</v>
      </c>
      <c r="I152" s="36">
        <v>72.0</v>
      </c>
      <c r="J152" s="36">
        <v>57.5</v>
      </c>
      <c r="K152" s="36">
        <v>133.0</v>
      </c>
      <c r="L152" s="36">
        <v>24.7</v>
      </c>
      <c r="M152" s="36">
        <v>107.0</v>
      </c>
      <c r="N152" s="36">
        <v>50.0</v>
      </c>
      <c r="O152" s="36">
        <v>27.0</v>
      </c>
      <c r="P152" s="36">
        <v>89.0</v>
      </c>
      <c r="Q152" s="36">
        <v>0.36</v>
      </c>
      <c r="R152" s="36">
        <v>0.8</v>
      </c>
      <c r="S152" s="36">
        <v>1.39</v>
      </c>
      <c r="T152" s="36">
        <v>2.19</v>
      </c>
      <c r="U152" s="21">
        <f t="shared" si="1"/>
        <v>2190</v>
      </c>
      <c r="V152" s="21">
        <f t="shared" si="4"/>
        <v>100</v>
      </c>
    </row>
    <row r="153" ht="14.25" customHeight="1">
      <c r="A153" s="38">
        <v>0.42777777777777776</v>
      </c>
      <c r="B153" s="36">
        <v>243.0</v>
      </c>
      <c r="C153" s="36">
        <v>31.1</v>
      </c>
      <c r="D153" s="36">
        <v>2644.0</v>
      </c>
      <c r="E153" s="36">
        <v>3221.0</v>
      </c>
      <c r="F153" s="36">
        <v>1.22</v>
      </c>
      <c r="G153" s="36">
        <v>27.0</v>
      </c>
      <c r="H153" s="36">
        <v>2.65</v>
      </c>
      <c r="I153" s="36">
        <v>72.3</v>
      </c>
      <c r="J153" s="36">
        <v>57.4</v>
      </c>
      <c r="K153" s="36">
        <v>134.0</v>
      </c>
      <c r="L153" s="36">
        <v>24.2</v>
      </c>
      <c r="M153" s="36">
        <v>106.0</v>
      </c>
      <c r="N153" s="36">
        <v>51.0</v>
      </c>
      <c r="O153" s="36">
        <v>27.0</v>
      </c>
      <c r="P153" s="36">
        <v>90.0</v>
      </c>
      <c r="Q153" s="36">
        <v>0.36</v>
      </c>
      <c r="R153" s="36">
        <v>0.79</v>
      </c>
      <c r="S153" s="36">
        <v>1.41</v>
      </c>
      <c r="T153" s="36">
        <v>2.2</v>
      </c>
      <c r="U153" s="21">
        <f t="shared" si="1"/>
        <v>2200</v>
      </c>
    </row>
    <row r="154" ht="14.25" customHeight="1">
      <c r="A154" s="36" t="s">
        <v>82</v>
      </c>
      <c r="U154" s="21">
        <f t="shared" si="1"/>
        <v>0</v>
      </c>
    </row>
    <row r="155" ht="14.25" customHeight="1">
      <c r="A155" s="38">
        <v>0.42916666666666664</v>
      </c>
      <c r="B155" s="36">
        <v>244.0</v>
      </c>
      <c r="C155" s="36">
        <v>31.3</v>
      </c>
      <c r="D155" s="36">
        <v>2657.0</v>
      </c>
      <c r="E155" s="36">
        <v>3240.0</v>
      </c>
      <c r="F155" s="36">
        <v>1.22</v>
      </c>
      <c r="G155" s="36">
        <v>27.0</v>
      </c>
      <c r="H155" s="36">
        <v>2.67</v>
      </c>
      <c r="I155" s="36">
        <v>72.5</v>
      </c>
      <c r="J155" s="36">
        <v>57.3</v>
      </c>
      <c r="K155" s="36">
        <v>135.0</v>
      </c>
      <c r="L155" s="36">
        <v>23.5</v>
      </c>
      <c r="M155" s="36">
        <v>106.0</v>
      </c>
      <c r="N155" s="36">
        <v>51.0</v>
      </c>
      <c r="O155" s="36">
        <v>27.0</v>
      </c>
      <c r="P155" s="36">
        <v>90.0</v>
      </c>
      <c r="Q155" s="36">
        <v>0.37</v>
      </c>
      <c r="R155" s="36">
        <v>0.81</v>
      </c>
      <c r="S155" s="36">
        <v>1.4</v>
      </c>
      <c r="T155" s="36">
        <v>2.21</v>
      </c>
      <c r="U155" s="21">
        <f t="shared" si="1"/>
        <v>2210</v>
      </c>
      <c r="V155" s="21">
        <f t="shared" ref="V155:V157" si="5">(U155-U156)^2</f>
        <v>900</v>
      </c>
    </row>
    <row r="156" ht="14.25" customHeight="1">
      <c r="A156" s="38">
        <v>0.4305555555555556</v>
      </c>
      <c r="B156" s="36">
        <v>246.0</v>
      </c>
      <c r="C156" s="36">
        <v>31.0</v>
      </c>
      <c r="D156" s="36">
        <v>2638.0</v>
      </c>
      <c r="E156" s="36">
        <v>3221.0</v>
      </c>
      <c r="F156" s="36">
        <v>1.22</v>
      </c>
      <c r="G156" s="36">
        <v>27.0</v>
      </c>
      <c r="H156" s="36">
        <v>2.68</v>
      </c>
      <c r="I156" s="36">
        <v>71.7</v>
      </c>
      <c r="J156" s="36">
        <v>57.7</v>
      </c>
      <c r="K156" s="36">
        <v>136.0</v>
      </c>
      <c r="L156" s="36">
        <v>23.0</v>
      </c>
      <c r="M156" s="36">
        <v>106.0</v>
      </c>
      <c r="N156" s="36">
        <v>51.0</v>
      </c>
      <c r="O156" s="36">
        <v>27.0</v>
      </c>
      <c r="P156" s="36">
        <v>89.0</v>
      </c>
      <c r="Q156" s="36">
        <v>0.37</v>
      </c>
      <c r="R156" s="36">
        <v>0.82</v>
      </c>
      <c r="S156" s="36">
        <v>1.42</v>
      </c>
      <c r="T156" s="36">
        <v>2.24</v>
      </c>
      <c r="U156" s="21">
        <f t="shared" si="1"/>
        <v>2240</v>
      </c>
      <c r="V156" s="21">
        <f t="shared" si="5"/>
        <v>400</v>
      </c>
    </row>
    <row r="157" ht="14.25" customHeight="1">
      <c r="A157" s="38">
        <v>0.43194444444444446</v>
      </c>
      <c r="B157" s="36">
        <v>246.0</v>
      </c>
      <c r="C157" s="36">
        <v>31.0</v>
      </c>
      <c r="D157" s="36">
        <v>2632.0</v>
      </c>
      <c r="E157" s="36">
        <v>3247.0</v>
      </c>
      <c r="F157" s="36">
        <v>1.23</v>
      </c>
      <c r="G157" s="36">
        <v>27.0</v>
      </c>
      <c r="H157" s="36">
        <v>2.7</v>
      </c>
      <c r="I157" s="36">
        <v>72.9</v>
      </c>
      <c r="J157" s="36">
        <v>57.0</v>
      </c>
      <c r="K157" s="36">
        <v>138.0</v>
      </c>
      <c r="L157" s="36">
        <v>22.3</v>
      </c>
      <c r="M157" s="36">
        <v>106.0</v>
      </c>
      <c r="N157" s="36">
        <v>51.0</v>
      </c>
      <c r="O157" s="36">
        <v>27.0</v>
      </c>
      <c r="P157" s="36">
        <v>89.0</v>
      </c>
      <c r="Q157" s="36">
        <v>0.37</v>
      </c>
      <c r="R157" s="36">
        <v>0.83</v>
      </c>
      <c r="S157" s="36">
        <v>1.39</v>
      </c>
      <c r="T157" s="36">
        <v>2.22</v>
      </c>
      <c r="U157" s="21">
        <f t="shared" si="1"/>
        <v>2220</v>
      </c>
      <c r="V157" s="21">
        <f t="shared" si="5"/>
        <v>900</v>
      </c>
    </row>
    <row r="158" ht="14.25" customHeight="1">
      <c r="A158" s="38">
        <v>0.4340277777777778</v>
      </c>
      <c r="B158" s="36">
        <v>248.0</v>
      </c>
      <c r="C158" s="36">
        <v>31.0</v>
      </c>
      <c r="D158" s="36">
        <v>2633.0</v>
      </c>
      <c r="E158" s="36">
        <v>3273.0</v>
      </c>
      <c r="F158" s="36">
        <v>1.24</v>
      </c>
      <c r="G158" s="36">
        <v>27.0</v>
      </c>
      <c r="H158" s="36">
        <v>2.7</v>
      </c>
      <c r="I158" s="36">
        <v>73.8</v>
      </c>
      <c r="J158" s="36">
        <v>56.5</v>
      </c>
      <c r="K158" s="36">
        <v>138.0</v>
      </c>
      <c r="L158" s="36">
        <v>22.1</v>
      </c>
      <c r="M158" s="36">
        <v>107.0</v>
      </c>
      <c r="N158" s="36">
        <v>51.0</v>
      </c>
      <c r="O158" s="36">
        <v>27.0</v>
      </c>
      <c r="P158" s="36">
        <v>89.0</v>
      </c>
      <c r="Q158" s="36">
        <v>0.37</v>
      </c>
      <c r="R158" s="36">
        <v>0.82</v>
      </c>
      <c r="S158" s="36">
        <v>1.37</v>
      </c>
      <c r="T158" s="36">
        <v>2.19</v>
      </c>
      <c r="U158" s="21">
        <f t="shared" si="1"/>
        <v>2190</v>
      </c>
    </row>
    <row r="159" ht="14.25" customHeight="1">
      <c r="A159" s="36" t="s">
        <v>88</v>
      </c>
      <c r="U159" s="21">
        <f t="shared" si="1"/>
        <v>0</v>
      </c>
      <c r="V159" s="21">
        <f>(U159-U160)^2</f>
        <v>0</v>
      </c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23" width="9.0"/>
    <col customWidth="1" min="24" max="45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92</v>
      </c>
      <c r="V2" s="8" t="s">
        <v>85</v>
      </c>
      <c r="W2" s="8" t="s">
        <v>52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0.0875</v>
      </c>
      <c r="B6" s="36">
        <v>0.0</v>
      </c>
      <c r="C6" s="36">
        <v>8.8</v>
      </c>
      <c r="D6" s="36">
        <v>458.0</v>
      </c>
      <c r="E6" s="36">
        <v>402.0</v>
      </c>
      <c r="F6" s="36">
        <v>0.88</v>
      </c>
      <c r="G6" s="36">
        <v>18.0</v>
      </c>
      <c r="H6" s="36">
        <v>0.63</v>
      </c>
      <c r="I6" s="36">
        <v>11.1</v>
      </c>
      <c r="J6" s="36">
        <v>88.9</v>
      </c>
      <c r="K6" s="36">
        <v>98.0</v>
      </c>
      <c r="L6" s="36">
        <v>52.9</v>
      </c>
      <c r="M6" s="36">
        <v>102.0</v>
      </c>
      <c r="N6" s="36">
        <v>41.0</v>
      </c>
      <c r="O6" s="36">
        <v>18.0</v>
      </c>
      <c r="P6" s="36">
        <v>22.0</v>
      </c>
      <c r="Q6" s="36">
        <v>0.36</v>
      </c>
      <c r="R6" s="36">
        <v>1.22</v>
      </c>
      <c r="S6" s="36">
        <v>2.2</v>
      </c>
      <c r="T6" s="36">
        <v>3.42</v>
      </c>
      <c r="U6" s="21">
        <f t="shared" ref="U6:U192" si="1">T6*1000</f>
        <v>3420</v>
      </c>
      <c r="V6" s="21">
        <f t="shared" ref="V6:V148" si="2">(U6-U7)^2</f>
        <v>40000</v>
      </c>
      <c r="W6" s="21">
        <f>SQRT(AVERAGE(V6:V148))</f>
        <v>142.7526591</v>
      </c>
    </row>
    <row r="7" ht="14.25" customHeight="1">
      <c r="A7" s="38">
        <v>0.08958333333333333</v>
      </c>
      <c r="B7" s="36">
        <v>0.0</v>
      </c>
      <c r="C7" s="36">
        <v>8.7</v>
      </c>
      <c r="D7" s="36">
        <v>453.0</v>
      </c>
      <c r="E7" s="36">
        <v>397.0</v>
      </c>
      <c r="F7" s="36">
        <v>0.88</v>
      </c>
      <c r="G7" s="36">
        <v>19.0</v>
      </c>
      <c r="H7" s="36">
        <v>0.59</v>
      </c>
      <c r="I7" s="36">
        <v>10.9</v>
      </c>
      <c r="J7" s="36">
        <v>89.0</v>
      </c>
      <c r="K7" s="36">
        <v>99.0</v>
      </c>
      <c r="L7" s="36">
        <v>52.2</v>
      </c>
      <c r="M7" s="36">
        <v>102.0</v>
      </c>
      <c r="N7" s="36">
        <v>41.0</v>
      </c>
      <c r="O7" s="36">
        <v>19.0</v>
      </c>
      <c r="P7" s="36">
        <v>22.0</v>
      </c>
      <c r="Q7" s="36">
        <v>0.33</v>
      </c>
      <c r="R7" s="36">
        <v>1.07</v>
      </c>
      <c r="S7" s="36">
        <v>2.15</v>
      </c>
      <c r="T7" s="36">
        <v>3.22</v>
      </c>
      <c r="U7" s="21">
        <f t="shared" si="1"/>
        <v>3220</v>
      </c>
      <c r="V7" s="21">
        <f t="shared" si="2"/>
        <v>25600</v>
      </c>
    </row>
    <row r="8" ht="14.25" customHeight="1">
      <c r="A8" s="38">
        <v>0.09166666666666666</v>
      </c>
      <c r="B8" s="36">
        <v>2.0</v>
      </c>
      <c r="C8" s="36">
        <v>8.5</v>
      </c>
      <c r="D8" s="36">
        <v>440.0</v>
      </c>
      <c r="E8" s="36">
        <v>388.0</v>
      </c>
      <c r="F8" s="36">
        <v>0.88</v>
      </c>
      <c r="G8" s="36">
        <v>20.0</v>
      </c>
      <c r="H8" s="36">
        <v>0.55</v>
      </c>
      <c r="I8" s="36">
        <v>10.7</v>
      </c>
      <c r="J8" s="36">
        <v>89.2</v>
      </c>
      <c r="K8" s="36">
        <v>99.0</v>
      </c>
      <c r="L8" s="36">
        <v>52.5</v>
      </c>
      <c r="M8" s="36">
        <v>102.0</v>
      </c>
      <c r="N8" s="36">
        <v>41.0</v>
      </c>
      <c r="O8" s="36">
        <v>20.0</v>
      </c>
      <c r="P8" s="36">
        <v>21.0</v>
      </c>
      <c r="Q8" s="36">
        <v>0.32</v>
      </c>
      <c r="R8" s="36">
        <v>0.99</v>
      </c>
      <c r="S8" s="36">
        <v>2.07</v>
      </c>
      <c r="T8" s="36">
        <v>3.06</v>
      </c>
      <c r="U8" s="21">
        <f t="shared" si="1"/>
        <v>3060</v>
      </c>
      <c r="V8" s="21">
        <f t="shared" si="2"/>
        <v>1600</v>
      </c>
    </row>
    <row r="9" ht="14.25" customHeight="1">
      <c r="A9" s="38">
        <v>0.09444444444444444</v>
      </c>
      <c r="B9" s="36">
        <v>3.0</v>
      </c>
      <c r="C9" s="36">
        <v>8.0</v>
      </c>
      <c r="D9" s="36">
        <v>418.0</v>
      </c>
      <c r="E9" s="36">
        <v>368.0</v>
      </c>
      <c r="F9" s="36">
        <v>0.88</v>
      </c>
      <c r="G9" s="36">
        <v>19.0</v>
      </c>
      <c r="H9" s="36">
        <v>0.53</v>
      </c>
      <c r="I9" s="36">
        <v>10.2</v>
      </c>
      <c r="J9" s="36">
        <v>89.7</v>
      </c>
      <c r="K9" s="36">
        <v>99.0</v>
      </c>
      <c r="L9" s="36">
        <v>52.4</v>
      </c>
      <c r="M9" s="36">
        <v>102.0</v>
      </c>
      <c r="N9" s="36">
        <v>41.0</v>
      </c>
      <c r="O9" s="36">
        <v>19.0</v>
      </c>
      <c r="P9" s="36">
        <v>20.0</v>
      </c>
      <c r="Q9" s="36">
        <v>0.32</v>
      </c>
      <c r="R9" s="36">
        <v>0.99</v>
      </c>
      <c r="S9" s="36">
        <v>2.1</v>
      </c>
      <c r="T9" s="36">
        <v>3.1</v>
      </c>
      <c r="U9" s="21">
        <f t="shared" si="1"/>
        <v>3100</v>
      </c>
      <c r="V9" s="21">
        <f t="shared" si="2"/>
        <v>14400</v>
      </c>
    </row>
    <row r="10" ht="14.25" customHeight="1">
      <c r="A10" s="38">
        <v>0.09652777777777778</v>
      </c>
      <c r="B10" s="36">
        <v>4.0</v>
      </c>
      <c r="C10" s="36">
        <v>8.0</v>
      </c>
      <c r="D10" s="36">
        <v>417.0</v>
      </c>
      <c r="E10" s="36">
        <v>367.0</v>
      </c>
      <c r="F10" s="36">
        <v>0.88</v>
      </c>
      <c r="G10" s="36">
        <v>19.0</v>
      </c>
      <c r="H10" s="36">
        <v>0.54</v>
      </c>
      <c r="I10" s="36">
        <v>10.1</v>
      </c>
      <c r="J10" s="36">
        <v>89.9</v>
      </c>
      <c r="K10" s="36">
        <v>99.0</v>
      </c>
      <c r="L10" s="36">
        <v>52.6</v>
      </c>
      <c r="M10" s="36">
        <v>101.0</v>
      </c>
      <c r="N10" s="36">
        <v>41.0</v>
      </c>
      <c r="O10" s="36">
        <v>19.0</v>
      </c>
      <c r="P10" s="36">
        <v>20.0</v>
      </c>
      <c r="Q10" s="36">
        <v>0.34</v>
      </c>
      <c r="R10" s="36">
        <v>1.09</v>
      </c>
      <c r="S10" s="36">
        <v>2.13</v>
      </c>
      <c r="T10" s="36">
        <v>3.22</v>
      </c>
      <c r="U10" s="21">
        <f t="shared" si="1"/>
        <v>3220</v>
      </c>
      <c r="V10" s="21">
        <f t="shared" si="2"/>
        <v>40000</v>
      </c>
    </row>
    <row r="11" ht="14.25" customHeight="1">
      <c r="A11" s="38">
        <v>0.09930555555555555</v>
      </c>
      <c r="B11" s="36">
        <v>5.0</v>
      </c>
      <c r="C11" s="36">
        <v>8.2</v>
      </c>
      <c r="D11" s="36">
        <v>426.0</v>
      </c>
      <c r="E11" s="36">
        <v>376.0</v>
      </c>
      <c r="F11" s="36">
        <v>0.88</v>
      </c>
      <c r="G11" s="36">
        <v>18.0</v>
      </c>
      <c r="H11" s="36">
        <v>0.58</v>
      </c>
      <c r="I11" s="36">
        <v>10.1</v>
      </c>
      <c r="J11" s="36">
        <v>89.8</v>
      </c>
      <c r="K11" s="36">
        <v>99.0</v>
      </c>
      <c r="L11" s="36">
        <v>52.6</v>
      </c>
      <c r="M11" s="36">
        <v>101.0</v>
      </c>
      <c r="N11" s="36">
        <v>41.0</v>
      </c>
      <c r="O11" s="36">
        <v>18.0</v>
      </c>
      <c r="P11" s="36">
        <v>21.0</v>
      </c>
      <c r="Q11" s="36">
        <v>0.36</v>
      </c>
      <c r="R11" s="36">
        <v>1.22</v>
      </c>
      <c r="S11" s="36">
        <v>2.2</v>
      </c>
      <c r="T11" s="36">
        <v>3.42</v>
      </c>
      <c r="U11" s="21">
        <f t="shared" si="1"/>
        <v>3420</v>
      </c>
      <c r="V11" s="21">
        <f t="shared" si="2"/>
        <v>22500</v>
      </c>
    </row>
    <row r="12" ht="14.25" customHeight="1">
      <c r="A12" s="38">
        <v>0.10138888888888889</v>
      </c>
      <c r="B12" s="36">
        <v>7.0</v>
      </c>
      <c r="C12" s="36">
        <v>8.4</v>
      </c>
      <c r="D12" s="36">
        <v>434.0</v>
      </c>
      <c r="E12" s="36">
        <v>382.0</v>
      </c>
      <c r="F12" s="36">
        <v>0.88</v>
      </c>
      <c r="G12" s="36">
        <v>18.0</v>
      </c>
      <c r="H12" s="36">
        <v>0.56</v>
      </c>
      <c r="I12" s="36">
        <v>10.3</v>
      </c>
      <c r="J12" s="36">
        <v>89.7</v>
      </c>
      <c r="K12" s="36">
        <v>99.0</v>
      </c>
      <c r="L12" s="36">
        <v>52.4</v>
      </c>
      <c r="M12" s="36">
        <v>101.0</v>
      </c>
      <c r="N12" s="36">
        <v>42.0</v>
      </c>
      <c r="O12" s="36">
        <v>18.0</v>
      </c>
      <c r="P12" s="36">
        <v>21.0</v>
      </c>
      <c r="Q12" s="36">
        <v>0.34</v>
      </c>
      <c r="R12" s="36">
        <v>1.12</v>
      </c>
      <c r="S12" s="36">
        <v>2.15</v>
      </c>
      <c r="T12" s="36">
        <v>3.27</v>
      </c>
      <c r="U12" s="21">
        <f t="shared" si="1"/>
        <v>3270</v>
      </c>
      <c r="V12" s="21">
        <f t="shared" si="2"/>
        <v>14400</v>
      </c>
    </row>
    <row r="13" ht="14.25" customHeight="1">
      <c r="A13" s="38">
        <v>0.10416666666666667</v>
      </c>
      <c r="B13" s="36">
        <v>8.0</v>
      </c>
      <c r="C13" s="36">
        <v>8.2</v>
      </c>
      <c r="D13" s="36">
        <v>427.0</v>
      </c>
      <c r="E13" s="36">
        <v>377.0</v>
      </c>
      <c r="F13" s="36">
        <v>0.88</v>
      </c>
      <c r="G13" s="36">
        <v>18.0</v>
      </c>
      <c r="H13" s="36">
        <v>0.57</v>
      </c>
      <c r="I13" s="36">
        <v>10.1</v>
      </c>
      <c r="J13" s="36">
        <v>89.8</v>
      </c>
      <c r="K13" s="36">
        <v>100.0</v>
      </c>
      <c r="L13" s="36">
        <v>52.2</v>
      </c>
      <c r="M13" s="36">
        <v>101.0</v>
      </c>
      <c r="N13" s="36">
        <v>42.0</v>
      </c>
      <c r="O13" s="36">
        <v>18.0</v>
      </c>
      <c r="P13" s="36">
        <v>21.0</v>
      </c>
      <c r="Q13" s="36">
        <v>0.35</v>
      </c>
      <c r="R13" s="36">
        <v>1.17</v>
      </c>
      <c r="S13" s="36">
        <v>2.22</v>
      </c>
      <c r="T13" s="36">
        <v>3.39</v>
      </c>
      <c r="U13" s="21">
        <f t="shared" si="1"/>
        <v>3390</v>
      </c>
      <c r="V13" s="21">
        <f t="shared" si="2"/>
        <v>6400</v>
      </c>
    </row>
    <row r="14" ht="14.25" customHeight="1">
      <c r="A14" s="38">
        <v>0.10625</v>
      </c>
      <c r="B14" s="36">
        <v>10.0</v>
      </c>
      <c r="C14" s="36">
        <v>8.4</v>
      </c>
      <c r="D14" s="36">
        <v>435.0</v>
      </c>
      <c r="E14" s="36">
        <v>385.0</v>
      </c>
      <c r="F14" s="36">
        <v>0.89</v>
      </c>
      <c r="G14" s="36">
        <v>17.0</v>
      </c>
      <c r="H14" s="36">
        <v>0.59</v>
      </c>
      <c r="I14" s="36">
        <v>10.2</v>
      </c>
      <c r="J14" s="36">
        <v>89.7</v>
      </c>
      <c r="K14" s="36">
        <v>100.0</v>
      </c>
      <c r="L14" s="36">
        <v>51.8</v>
      </c>
      <c r="M14" s="36">
        <v>101.0</v>
      </c>
      <c r="N14" s="36">
        <v>42.0</v>
      </c>
      <c r="O14" s="36">
        <v>17.0</v>
      </c>
      <c r="P14" s="36">
        <v>21.0</v>
      </c>
      <c r="Q14" s="36">
        <v>0.35</v>
      </c>
      <c r="R14" s="36">
        <v>1.22</v>
      </c>
      <c r="S14" s="36">
        <v>2.25</v>
      </c>
      <c r="T14" s="36">
        <v>3.47</v>
      </c>
      <c r="U14" s="21">
        <f t="shared" si="1"/>
        <v>3470</v>
      </c>
      <c r="V14" s="21">
        <f t="shared" si="2"/>
        <v>400</v>
      </c>
    </row>
    <row r="15" ht="14.25" customHeight="1">
      <c r="A15" s="38">
        <v>0.10833333333333334</v>
      </c>
      <c r="B15" s="36">
        <v>11.0</v>
      </c>
      <c r="C15" s="36">
        <v>8.7</v>
      </c>
      <c r="D15" s="36">
        <v>450.0</v>
      </c>
      <c r="E15" s="36">
        <v>400.0</v>
      </c>
      <c r="F15" s="36">
        <v>0.89</v>
      </c>
      <c r="G15" s="36">
        <v>17.0</v>
      </c>
      <c r="H15" s="36">
        <v>0.61</v>
      </c>
      <c r="I15" s="36">
        <v>10.6</v>
      </c>
      <c r="J15" s="36">
        <v>89.3</v>
      </c>
      <c r="K15" s="36">
        <v>101.0</v>
      </c>
      <c r="L15" s="36">
        <v>51.4</v>
      </c>
      <c r="M15" s="36">
        <v>101.0</v>
      </c>
      <c r="N15" s="36">
        <v>42.0</v>
      </c>
      <c r="O15" s="36">
        <v>17.0</v>
      </c>
      <c r="P15" s="36">
        <v>22.0</v>
      </c>
      <c r="Q15" s="36">
        <v>0.35</v>
      </c>
      <c r="R15" s="36">
        <v>1.21</v>
      </c>
      <c r="S15" s="36">
        <v>2.27</v>
      </c>
      <c r="T15" s="36">
        <v>3.49</v>
      </c>
      <c r="U15" s="21">
        <f t="shared" si="1"/>
        <v>3490</v>
      </c>
      <c r="V15" s="21">
        <f t="shared" si="2"/>
        <v>1600</v>
      </c>
    </row>
    <row r="16" ht="14.25" customHeight="1">
      <c r="A16" s="38">
        <v>0.1111111111111111</v>
      </c>
      <c r="B16" s="36">
        <v>13.0</v>
      </c>
      <c r="C16" s="36">
        <v>8.7</v>
      </c>
      <c r="D16" s="36">
        <v>450.0</v>
      </c>
      <c r="E16" s="36">
        <v>405.0</v>
      </c>
      <c r="F16" s="36">
        <v>0.9</v>
      </c>
      <c r="G16" s="36">
        <v>17.0</v>
      </c>
      <c r="H16" s="36">
        <v>0.63</v>
      </c>
      <c r="I16" s="36">
        <v>10.7</v>
      </c>
      <c r="J16" s="36">
        <v>89.2</v>
      </c>
      <c r="K16" s="36">
        <v>101.0</v>
      </c>
      <c r="L16" s="36">
        <v>51.3</v>
      </c>
      <c r="M16" s="36">
        <v>102.0</v>
      </c>
      <c r="N16" s="36">
        <v>42.0</v>
      </c>
      <c r="O16" s="36">
        <v>17.0</v>
      </c>
      <c r="P16" s="36">
        <v>22.0</v>
      </c>
      <c r="Q16" s="36">
        <v>0.35</v>
      </c>
      <c r="R16" s="36">
        <v>1.24</v>
      </c>
      <c r="S16" s="36">
        <v>2.29</v>
      </c>
      <c r="T16" s="36">
        <v>3.53</v>
      </c>
      <c r="U16" s="21">
        <f t="shared" si="1"/>
        <v>3530</v>
      </c>
      <c r="V16" s="21">
        <f t="shared" si="2"/>
        <v>0</v>
      </c>
    </row>
    <row r="17" ht="14.25" customHeight="1">
      <c r="A17" s="38">
        <v>0.11319444444444444</v>
      </c>
      <c r="B17" s="36">
        <v>14.0</v>
      </c>
      <c r="C17" s="36">
        <v>9.0</v>
      </c>
      <c r="D17" s="36">
        <v>466.0</v>
      </c>
      <c r="E17" s="36">
        <v>419.0</v>
      </c>
      <c r="F17" s="36">
        <v>0.9</v>
      </c>
      <c r="G17" s="36">
        <v>17.0</v>
      </c>
      <c r="H17" s="36">
        <v>0.65</v>
      </c>
      <c r="I17" s="36">
        <v>11.1</v>
      </c>
      <c r="J17" s="36">
        <v>88.8</v>
      </c>
      <c r="K17" s="36">
        <v>101.0</v>
      </c>
      <c r="L17" s="36">
        <v>51.3</v>
      </c>
      <c r="M17" s="36">
        <v>102.0</v>
      </c>
      <c r="N17" s="36">
        <v>41.0</v>
      </c>
      <c r="O17" s="36">
        <v>17.0</v>
      </c>
      <c r="P17" s="36">
        <v>23.0</v>
      </c>
      <c r="Q17" s="36">
        <v>0.34</v>
      </c>
      <c r="R17" s="36">
        <v>1.19</v>
      </c>
      <c r="S17" s="36">
        <v>2.33</v>
      </c>
      <c r="T17" s="36">
        <v>3.53</v>
      </c>
      <c r="U17" s="21">
        <f t="shared" si="1"/>
        <v>3530</v>
      </c>
      <c r="V17" s="21">
        <f t="shared" si="2"/>
        <v>0</v>
      </c>
    </row>
    <row r="18" ht="14.25" customHeight="1">
      <c r="A18" s="38">
        <v>0.11597222222222223</v>
      </c>
      <c r="B18" s="36">
        <v>16.0</v>
      </c>
      <c r="C18" s="36">
        <v>9.0</v>
      </c>
      <c r="D18" s="36">
        <v>466.0</v>
      </c>
      <c r="E18" s="36">
        <v>419.0</v>
      </c>
      <c r="F18" s="36">
        <v>0.9</v>
      </c>
      <c r="G18" s="36">
        <v>17.0</v>
      </c>
      <c r="H18" s="36">
        <v>0.65</v>
      </c>
      <c r="I18" s="36">
        <v>11.1</v>
      </c>
      <c r="J18" s="36">
        <v>88.8</v>
      </c>
      <c r="K18" s="36">
        <v>102.0</v>
      </c>
      <c r="L18" s="36">
        <v>51.0</v>
      </c>
      <c r="M18" s="36">
        <v>102.0</v>
      </c>
      <c r="N18" s="36">
        <v>41.0</v>
      </c>
      <c r="O18" s="36">
        <v>17.0</v>
      </c>
      <c r="P18" s="36">
        <v>23.0</v>
      </c>
      <c r="Q18" s="36">
        <v>0.34</v>
      </c>
      <c r="R18" s="36">
        <v>1.19</v>
      </c>
      <c r="S18" s="36">
        <v>2.33</v>
      </c>
      <c r="T18" s="36">
        <v>3.53</v>
      </c>
      <c r="U18" s="21">
        <f t="shared" si="1"/>
        <v>3530</v>
      </c>
      <c r="V18" s="21">
        <f t="shared" si="2"/>
        <v>100</v>
      </c>
    </row>
    <row r="19" ht="14.25" customHeight="1">
      <c r="A19" s="38">
        <v>0.11805555555555555</v>
      </c>
      <c r="B19" s="36">
        <v>18.0</v>
      </c>
      <c r="C19" s="36">
        <v>8.7</v>
      </c>
      <c r="D19" s="36">
        <v>453.0</v>
      </c>
      <c r="E19" s="36">
        <v>414.0</v>
      </c>
      <c r="F19" s="36">
        <v>0.91</v>
      </c>
      <c r="G19" s="36">
        <v>17.0</v>
      </c>
      <c r="H19" s="36">
        <v>0.65</v>
      </c>
      <c r="I19" s="36">
        <v>11.1</v>
      </c>
      <c r="J19" s="36">
        <v>88.8</v>
      </c>
      <c r="K19" s="36">
        <v>102.0</v>
      </c>
      <c r="L19" s="36">
        <v>51.2</v>
      </c>
      <c r="M19" s="36">
        <v>103.0</v>
      </c>
      <c r="N19" s="36">
        <v>41.0</v>
      </c>
      <c r="O19" s="36">
        <v>17.0</v>
      </c>
      <c r="P19" s="36">
        <v>22.0</v>
      </c>
      <c r="Q19" s="36">
        <v>0.33</v>
      </c>
      <c r="R19" s="36">
        <v>1.15</v>
      </c>
      <c r="S19" s="36">
        <v>2.37</v>
      </c>
      <c r="T19" s="36">
        <v>3.52</v>
      </c>
      <c r="U19" s="21">
        <f t="shared" si="1"/>
        <v>3520</v>
      </c>
      <c r="V19" s="21">
        <f t="shared" si="2"/>
        <v>3600</v>
      </c>
    </row>
    <row r="20" ht="14.25" customHeight="1">
      <c r="A20" s="38">
        <v>0.12013888888888889</v>
      </c>
      <c r="B20" s="36">
        <v>19.0</v>
      </c>
      <c r="C20" s="36">
        <v>8.6</v>
      </c>
      <c r="D20" s="36">
        <v>447.0</v>
      </c>
      <c r="E20" s="36">
        <v>410.0</v>
      </c>
      <c r="F20" s="36">
        <v>0.92</v>
      </c>
      <c r="G20" s="36">
        <v>17.0</v>
      </c>
      <c r="H20" s="36">
        <v>0.64</v>
      </c>
      <c r="I20" s="36">
        <v>11.0</v>
      </c>
      <c r="J20" s="36">
        <v>88.9</v>
      </c>
      <c r="K20" s="36">
        <v>100.0</v>
      </c>
      <c r="L20" s="36">
        <v>51.8</v>
      </c>
      <c r="M20" s="36">
        <v>103.0</v>
      </c>
      <c r="N20" s="36">
        <v>41.0</v>
      </c>
      <c r="O20" s="36">
        <v>17.0</v>
      </c>
      <c r="P20" s="36">
        <v>22.0</v>
      </c>
      <c r="Q20" s="36">
        <v>0.32</v>
      </c>
      <c r="R20" s="36">
        <v>1.11</v>
      </c>
      <c r="S20" s="36">
        <v>2.35</v>
      </c>
      <c r="T20" s="36">
        <v>3.46</v>
      </c>
      <c r="U20" s="21">
        <f t="shared" si="1"/>
        <v>3460</v>
      </c>
      <c r="V20" s="21">
        <f t="shared" si="2"/>
        <v>6400</v>
      </c>
    </row>
    <row r="21" ht="14.25" customHeight="1">
      <c r="A21" s="38">
        <v>0.12222222222222222</v>
      </c>
      <c r="B21" s="36">
        <v>20.0</v>
      </c>
      <c r="C21" s="36">
        <v>8.5</v>
      </c>
      <c r="D21" s="36">
        <v>444.0</v>
      </c>
      <c r="E21" s="36">
        <v>411.0</v>
      </c>
      <c r="F21" s="36">
        <v>0.92</v>
      </c>
      <c r="G21" s="36">
        <v>18.0</v>
      </c>
      <c r="H21" s="36">
        <v>0.63</v>
      </c>
      <c r="I21" s="36">
        <v>11.1</v>
      </c>
      <c r="J21" s="36">
        <v>88.8</v>
      </c>
      <c r="K21" s="36">
        <v>100.0</v>
      </c>
      <c r="L21" s="36">
        <v>52.1</v>
      </c>
      <c r="M21" s="36">
        <v>103.0</v>
      </c>
      <c r="N21" s="36">
        <v>41.0</v>
      </c>
      <c r="O21" s="36">
        <v>18.0</v>
      </c>
      <c r="P21" s="36">
        <v>22.0</v>
      </c>
      <c r="Q21" s="36">
        <v>0.32</v>
      </c>
      <c r="R21" s="36">
        <v>1.08</v>
      </c>
      <c r="S21" s="36">
        <v>2.3</v>
      </c>
      <c r="T21" s="36">
        <v>3.38</v>
      </c>
      <c r="U21" s="21">
        <f t="shared" si="1"/>
        <v>3380</v>
      </c>
      <c r="V21" s="21">
        <f t="shared" si="2"/>
        <v>14400</v>
      </c>
    </row>
    <row r="22" ht="14.25" customHeight="1">
      <c r="A22" s="38">
        <v>0.12430555555555556</v>
      </c>
      <c r="B22" s="36">
        <v>21.0</v>
      </c>
      <c r="C22" s="36">
        <v>8.4</v>
      </c>
      <c r="D22" s="36">
        <v>439.0</v>
      </c>
      <c r="E22" s="36">
        <v>408.0</v>
      </c>
      <c r="F22" s="36">
        <v>0.93</v>
      </c>
      <c r="G22" s="36">
        <v>18.0</v>
      </c>
      <c r="H22" s="36">
        <v>0.61</v>
      </c>
      <c r="I22" s="36">
        <v>11.1</v>
      </c>
      <c r="J22" s="36">
        <v>88.8</v>
      </c>
      <c r="K22" s="36">
        <v>99.0</v>
      </c>
      <c r="L22" s="36">
        <v>52.5</v>
      </c>
      <c r="M22" s="36">
        <v>104.0</v>
      </c>
      <c r="N22" s="36">
        <v>41.0</v>
      </c>
      <c r="O22" s="36">
        <v>18.0</v>
      </c>
      <c r="P22" s="36">
        <v>21.0</v>
      </c>
      <c r="Q22" s="36">
        <v>0.33</v>
      </c>
      <c r="R22" s="36">
        <v>1.08</v>
      </c>
      <c r="S22" s="36">
        <v>2.18</v>
      </c>
      <c r="T22" s="36">
        <v>3.26</v>
      </c>
      <c r="U22" s="21">
        <f t="shared" si="1"/>
        <v>3260</v>
      </c>
      <c r="V22" s="21">
        <f t="shared" si="2"/>
        <v>1600</v>
      </c>
    </row>
    <row r="23" ht="14.25" customHeight="1">
      <c r="A23" s="38">
        <v>0.12708333333333333</v>
      </c>
      <c r="B23" s="36">
        <v>23.0</v>
      </c>
      <c r="C23" s="36">
        <v>8.2</v>
      </c>
      <c r="D23" s="36">
        <v>427.0</v>
      </c>
      <c r="E23" s="36">
        <v>399.0</v>
      </c>
      <c r="F23" s="36">
        <v>0.93</v>
      </c>
      <c r="G23" s="36">
        <v>18.0</v>
      </c>
      <c r="H23" s="36">
        <v>0.6</v>
      </c>
      <c r="I23" s="36">
        <v>10.9</v>
      </c>
      <c r="J23" s="36">
        <v>89.0</v>
      </c>
      <c r="K23" s="36">
        <v>98.0</v>
      </c>
      <c r="L23" s="36">
        <v>52.9</v>
      </c>
      <c r="M23" s="36">
        <v>104.0</v>
      </c>
      <c r="N23" s="36">
        <v>41.0</v>
      </c>
      <c r="O23" s="36">
        <v>18.0</v>
      </c>
      <c r="P23" s="36">
        <v>21.0</v>
      </c>
      <c r="Q23" s="36">
        <v>0.31</v>
      </c>
      <c r="R23" s="36">
        <v>1.02</v>
      </c>
      <c r="S23" s="36">
        <v>2.28</v>
      </c>
      <c r="T23" s="36">
        <v>3.3</v>
      </c>
      <c r="U23" s="21">
        <f t="shared" si="1"/>
        <v>3300</v>
      </c>
      <c r="V23" s="21">
        <f t="shared" si="2"/>
        <v>22500</v>
      </c>
    </row>
    <row r="24" ht="14.25" customHeight="1">
      <c r="A24" s="38">
        <v>0.12986111111111112</v>
      </c>
      <c r="B24" s="36">
        <v>24.0</v>
      </c>
      <c r="C24" s="36">
        <v>7.8</v>
      </c>
      <c r="D24" s="36">
        <v>407.0</v>
      </c>
      <c r="E24" s="36">
        <v>381.0</v>
      </c>
      <c r="F24" s="36">
        <v>0.93</v>
      </c>
      <c r="G24" s="36">
        <v>17.0</v>
      </c>
      <c r="H24" s="36">
        <v>0.6</v>
      </c>
      <c r="I24" s="36">
        <v>10.4</v>
      </c>
      <c r="J24" s="36">
        <v>89.6</v>
      </c>
      <c r="K24" s="36">
        <v>97.0</v>
      </c>
      <c r="L24" s="36">
        <v>53.2</v>
      </c>
      <c r="M24" s="36">
        <v>103.0</v>
      </c>
      <c r="N24" s="36">
        <v>41.0</v>
      </c>
      <c r="O24" s="36">
        <v>17.0</v>
      </c>
      <c r="P24" s="36">
        <v>20.0</v>
      </c>
      <c r="Q24" s="36">
        <v>0.3</v>
      </c>
      <c r="R24" s="36">
        <v>1.03</v>
      </c>
      <c r="S24" s="36">
        <v>2.41</v>
      </c>
      <c r="T24" s="36">
        <v>3.45</v>
      </c>
      <c r="U24" s="21">
        <f t="shared" si="1"/>
        <v>3450</v>
      </c>
      <c r="V24" s="21">
        <f t="shared" si="2"/>
        <v>400</v>
      </c>
    </row>
    <row r="25" ht="14.25" customHeight="1">
      <c r="A25" s="38">
        <v>0.13194444444444445</v>
      </c>
      <c r="B25" s="36">
        <v>25.0</v>
      </c>
      <c r="C25" s="36">
        <v>7.7</v>
      </c>
      <c r="D25" s="36">
        <v>400.0</v>
      </c>
      <c r="E25" s="36">
        <v>373.0</v>
      </c>
      <c r="F25" s="36">
        <v>0.93</v>
      </c>
      <c r="G25" s="36">
        <v>17.0</v>
      </c>
      <c r="H25" s="36">
        <v>0.58</v>
      </c>
      <c r="I25" s="36">
        <v>10.1</v>
      </c>
      <c r="J25" s="36">
        <v>89.8</v>
      </c>
      <c r="K25" s="36">
        <v>97.0</v>
      </c>
      <c r="L25" s="36">
        <v>53.6</v>
      </c>
      <c r="M25" s="36">
        <v>103.0</v>
      </c>
      <c r="N25" s="36">
        <v>42.0</v>
      </c>
      <c r="O25" s="36">
        <v>17.0</v>
      </c>
      <c r="P25" s="36">
        <v>19.0</v>
      </c>
      <c r="Q25" s="36">
        <v>0.3</v>
      </c>
      <c r="R25" s="36">
        <v>1.03</v>
      </c>
      <c r="S25" s="36">
        <v>2.4</v>
      </c>
      <c r="T25" s="36">
        <v>3.43</v>
      </c>
      <c r="U25" s="21">
        <f t="shared" si="1"/>
        <v>3430</v>
      </c>
      <c r="V25" s="21">
        <f t="shared" si="2"/>
        <v>2500</v>
      </c>
    </row>
    <row r="26" ht="14.25" customHeight="1">
      <c r="A26" s="38">
        <v>0.13472222222222222</v>
      </c>
      <c r="B26" s="36">
        <v>27.0</v>
      </c>
      <c r="C26" s="36">
        <v>7.8</v>
      </c>
      <c r="D26" s="36">
        <v>407.0</v>
      </c>
      <c r="E26" s="36">
        <v>378.0</v>
      </c>
      <c r="F26" s="36">
        <v>0.93</v>
      </c>
      <c r="G26" s="36">
        <v>18.0</v>
      </c>
      <c r="H26" s="36">
        <v>0.57</v>
      </c>
      <c r="I26" s="36">
        <v>10.2</v>
      </c>
      <c r="J26" s="36">
        <v>89.7</v>
      </c>
      <c r="K26" s="36">
        <v>96.0</v>
      </c>
      <c r="L26" s="36">
        <v>54.0</v>
      </c>
      <c r="M26" s="36">
        <v>103.0</v>
      </c>
      <c r="N26" s="36">
        <v>42.0</v>
      </c>
      <c r="O26" s="36">
        <v>18.0</v>
      </c>
      <c r="P26" s="36">
        <v>20.0</v>
      </c>
      <c r="Q26" s="36">
        <v>0.31</v>
      </c>
      <c r="R26" s="36">
        <v>1.05</v>
      </c>
      <c r="S26" s="36">
        <v>2.33</v>
      </c>
      <c r="T26" s="36">
        <v>3.38</v>
      </c>
      <c r="U26" s="21">
        <f t="shared" si="1"/>
        <v>3380</v>
      </c>
      <c r="V26" s="21">
        <f t="shared" si="2"/>
        <v>6400</v>
      </c>
    </row>
    <row r="27" ht="14.25" customHeight="1">
      <c r="A27" s="38">
        <v>0.13680555555555557</v>
      </c>
      <c r="B27" s="36">
        <v>28.0</v>
      </c>
      <c r="C27" s="36">
        <v>8.1</v>
      </c>
      <c r="D27" s="36">
        <v>422.0</v>
      </c>
      <c r="E27" s="36">
        <v>392.0</v>
      </c>
      <c r="F27" s="36">
        <v>0.93</v>
      </c>
      <c r="G27" s="36">
        <v>18.0</v>
      </c>
      <c r="H27" s="36">
        <v>0.58</v>
      </c>
      <c r="I27" s="36">
        <v>10.6</v>
      </c>
      <c r="J27" s="36">
        <v>89.3</v>
      </c>
      <c r="K27" s="36">
        <v>94.0</v>
      </c>
      <c r="L27" s="36">
        <v>54.7</v>
      </c>
      <c r="M27" s="36">
        <v>103.0</v>
      </c>
      <c r="N27" s="36">
        <v>41.0</v>
      </c>
      <c r="O27" s="36">
        <v>18.0</v>
      </c>
      <c r="P27" s="36">
        <v>21.0</v>
      </c>
      <c r="Q27" s="36">
        <v>0.32</v>
      </c>
      <c r="R27" s="36">
        <v>1.05</v>
      </c>
      <c r="S27" s="36">
        <v>2.25</v>
      </c>
      <c r="T27" s="36">
        <v>3.3</v>
      </c>
      <c r="U27" s="21">
        <f t="shared" si="1"/>
        <v>3300</v>
      </c>
      <c r="V27" s="21">
        <f t="shared" si="2"/>
        <v>1600</v>
      </c>
    </row>
    <row r="28" ht="14.25" customHeight="1">
      <c r="A28" s="38">
        <v>0.1388888888888889</v>
      </c>
      <c r="B28" s="36">
        <v>30.0</v>
      </c>
      <c r="C28" s="36">
        <v>7.9</v>
      </c>
      <c r="D28" s="36">
        <v>411.0</v>
      </c>
      <c r="E28" s="36">
        <v>381.0</v>
      </c>
      <c r="F28" s="36">
        <v>0.93</v>
      </c>
      <c r="G28" s="36">
        <v>18.0</v>
      </c>
      <c r="H28" s="36">
        <v>0.58</v>
      </c>
      <c r="I28" s="36">
        <v>10.4</v>
      </c>
      <c r="J28" s="36">
        <v>89.5</v>
      </c>
      <c r="K28" s="36">
        <v>94.0</v>
      </c>
      <c r="L28" s="36">
        <v>54.7</v>
      </c>
      <c r="M28" s="36">
        <v>103.0</v>
      </c>
      <c r="N28" s="36">
        <v>41.0</v>
      </c>
      <c r="O28" s="36">
        <v>18.0</v>
      </c>
      <c r="P28" s="36">
        <v>20.0</v>
      </c>
      <c r="Q28" s="36">
        <v>0.31</v>
      </c>
      <c r="R28" s="36">
        <v>1.05</v>
      </c>
      <c r="S28" s="36">
        <v>2.29</v>
      </c>
      <c r="T28" s="36">
        <v>3.34</v>
      </c>
      <c r="U28" s="21">
        <f t="shared" si="1"/>
        <v>3340</v>
      </c>
      <c r="V28" s="21">
        <f t="shared" si="2"/>
        <v>14400</v>
      </c>
    </row>
    <row r="29" ht="14.25" customHeight="1">
      <c r="A29" s="38">
        <v>0.14166666666666666</v>
      </c>
      <c r="B29" s="36">
        <v>32.0</v>
      </c>
      <c r="C29" s="36">
        <v>7.7</v>
      </c>
      <c r="D29" s="36">
        <v>402.0</v>
      </c>
      <c r="E29" s="36">
        <v>370.0</v>
      </c>
      <c r="F29" s="36">
        <v>0.92</v>
      </c>
      <c r="G29" s="36">
        <v>17.0</v>
      </c>
      <c r="H29" s="36">
        <v>0.58</v>
      </c>
      <c r="I29" s="36">
        <v>10.0</v>
      </c>
      <c r="J29" s="36">
        <v>89.9</v>
      </c>
      <c r="K29" s="36">
        <v>95.0</v>
      </c>
      <c r="L29" s="36">
        <v>54.3</v>
      </c>
      <c r="M29" s="36">
        <v>103.0</v>
      </c>
      <c r="N29" s="36">
        <v>42.0</v>
      </c>
      <c r="O29" s="36">
        <v>17.0</v>
      </c>
      <c r="P29" s="36">
        <v>20.0</v>
      </c>
      <c r="Q29" s="36">
        <v>0.31</v>
      </c>
      <c r="R29" s="36">
        <v>1.07</v>
      </c>
      <c r="S29" s="36">
        <v>2.39</v>
      </c>
      <c r="T29" s="36">
        <v>3.46</v>
      </c>
      <c r="U29" s="21">
        <f t="shared" si="1"/>
        <v>3460</v>
      </c>
      <c r="V29" s="21">
        <f t="shared" si="2"/>
        <v>44100</v>
      </c>
    </row>
    <row r="30" ht="14.25" customHeight="1">
      <c r="A30" s="38">
        <v>0.14375</v>
      </c>
      <c r="B30" s="36">
        <v>32.0</v>
      </c>
      <c r="C30" s="36">
        <v>8.2</v>
      </c>
      <c r="D30" s="36">
        <v>425.0</v>
      </c>
      <c r="E30" s="36">
        <v>389.0</v>
      </c>
      <c r="F30" s="36">
        <v>0.91</v>
      </c>
      <c r="G30" s="36">
        <v>18.0</v>
      </c>
      <c r="H30" s="36">
        <v>0.56</v>
      </c>
      <c r="I30" s="36">
        <v>10.4</v>
      </c>
      <c r="J30" s="36">
        <v>89.5</v>
      </c>
      <c r="K30" s="36">
        <v>96.0</v>
      </c>
      <c r="L30" s="36">
        <v>54.0</v>
      </c>
      <c r="M30" s="36">
        <v>102.0</v>
      </c>
      <c r="N30" s="36">
        <v>42.0</v>
      </c>
      <c r="O30" s="36">
        <v>18.0</v>
      </c>
      <c r="P30" s="36">
        <v>21.0</v>
      </c>
      <c r="Q30" s="36">
        <v>0.33</v>
      </c>
      <c r="R30" s="36">
        <v>1.06</v>
      </c>
      <c r="S30" s="36">
        <v>2.19</v>
      </c>
      <c r="T30" s="36">
        <v>3.25</v>
      </c>
      <c r="U30" s="21">
        <f t="shared" si="1"/>
        <v>3250</v>
      </c>
      <c r="V30" s="21">
        <f t="shared" si="2"/>
        <v>900</v>
      </c>
    </row>
    <row r="31" ht="14.25" customHeight="1">
      <c r="A31" s="38">
        <v>0.14652777777777778</v>
      </c>
      <c r="B31" s="36">
        <v>34.0</v>
      </c>
      <c r="C31" s="36">
        <v>8.1</v>
      </c>
      <c r="D31" s="36">
        <v>419.0</v>
      </c>
      <c r="E31" s="36">
        <v>381.0</v>
      </c>
      <c r="F31" s="36">
        <v>0.91</v>
      </c>
      <c r="G31" s="36">
        <v>19.0</v>
      </c>
      <c r="H31" s="36">
        <v>0.56</v>
      </c>
      <c r="I31" s="36">
        <v>10.4</v>
      </c>
      <c r="J31" s="36">
        <v>89.5</v>
      </c>
      <c r="K31" s="36">
        <v>95.0</v>
      </c>
      <c r="L31" s="36">
        <v>54.2</v>
      </c>
      <c r="M31" s="36">
        <v>103.0</v>
      </c>
      <c r="N31" s="36">
        <v>42.0</v>
      </c>
      <c r="O31" s="36">
        <v>19.0</v>
      </c>
      <c r="P31" s="36">
        <v>20.0</v>
      </c>
      <c r="Q31" s="36">
        <v>0.32</v>
      </c>
      <c r="R31" s="36">
        <v>1.02</v>
      </c>
      <c r="S31" s="36">
        <v>2.2</v>
      </c>
      <c r="T31" s="36">
        <v>3.22</v>
      </c>
      <c r="U31" s="21">
        <f t="shared" si="1"/>
        <v>3220</v>
      </c>
      <c r="V31" s="21">
        <f t="shared" si="2"/>
        <v>14400</v>
      </c>
    </row>
    <row r="32" ht="14.25" customHeight="1">
      <c r="A32" s="38">
        <v>0.1486111111111111</v>
      </c>
      <c r="B32" s="36">
        <v>35.0</v>
      </c>
      <c r="C32" s="36">
        <v>8.6</v>
      </c>
      <c r="D32" s="36">
        <v>447.0</v>
      </c>
      <c r="E32" s="36">
        <v>408.0</v>
      </c>
      <c r="F32" s="36">
        <v>0.91</v>
      </c>
      <c r="G32" s="36">
        <v>18.0</v>
      </c>
      <c r="H32" s="36">
        <v>0.62</v>
      </c>
      <c r="I32" s="36">
        <v>11.0</v>
      </c>
      <c r="J32" s="36">
        <v>88.9</v>
      </c>
      <c r="K32" s="36">
        <v>95.0</v>
      </c>
      <c r="L32" s="36">
        <v>54.4</v>
      </c>
      <c r="M32" s="36">
        <v>103.0</v>
      </c>
      <c r="N32" s="36">
        <v>41.0</v>
      </c>
      <c r="O32" s="36">
        <v>18.0</v>
      </c>
      <c r="P32" s="36">
        <v>22.0</v>
      </c>
      <c r="Q32" s="36">
        <v>0.32</v>
      </c>
      <c r="R32" s="36">
        <v>1.08</v>
      </c>
      <c r="S32" s="36">
        <v>2.27</v>
      </c>
      <c r="T32" s="36">
        <v>3.34</v>
      </c>
      <c r="U32" s="21">
        <f t="shared" si="1"/>
        <v>3340</v>
      </c>
      <c r="V32" s="21">
        <f t="shared" si="2"/>
        <v>19600</v>
      </c>
    </row>
    <row r="33" ht="14.25" customHeight="1">
      <c r="A33" s="38">
        <v>0.15069444444444444</v>
      </c>
      <c r="B33" s="36">
        <v>37.0</v>
      </c>
      <c r="C33" s="36">
        <v>8.8</v>
      </c>
      <c r="D33" s="36">
        <v>456.0</v>
      </c>
      <c r="E33" s="36">
        <v>410.0</v>
      </c>
      <c r="F33" s="36">
        <v>0.9</v>
      </c>
      <c r="G33" s="36">
        <v>19.0</v>
      </c>
      <c r="H33" s="36">
        <v>0.59</v>
      </c>
      <c r="I33" s="36">
        <v>11.1</v>
      </c>
      <c r="J33" s="36">
        <v>88.8</v>
      </c>
      <c r="K33" s="36">
        <v>98.0</v>
      </c>
      <c r="L33" s="36">
        <v>53.1</v>
      </c>
      <c r="M33" s="36">
        <v>102.0</v>
      </c>
      <c r="N33" s="36">
        <v>41.0</v>
      </c>
      <c r="O33" s="36">
        <v>19.0</v>
      </c>
      <c r="P33" s="36">
        <v>22.0</v>
      </c>
      <c r="Q33" s="36">
        <v>0.32</v>
      </c>
      <c r="R33" s="36">
        <v>1.04</v>
      </c>
      <c r="S33" s="36">
        <v>2.17</v>
      </c>
      <c r="T33" s="36">
        <v>3.2</v>
      </c>
      <c r="U33" s="21">
        <f t="shared" si="1"/>
        <v>3200</v>
      </c>
      <c r="V33" s="21">
        <f t="shared" si="2"/>
        <v>12100</v>
      </c>
    </row>
    <row r="34" ht="14.25" customHeight="1">
      <c r="A34" s="38">
        <v>0.15347222222222223</v>
      </c>
      <c r="B34" s="36">
        <v>38.0</v>
      </c>
      <c r="C34" s="36">
        <v>9.1</v>
      </c>
      <c r="D34" s="36">
        <v>475.0</v>
      </c>
      <c r="E34" s="36">
        <v>425.0</v>
      </c>
      <c r="F34" s="36">
        <v>0.89</v>
      </c>
      <c r="G34" s="36">
        <v>18.0</v>
      </c>
      <c r="H34" s="36">
        <v>0.64</v>
      </c>
      <c r="I34" s="36">
        <v>11.5</v>
      </c>
      <c r="J34" s="36">
        <v>88.4</v>
      </c>
      <c r="K34" s="36">
        <v>98.0</v>
      </c>
      <c r="L34" s="36">
        <v>53.1</v>
      </c>
      <c r="M34" s="36">
        <v>102.0</v>
      </c>
      <c r="N34" s="36">
        <v>42.0</v>
      </c>
      <c r="O34" s="36">
        <v>18.0</v>
      </c>
      <c r="P34" s="36">
        <v>23.0</v>
      </c>
      <c r="Q34" s="36">
        <v>0.31</v>
      </c>
      <c r="R34" s="36">
        <v>1.03</v>
      </c>
      <c r="S34" s="36">
        <v>2.28</v>
      </c>
      <c r="T34" s="36">
        <v>3.31</v>
      </c>
      <c r="U34" s="21">
        <f t="shared" si="1"/>
        <v>3310</v>
      </c>
      <c r="V34" s="21">
        <f t="shared" si="2"/>
        <v>2500</v>
      </c>
    </row>
    <row r="35" ht="14.25" customHeight="1">
      <c r="A35" s="38">
        <v>0.15555555555555556</v>
      </c>
      <c r="B35" s="36">
        <v>40.0</v>
      </c>
      <c r="C35" s="36">
        <v>9.2</v>
      </c>
      <c r="D35" s="36">
        <v>479.0</v>
      </c>
      <c r="E35" s="36">
        <v>426.0</v>
      </c>
      <c r="F35" s="36">
        <v>0.89</v>
      </c>
      <c r="G35" s="36">
        <v>18.0</v>
      </c>
      <c r="H35" s="36">
        <v>0.64</v>
      </c>
      <c r="I35" s="36">
        <v>11.5</v>
      </c>
      <c r="J35" s="36">
        <v>88.4</v>
      </c>
      <c r="K35" s="36">
        <v>97.0</v>
      </c>
      <c r="L35" s="36">
        <v>53.5</v>
      </c>
      <c r="M35" s="36">
        <v>102.0</v>
      </c>
      <c r="N35" s="36">
        <v>42.0</v>
      </c>
      <c r="O35" s="36">
        <v>18.0</v>
      </c>
      <c r="P35" s="36">
        <v>23.0</v>
      </c>
      <c r="Q35" s="36">
        <v>0.3</v>
      </c>
      <c r="R35" s="36">
        <v>1.01</v>
      </c>
      <c r="S35" s="36">
        <v>2.35</v>
      </c>
      <c r="T35" s="36">
        <v>3.36</v>
      </c>
      <c r="U35" s="21">
        <f t="shared" si="1"/>
        <v>3360</v>
      </c>
      <c r="V35" s="21">
        <f t="shared" si="2"/>
        <v>22500</v>
      </c>
    </row>
    <row r="36" ht="14.25" customHeight="1">
      <c r="A36" s="38">
        <v>0.15763888888888888</v>
      </c>
      <c r="B36" s="36">
        <v>41.0</v>
      </c>
      <c r="C36" s="36">
        <v>9.9</v>
      </c>
      <c r="D36" s="36">
        <v>513.0</v>
      </c>
      <c r="E36" s="36">
        <v>454.0</v>
      </c>
      <c r="F36" s="36">
        <v>0.89</v>
      </c>
      <c r="G36" s="36">
        <v>19.0</v>
      </c>
      <c r="H36" s="36">
        <v>0.65</v>
      </c>
      <c r="I36" s="36">
        <v>12.2</v>
      </c>
      <c r="J36" s="36">
        <v>87.7</v>
      </c>
      <c r="K36" s="36">
        <v>97.0</v>
      </c>
      <c r="L36" s="36">
        <v>53.5</v>
      </c>
      <c r="M36" s="36">
        <v>101.0</v>
      </c>
      <c r="N36" s="36">
        <v>42.0</v>
      </c>
      <c r="O36" s="36">
        <v>19.0</v>
      </c>
      <c r="P36" s="36">
        <v>25.0</v>
      </c>
      <c r="Q36" s="36">
        <v>0.31</v>
      </c>
      <c r="R36" s="36">
        <v>0.98</v>
      </c>
      <c r="S36" s="36">
        <v>2.23</v>
      </c>
      <c r="T36" s="36">
        <v>3.21</v>
      </c>
      <c r="U36" s="21">
        <f t="shared" si="1"/>
        <v>3210</v>
      </c>
      <c r="V36" s="21">
        <f t="shared" si="2"/>
        <v>1600</v>
      </c>
    </row>
    <row r="37" ht="14.25" customHeight="1">
      <c r="A37" s="38">
        <v>0.1597222222222222</v>
      </c>
      <c r="B37" s="36">
        <v>42.0</v>
      </c>
      <c r="C37" s="36">
        <v>9.3</v>
      </c>
      <c r="D37" s="36">
        <v>481.0</v>
      </c>
      <c r="E37" s="36">
        <v>426.0</v>
      </c>
      <c r="F37" s="36">
        <v>0.88</v>
      </c>
      <c r="G37" s="36">
        <v>18.0</v>
      </c>
      <c r="H37" s="36">
        <v>0.63</v>
      </c>
      <c r="I37" s="36">
        <v>11.6</v>
      </c>
      <c r="J37" s="36">
        <v>88.3</v>
      </c>
      <c r="K37" s="36">
        <v>96.0</v>
      </c>
      <c r="L37" s="36">
        <v>53.8</v>
      </c>
      <c r="M37" s="36">
        <v>101.0</v>
      </c>
      <c r="N37" s="36">
        <v>42.0</v>
      </c>
      <c r="O37" s="36">
        <v>18.0</v>
      </c>
      <c r="P37" s="36">
        <v>23.0</v>
      </c>
      <c r="Q37" s="36">
        <v>0.29</v>
      </c>
      <c r="R37" s="36">
        <v>0.94</v>
      </c>
      <c r="S37" s="36">
        <v>2.31</v>
      </c>
      <c r="T37" s="36">
        <v>3.25</v>
      </c>
      <c r="U37" s="21">
        <f t="shared" si="1"/>
        <v>3250</v>
      </c>
      <c r="V37" s="21">
        <f t="shared" si="2"/>
        <v>1600</v>
      </c>
    </row>
    <row r="38" ht="14.25" customHeight="1">
      <c r="A38" s="38">
        <v>0.16180555555555556</v>
      </c>
      <c r="B38" s="36">
        <v>43.0</v>
      </c>
      <c r="C38" s="36">
        <v>10.0</v>
      </c>
      <c r="D38" s="36">
        <v>519.0</v>
      </c>
      <c r="E38" s="36">
        <v>460.0</v>
      </c>
      <c r="F38" s="36">
        <v>0.89</v>
      </c>
      <c r="G38" s="36">
        <v>19.0</v>
      </c>
      <c r="H38" s="36">
        <v>0.66</v>
      </c>
      <c r="I38" s="36">
        <v>12.4</v>
      </c>
      <c r="J38" s="36">
        <v>87.5</v>
      </c>
      <c r="K38" s="36">
        <v>97.0</v>
      </c>
      <c r="L38" s="36">
        <v>53.2</v>
      </c>
      <c r="M38" s="36">
        <v>102.0</v>
      </c>
      <c r="N38" s="36">
        <v>42.0</v>
      </c>
      <c r="O38" s="36">
        <v>19.0</v>
      </c>
      <c r="P38" s="36">
        <v>25.0</v>
      </c>
      <c r="Q38" s="36">
        <v>0.3</v>
      </c>
      <c r="R38" s="36">
        <v>0.96</v>
      </c>
      <c r="S38" s="36">
        <v>2.25</v>
      </c>
      <c r="T38" s="36">
        <v>3.21</v>
      </c>
      <c r="U38" s="21">
        <f t="shared" si="1"/>
        <v>3210</v>
      </c>
      <c r="V38" s="21">
        <f t="shared" si="2"/>
        <v>16900</v>
      </c>
    </row>
    <row r="39" ht="14.25" customHeight="1">
      <c r="A39" s="38">
        <v>0.16458333333333333</v>
      </c>
      <c r="B39" s="36">
        <v>45.0</v>
      </c>
      <c r="C39" s="36">
        <v>9.0</v>
      </c>
      <c r="D39" s="36">
        <v>470.0</v>
      </c>
      <c r="E39" s="36">
        <v>420.0</v>
      </c>
      <c r="F39" s="36">
        <v>0.89</v>
      </c>
      <c r="G39" s="36">
        <v>18.0</v>
      </c>
      <c r="H39" s="36">
        <v>0.63</v>
      </c>
      <c r="I39" s="36">
        <v>11.4</v>
      </c>
      <c r="J39" s="36">
        <v>88.5</v>
      </c>
      <c r="K39" s="36">
        <v>100.0</v>
      </c>
      <c r="L39" s="36">
        <v>52.1</v>
      </c>
      <c r="M39" s="36">
        <v>102.0</v>
      </c>
      <c r="N39" s="36">
        <v>42.0</v>
      </c>
      <c r="O39" s="36">
        <v>18.0</v>
      </c>
      <c r="P39" s="36">
        <v>23.0</v>
      </c>
      <c r="Q39" s="36">
        <v>0.29</v>
      </c>
      <c r="R39" s="36">
        <v>0.98</v>
      </c>
      <c r="S39" s="36">
        <v>2.35</v>
      </c>
      <c r="T39" s="36">
        <v>3.34</v>
      </c>
      <c r="U39" s="21">
        <f t="shared" si="1"/>
        <v>3340</v>
      </c>
      <c r="V39" s="21">
        <f t="shared" si="2"/>
        <v>900</v>
      </c>
    </row>
    <row r="40" ht="14.25" customHeight="1">
      <c r="A40" s="38">
        <v>0.1673611111111111</v>
      </c>
      <c r="B40" s="36">
        <v>47.0</v>
      </c>
      <c r="C40" s="36">
        <v>8.9</v>
      </c>
      <c r="D40" s="36">
        <v>463.0</v>
      </c>
      <c r="E40" s="36">
        <v>418.0</v>
      </c>
      <c r="F40" s="36">
        <v>0.9</v>
      </c>
      <c r="G40" s="36">
        <v>18.0</v>
      </c>
      <c r="H40" s="36">
        <v>0.63</v>
      </c>
      <c r="I40" s="36">
        <v>11.2</v>
      </c>
      <c r="J40" s="36">
        <v>88.7</v>
      </c>
      <c r="K40" s="36">
        <v>101.0</v>
      </c>
      <c r="L40" s="36">
        <v>51.6</v>
      </c>
      <c r="M40" s="36">
        <v>102.0</v>
      </c>
      <c r="N40" s="36">
        <v>42.0</v>
      </c>
      <c r="O40" s="36">
        <v>18.0</v>
      </c>
      <c r="P40" s="36">
        <v>23.0</v>
      </c>
      <c r="Q40" s="36">
        <v>0.28</v>
      </c>
      <c r="R40" s="36">
        <v>0.95</v>
      </c>
      <c r="S40" s="36">
        <v>2.42</v>
      </c>
      <c r="T40" s="36">
        <v>3.37</v>
      </c>
      <c r="U40" s="21">
        <f t="shared" si="1"/>
        <v>3370</v>
      </c>
      <c r="V40" s="21">
        <f t="shared" si="2"/>
        <v>2500</v>
      </c>
    </row>
    <row r="41" ht="14.25" customHeight="1">
      <c r="A41" s="38">
        <v>0.16944444444444445</v>
      </c>
      <c r="B41" s="36">
        <v>48.0</v>
      </c>
      <c r="C41" s="36">
        <v>8.6</v>
      </c>
      <c r="D41" s="36">
        <v>449.0</v>
      </c>
      <c r="E41" s="36">
        <v>403.0</v>
      </c>
      <c r="F41" s="36">
        <v>0.9</v>
      </c>
      <c r="G41" s="36">
        <v>18.0</v>
      </c>
      <c r="H41" s="36">
        <v>0.62</v>
      </c>
      <c r="I41" s="36">
        <v>10.8</v>
      </c>
      <c r="J41" s="36">
        <v>89.1</v>
      </c>
      <c r="K41" s="36">
        <v>100.0</v>
      </c>
      <c r="L41" s="36">
        <v>51.8</v>
      </c>
      <c r="M41" s="36">
        <v>102.0</v>
      </c>
      <c r="N41" s="36">
        <v>42.0</v>
      </c>
      <c r="O41" s="36">
        <v>18.0</v>
      </c>
      <c r="P41" s="36">
        <v>22.0</v>
      </c>
      <c r="Q41" s="36">
        <v>0.27</v>
      </c>
      <c r="R41" s="36">
        <v>0.94</v>
      </c>
      <c r="S41" s="36">
        <v>2.49</v>
      </c>
      <c r="T41" s="36">
        <v>3.42</v>
      </c>
      <c r="U41" s="21">
        <f t="shared" si="1"/>
        <v>3420</v>
      </c>
      <c r="V41" s="21">
        <f t="shared" si="2"/>
        <v>12100</v>
      </c>
    </row>
    <row r="42" ht="14.25" customHeight="1">
      <c r="A42" s="38">
        <v>0.17152777777777778</v>
      </c>
      <c r="B42" s="36">
        <v>49.0</v>
      </c>
      <c r="C42" s="36">
        <v>8.4</v>
      </c>
      <c r="D42" s="36">
        <v>435.0</v>
      </c>
      <c r="E42" s="36">
        <v>391.0</v>
      </c>
      <c r="F42" s="36">
        <v>0.9</v>
      </c>
      <c r="G42" s="36">
        <v>18.0</v>
      </c>
      <c r="H42" s="36">
        <v>0.58</v>
      </c>
      <c r="I42" s="36">
        <v>10.5</v>
      </c>
      <c r="J42" s="36">
        <v>89.4</v>
      </c>
      <c r="K42" s="36">
        <v>100.0</v>
      </c>
      <c r="L42" s="36">
        <v>51.8</v>
      </c>
      <c r="M42" s="36">
        <v>101.0</v>
      </c>
      <c r="N42" s="36">
        <v>42.0</v>
      </c>
      <c r="O42" s="36">
        <v>18.0</v>
      </c>
      <c r="P42" s="36">
        <v>21.0</v>
      </c>
      <c r="Q42" s="36">
        <v>0.28</v>
      </c>
      <c r="R42" s="36">
        <v>0.92</v>
      </c>
      <c r="S42" s="36">
        <v>2.38</v>
      </c>
      <c r="T42" s="36">
        <v>3.31</v>
      </c>
      <c r="U42" s="21">
        <f t="shared" si="1"/>
        <v>3310</v>
      </c>
      <c r="V42" s="21">
        <f t="shared" si="2"/>
        <v>100</v>
      </c>
    </row>
    <row r="43" ht="14.25" customHeight="1">
      <c r="A43" s="38">
        <v>0.17291666666666666</v>
      </c>
      <c r="B43" s="36">
        <v>50.0</v>
      </c>
      <c r="C43" s="36">
        <v>8.4</v>
      </c>
      <c r="D43" s="36">
        <v>437.0</v>
      </c>
      <c r="E43" s="36">
        <v>394.0</v>
      </c>
      <c r="F43" s="36">
        <v>0.9</v>
      </c>
      <c r="G43" s="36">
        <v>18.0</v>
      </c>
      <c r="H43" s="36">
        <v>0.58</v>
      </c>
      <c r="I43" s="36">
        <v>10.6</v>
      </c>
      <c r="J43" s="36">
        <v>89.3</v>
      </c>
      <c r="K43" s="36">
        <v>100.0</v>
      </c>
      <c r="L43" s="36">
        <v>51.8</v>
      </c>
      <c r="M43" s="36">
        <v>102.0</v>
      </c>
      <c r="N43" s="36">
        <v>42.0</v>
      </c>
      <c r="O43" s="36">
        <v>18.0</v>
      </c>
      <c r="P43" s="36">
        <v>21.0</v>
      </c>
      <c r="Q43" s="36">
        <v>0.29</v>
      </c>
      <c r="R43" s="36">
        <v>0.95</v>
      </c>
      <c r="S43" s="36">
        <v>2.35</v>
      </c>
      <c r="T43" s="36">
        <v>3.3</v>
      </c>
      <c r="U43" s="21">
        <f t="shared" si="1"/>
        <v>3300</v>
      </c>
      <c r="V43" s="21">
        <f t="shared" si="2"/>
        <v>52900</v>
      </c>
    </row>
    <row r="44" ht="14.25" customHeight="1">
      <c r="A44" s="38">
        <v>0.175</v>
      </c>
      <c r="B44" s="36">
        <v>52.0</v>
      </c>
      <c r="C44" s="36">
        <v>9.1</v>
      </c>
      <c r="D44" s="36">
        <v>472.0</v>
      </c>
      <c r="E44" s="36">
        <v>420.0</v>
      </c>
      <c r="F44" s="36">
        <v>0.89</v>
      </c>
      <c r="G44" s="36">
        <v>20.0</v>
      </c>
      <c r="H44" s="36">
        <v>0.58</v>
      </c>
      <c r="I44" s="36">
        <v>11.2</v>
      </c>
      <c r="J44" s="36">
        <v>88.7</v>
      </c>
      <c r="K44" s="36">
        <v>100.0</v>
      </c>
      <c r="L44" s="36">
        <v>51.8</v>
      </c>
      <c r="M44" s="36">
        <v>101.0</v>
      </c>
      <c r="N44" s="36">
        <v>42.0</v>
      </c>
      <c r="O44" s="36">
        <v>20.0</v>
      </c>
      <c r="P44" s="36">
        <v>23.0</v>
      </c>
      <c r="Q44" s="36">
        <v>0.3</v>
      </c>
      <c r="R44" s="36">
        <v>0.92</v>
      </c>
      <c r="S44" s="36">
        <v>2.15</v>
      </c>
      <c r="T44" s="36">
        <v>3.07</v>
      </c>
      <c r="U44" s="21">
        <f t="shared" si="1"/>
        <v>3070</v>
      </c>
      <c r="V44" s="21">
        <f t="shared" si="2"/>
        <v>100</v>
      </c>
    </row>
    <row r="45" ht="14.25" customHeight="1">
      <c r="A45" s="38">
        <v>0.17708333333333334</v>
      </c>
      <c r="B45" s="36">
        <v>53.0</v>
      </c>
      <c r="C45" s="36">
        <v>9.1</v>
      </c>
      <c r="D45" s="36">
        <v>475.0</v>
      </c>
      <c r="E45" s="36">
        <v>420.0</v>
      </c>
      <c r="F45" s="36">
        <v>0.88</v>
      </c>
      <c r="G45" s="36">
        <v>20.0</v>
      </c>
      <c r="H45" s="36">
        <v>0.57</v>
      </c>
      <c r="I45" s="36">
        <v>11.2</v>
      </c>
      <c r="J45" s="36">
        <v>88.7</v>
      </c>
      <c r="K45" s="36">
        <v>101.0</v>
      </c>
      <c r="L45" s="36">
        <v>51.7</v>
      </c>
      <c r="M45" s="36">
        <v>100.0</v>
      </c>
      <c r="N45" s="36">
        <v>42.0</v>
      </c>
      <c r="O45" s="36">
        <v>20.0</v>
      </c>
      <c r="P45" s="36">
        <v>23.0</v>
      </c>
      <c r="Q45" s="36">
        <v>0.29</v>
      </c>
      <c r="R45" s="36">
        <v>0.9</v>
      </c>
      <c r="S45" s="36">
        <v>2.16</v>
      </c>
      <c r="T45" s="36">
        <v>3.06</v>
      </c>
      <c r="U45" s="21">
        <f t="shared" si="1"/>
        <v>3060</v>
      </c>
      <c r="V45" s="21">
        <f t="shared" si="2"/>
        <v>3600</v>
      </c>
    </row>
    <row r="46" ht="14.25" customHeight="1">
      <c r="A46" s="38">
        <v>0.17916666666666667</v>
      </c>
      <c r="B46" s="36">
        <v>54.0</v>
      </c>
      <c r="C46" s="36">
        <v>9.6</v>
      </c>
      <c r="D46" s="36">
        <v>500.0</v>
      </c>
      <c r="E46" s="36">
        <v>440.0</v>
      </c>
      <c r="F46" s="36">
        <v>0.88</v>
      </c>
      <c r="G46" s="36">
        <v>19.0</v>
      </c>
      <c r="H46" s="36">
        <v>0.61</v>
      </c>
      <c r="I46" s="36">
        <v>11.6</v>
      </c>
      <c r="J46" s="36">
        <v>88.3</v>
      </c>
      <c r="K46" s="36">
        <v>101.0</v>
      </c>
      <c r="L46" s="36">
        <v>51.7</v>
      </c>
      <c r="M46" s="36">
        <v>101.0</v>
      </c>
      <c r="N46" s="36">
        <v>42.0</v>
      </c>
      <c r="O46" s="36">
        <v>19.0</v>
      </c>
      <c r="P46" s="36">
        <v>24.0</v>
      </c>
      <c r="Q46" s="36">
        <v>0.31</v>
      </c>
      <c r="R46" s="36">
        <v>0.98</v>
      </c>
      <c r="S46" s="36">
        <v>2.14</v>
      </c>
      <c r="T46" s="36">
        <v>3.12</v>
      </c>
      <c r="U46" s="21">
        <f t="shared" si="1"/>
        <v>3120</v>
      </c>
      <c r="V46" s="21">
        <f t="shared" si="2"/>
        <v>8100</v>
      </c>
    </row>
    <row r="47" ht="14.25" customHeight="1">
      <c r="A47" s="38">
        <v>0.18194444444444444</v>
      </c>
      <c r="B47" s="36">
        <v>55.0</v>
      </c>
      <c r="C47" s="36">
        <v>9.1</v>
      </c>
      <c r="D47" s="36">
        <v>471.0</v>
      </c>
      <c r="E47" s="36">
        <v>414.0</v>
      </c>
      <c r="F47" s="36">
        <v>0.88</v>
      </c>
      <c r="G47" s="36">
        <v>20.0</v>
      </c>
      <c r="H47" s="36">
        <v>0.56</v>
      </c>
      <c r="I47" s="36">
        <v>11.1</v>
      </c>
      <c r="J47" s="36">
        <v>88.8</v>
      </c>
      <c r="K47" s="36">
        <v>100.0</v>
      </c>
      <c r="L47" s="36">
        <v>51.8</v>
      </c>
      <c r="M47" s="36">
        <v>101.0</v>
      </c>
      <c r="N47" s="36">
        <v>42.0</v>
      </c>
      <c r="O47" s="36">
        <v>20.0</v>
      </c>
      <c r="P47" s="36">
        <v>23.0</v>
      </c>
      <c r="Q47" s="36">
        <v>0.32</v>
      </c>
      <c r="R47" s="36">
        <v>0.96</v>
      </c>
      <c r="S47" s="36">
        <v>2.07</v>
      </c>
      <c r="T47" s="36">
        <v>3.03</v>
      </c>
      <c r="U47" s="21">
        <f t="shared" si="1"/>
        <v>3030</v>
      </c>
      <c r="V47" s="21">
        <f t="shared" si="2"/>
        <v>10000</v>
      </c>
    </row>
    <row r="48" ht="14.25" customHeight="1">
      <c r="A48" s="38">
        <v>0.1840277777777778</v>
      </c>
      <c r="B48" s="36">
        <v>57.0</v>
      </c>
      <c r="C48" s="36">
        <v>9.6</v>
      </c>
      <c r="D48" s="36">
        <v>499.0</v>
      </c>
      <c r="E48" s="36">
        <v>437.0</v>
      </c>
      <c r="F48" s="36">
        <v>0.88</v>
      </c>
      <c r="G48" s="36">
        <v>20.0</v>
      </c>
      <c r="H48" s="36">
        <v>0.57</v>
      </c>
      <c r="I48" s="36">
        <v>11.7</v>
      </c>
      <c r="J48" s="36">
        <v>88.2</v>
      </c>
      <c r="K48" s="36">
        <v>100.0</v>
      </c>
      <c r="L48" s="36">
        <v>51.8</v>
      </c>
      <c r="M48" s="36">
        <v>101.0</v>
      </c>
      <c r="N48" s="36">
        <v>42.0</v>
      </c>
      <c r="O48" s="36">
        <v>20.0</v>
      </c>
      <c r="P48" s="36">
        <v>24.0</v>
      </c>
      <c r="Q48" s="36">
        <v>0.33</v>
      </c>
      <c r="R48" s="36">
        <v>0.96</v>
      </c>
      <c r="S48" s="36">
        <v>1.97</v>
      </c>
      <c r="T48" s="36">
        <v>2.93</v>
      </c>
      <c r="U48" s="21">
        <f t="shared" si="1"/>
        <v>2930</v>
      </c>
      <c r="V48" s="21">
        <f t="shared" si="2"/>
        <v>3600</v>
      </c>
    </row>
    <row r="49" ht="14.25" customHeight="1">
      <c r="A49" s="38">
        <v>0.18680555555555556</v>
      </c>
      <c r="B49" s="36">
        <v>58.0</v>
      </c>
      <c r="C49" s="36">
        <v>10.1</v>
      </c>
      <c r="D49" s="36">
        <v>526.0</v>
      </c>
      <c r="E49" s="36">
        <v>460.0</v>
      </c>
      <c r="F49" s="36">
        <v>0.87</v>
      </c>
      <c r="G49" s="36">
        <v>20.0</v>
      </c>
      <c r="H49" s="36">
        <v>0.6</v>
      </c>
      <c r="I49" s="36">
        <v>12.1</v>
      </c>
      <c r="J49" s="36">
        <v>87.8</v>
      </c>
      <c r="K49" s="36">
        <v>100.0</v>
      </c>
      <c r="L49" s="36">
        <v>51.7</v>
      </c>
      <c r="M49" s="36">
        <v>101.0</v>
      </c>
      <c r="N49" s="36">
        <v>42.0</v>
      </c>
      <c r="O49" s="36">
        <v>20.0</v>
      </c>
      <c r="P49" s="36">
        <v>26.0</v>
      </c>
      <c r="Q49" s="36">
        <v>0.34</v>
      </c>
      <c r="R49" s="36">
        <v>1.01</v>
      </c>
      <c r="S49" s="36">
        <v>1.98</v>
      </c>
      <c r="T49" s="36">
        <v>2.99</v>
      </c>
      <c r="U49" s="21">
        <f t="shared" si="1"/>
        <v>2990</v>
      </c>
      <c r="V49" s="21">
        <f t="shared" si="2"/>
        <v>0</v>
      </c>
    </row>
    <row r="50" ht="14.25" customHeight="1">
      <c r="A50" s="38">
        <v>0.18819444444444444</v>
      </c>
      <c r="B50" s="36">
        <v>59.0</v>
      </c>
      <c r="C50" s="36">
        <v>9.9</v>
      </c>
      <c r="D50" s="36">
        <v>514.0</v>
      </c>
      <c r="E50" s="36">
        <v>450.0</v>
      </c>
      <c r="F50" s="36">
        <v>0.88</v>
      </c>
      <c r="G50" s="36">
        <v>20.0</v>
      </c>
      <c r="H50" s="36">
        <v>0.59</v>
      </c>
      <c r="I50" s="36">
        <v>11.9</v>
      </c>
      <c r="J50" s="36">
        <v>88.0</v>
      </c>
      <c r="K50" s="36">
        <v>101.0</v>
      </c>
      <c r="L50" s="36">
        <v>51.5</v>
      </c>
      <c r="M50" s="36">
        <v>101.0</v>
      </c>
      <c r="N50" s="36">
        <v>42.0</v>
      </c>
      <c r="O50" s="36">
        <v>20.0</v>
      </c>
      <c r="P50" s="36">
        <v>25.0</v>
      </c>
      <c r="Q50" s="36">
        <v>0.33</v>
      </c>
      <c r="R50" s="36">
        <v>0.99</v>
      </c>
      <c r="S50" s="36">
        <v>2.0</v>
      </c>
      <c r="T50" s="36">
        <v>2.99</v>
      </c>
      <c r="U50" s="21">
        <f t="shared" si="1"/>
        <v>2990</v>
      </c>
      <c r="V50" s="21">
        <f t="shared" si="2"/>
        <v>22500</v>
      </c>
    </row>
    <row r="51" ht="14.25" customHeight="1">
      <c r="A51" s="38">
        <v>0.1909722222222222</v>
      </c>
      <c r="B51" s="36">
        <v>61.0</v>
      </c>
      <c r="C51" s="36">
        <v>9.8</v>
      </c>
      <c r="D51" s="36">
        <v>508.0</v>
      </c>
      <c r="E51" s="36">
        <v>446.0</v>
      </c>
      <c r="F51" s="36">
        <v>0.88</v>
      </c>
      <c r="G51" s="36">
        <v>19.0</v>
      </c>
      <c r="H51" s="36">
        <v>0.61</v>
      </c>
      <c r="I51" s="36">
        <v>11.7</v>
      </c>
      <c r="J51" s="36">
        <v>88.2</v>
      </c>
      <c r="K51" s="36">
        <v>101.0</v>
      </c>
      <c r="L51" s="36">
        <v>51.6</v>
      </c>
      <c r="M51" s="36">
        <v>101.0</v>
      </c>
      <c r="N51" s="36">
        <v>42.0</v>
      </c>
      <c r="O51" s="36">
        <v>19.0</v>
      </c>
      <c r="P51" s="36">
        <v>25.0</v>
      </c>
      <c r="Q51" s="36">
        <v>0.34</v>
      </c>
      <c r="R51" s="36">
        <v>1.06</v>
      </c>
      <c r="S51" s="36">
        <v>2.08</v>
      </c>
      <c r="T51" s="36">
        <v>3.14</v>
      </c>
      <c r="U51" s="21">
        <f t="shared" si="1"/>
        <v>3140</v>
      </c>
      <c r="V51" s="21">
        <f t="shared" si="2"/>
        <v>25600</v>
      </c>
    </row>
    <row r="52" ht="14.25" customHeight="1">
      <c r="A52" s="38">
        <v>0.19375</v>
      </c>
      <c r="B52" s="36">
        <v>62.0</v>
      </c>
      <c r="C52" s="36">
        <v>9.6</v>
      </c>
      <c r="D52" s="36">
        <v>498.0</v>
      </c>
      <c r="E52" s="36">
        <v>437.0</v>
      </c>
      <c r="F52" s="36">
        <v>0.88</v>
      </c>
      <c r="G52" s="36">
        <v>18.0</v>
      </c>
      <c r="H52" s="36">
        <v>0.63</v>
      </c>
      <c r="I52" s="36">
        <v>11.5</v>
      </c>
      <c r="J52" s="36">
        <v>88.4</v>
      </c>
      <c r="K52" s="36">
        <v>100.0</v>
      </c>
      <c r="L52" s="36">
        <v>51.9</v>
      </c>
      <c r="M52" s="36">
        <v>101.0</v>
      </c>
      <c r="N52" s="36">
        <v>42.0</v>
      </c>
      <c r="O52" s="36">
        <v>18.0</v>
      </c>
      <c r="P52" s="36">
        <v>24.0</v>
      </c>
      <c r="Q52" s="36">
        <v>0.33</v>
      </c>
      <c r="R52" s="36">
        <v>1.1</v>
      </c>
      <c r="S52" s="36">
        <v>2.2</v>
      </c>
      <c r="T52" s="36">
        <v>3.3</v>
      </c>
      <c r="U52" s="21">
        <f t="shared" si="1"/>
        <v>3300</v>
      </c>
      <c r="V52" s="21">
        <f t="shared" si="2"/>
        <v>2500</v>
      </c>
    </row>
    <row r="53" ht="14.25" customHeight="1">
      <c r="A53" s="38">
        <v>0.19583333333333333</v>
      </c>
      <c r="B53" s="36">
        <v>63.0</v>
      </c>
      <c r="C53" s="36">
        <v>9.9</v>
      </c>
      <c r="D53" s="36">
        <v>516.0</v>
      </c>
      <c r="E53" s="36">
        <v>452.0</v>
      </c>
      <c r="F53" s="36">
        <v>0.88</v>
      </c>
      <c r="G53" s="36">
        <v>18.0</v>
      </c>
      <c r="H53" s="36">
        <v>0.64</v>
      </c>
      <c r="I53" s="36">
        <v>11.8</v>
      </c>
      <c r="J53" s="36">
        <v>88.1</v>
      </c>
      <c r="K53" s="36">
        <v>100.0</v>
      </c>
      <c r="L53" s="36">
        <v>51.9</v>
      </c>
      <c r="M53" s="36">
        <v>100.0</v>
      </c>
      <c r="N53" s="36">
        <v>43.0</v>
      </c>
      <c r="O53" s="36">
        <v>18.0</v>
      </c>
      <c r="P53" s="36">
        <v>25.0</v>
      </c>
      <c r="Q53" s="36">
        <v>0.32</v>
      </c>
      <c r="R53" s="36">
        <v>1.03</v>
      </c>
      <c r="S53" s="36">
        <v>2.22</v>
      </c>
      <c r="T53" s="36">
        <v>3.25</v>
      </c>
      <c r="U53" s="21">
        <f t="shared" si="1"/>
        <v>3250</v>
      </c>
      <c r="V53" s="21">
        <f t="shared" si="2"/>
        <v>25600</v>
      </c>
    </row>
    <row r="54" ht="14.25" customHeight="1">
      <c r="A54" s="38">
        <v>0.19722222222222222</v>
      </c>
      <c r="B54" s="36">
        <v>65.0</v>
      </c>
      <c r="C54" s="36">
        <v>10.2</v>
      </c>
      <c r="D54" s="36">
        <v>532.0</v>
      </c>
      <c r="E54" s="36">
        <v>465.0</v>
      </c>
      <c r="F54" s="36">
        <v>0.87</v>
      </c>
      <c r="G54" s="36">
        <v>19.0</v>
      </c>
      <c r="H54" s="36">
        <v>0.63</v>
      </c>
      <c r="I54" s="36">
        <v>12.2</v>
      </c>
      <c r="J54" s="36">
        <v>87.7</v>
      </c>
      <c r="K54" s="36">
        <v>101.0</v>
      </c>
      <c r="L54" s="36">
        <v>51.6</v>
      </c>
      <c r="M54" s="36">
        <v>100.0</v>
      </c>
      <c r="N54" s="36">
        <v>43.0</v>
      </c>
      <c r="O54" s="36">
        <v>19.0</v>
      </c>
      <c r="P54" s="36">
        <v>26.0</v>
      </c>
      <c r="Q54" s="36">
        <v>0.31</v>
      </c>
      <c r="R54" s="36">
        <v>0.96</v>
      </c>
      <c r="S54" s="36">
        <v>2.13</v>
      </c>
      <c r="T54" s="36">
        <v>3.09</v>
      </c>
      <c r="U54" s="21">
        <f t="shared" si="1"/>
        <v>3090</v>
      </c>
      <c r="V54" s="21">
        <f t="shared" si="2"/>
        <v>900</v>
      </c>
    </row>
    <row r="55" ht="14.25" customHeight="1">
      <c r="A55" s="38">
        <v>0.2</v>
      </c>
      <c r="B55" s="36">
        <v>66.0</v>
      </c>
      <c r="C55" s="36">
        <v>10.1</v>
      </c>
      <c r="D55" s="36">
        <v>523.0</v>
      </c>
      <c r="E55" s="36">
        <v>457.0</v>
      </c>
      <c r="F55" s="36">
        <v>0.87</v>
      </c>
      <c r="G55" s="36">
        <v>19.0</v>
      </c>
      <c r="H55" s="36">
        <v>0.63</v>
      </c>
      <c r="I55" s="36">
        <v>12.1</v>
      </c>
      <c r="J55" s="36">
        <v>87.8</v>
      </c>
      <c r="K55" s="36">
        <v>102.0</v>
      </c>
      <c r="L55" s="36">
        <v>50.7</v>
      </c>
      <c r="M55" s="36">
        <v>100.0</v>
      </c>
      <c r="N55" s="36">
        <v>42.0</v>
      </c>
      <c r="O55" s="36">
        <v>19.0</v>
      </c>
      <c r="P55" s="36">
        <v>25.0</v>
      </c>
      <c r="Q55" s="36">
        <v>0.31</v>
      </c>
      <c r="R55" s="36">
        <v>0.96</v>
      </c>
      <c r="S55" s="36">
        <v>2.16</v>
      </c>
      <c r="T55" s="36">
        <v>3.12</v>
      </c>
      <c r="U55" s="21">
        <f t="shared" si="1"/>
        <v>3120</v>
      </c>
      <c r="V55" s="21">
        <f t="shared" si="2"/>
        <v>2500</v>
      </c>
    </row>
    <row r="56" ht="14.25" customHeight="1">
      <c r="A56" s="38">
        <v>0.20208333333333334</v>
      </c>
      <c r="B56" s="36">
        <v>67.0</v>
      </c>
      <c r="C56" s="36">
        <v>10.4</v>
      </c>
      <c r="D56" s="36">
        <v>541.0</v>
      </c>
      <c r="E56" s="36">
        <v>472.0</v>
      </c>
      <c r="F56" s="36">
        <v>0.87</v>
      </c>
      <c r="G56" s="36">
        <v>20.0</v>
      </c>
      <c r="H56" s="36">
        <v>0.64</v>
      </c>
      <c r="I56" s="36">
        <v>12.5</v>
      </c>
      <c r="J56" s="36">
        <v>87.4</v>
      </c>
      <c r="K56" s="36">
        <v>104.0</v>
      </c>
      <c r="L56" s="36">
        <v>49.9</v>
      </c>
      <c r="M56" s="36">
        <v>100.0</v>
      </c>
      <c r="N56" s="36">
        <v>42.0</v>
      </c>
      <c r="O56" s="36">
        <v>20.0</v>
      </c>
      <c r="P56" s="36">
        <v>26.0</v>
      </c>
      <c r="Q56" s="36">
        <v>0.3</v>
      </c>
      <c r="R56" s="36">
        <v>0.92</v>
      </c>
      <c r="S56" s="36">
        <v>2.15</v>
      </c>
      <c r="T56" s="36">
        <v>3.07</v>
      </c>
      <c r="U56" s="21">
        <f t="shared" si="1"/>
        <v>3070</v>
      </c>
      <c r="V56" s="21">
        <f t="shared" si="2"/>
        <v>10000</v>
      </c>
    </row>
    <row r="57" ht="14.25" customHeight="1">
      <c r="A57" s="38">
        <v>0.20416666666666666</v>
      </c>
      <c r="B57" s="36">
        <v>68.0</v>
      </c>
      <c r="C57" s="36">
        <v>11.0</v>
      </c>
      <c r="D57" s="36">
        <v>570.0</v>
      </c>
      <c r="E57" s="36">
        <v>499.0</v>
      </c>
      <c r="F57" s="36">
        <v>0.88</v>
      </c>
      <c r="G57" s="36">
        <v>19.0</v>
      </c>
      <c r="H57" s="36">
        <v>0.69</v>
      </c>
      <c r="I57" s="36">
        <v>13.2</v>
      </c>
      <c r="J57" s="36">
        <v>86.7</v>
      </c>
      <c r="K57" s="36">
        <v>106.0</v>
      </c>
      <c r="L57" s="36">
        <v>49.2</v>
      </c>
      <c r="M57" s="36">
        <v>101.0</v>
      </c>
      <c r="N57" s="36">
        <v>42.0</v>
      </c>
      <c r="O57" s="36">
        <v>19.0</v>
      </c>
      <c r="P57" s="36">
        <v>28.0</v>
      </c>
      <c r="Q57" s="36">
        <v>0.31</v>
      </c>
      <c r="R57" s="36">
        <v>0.99</v>
      </c>
      <c r="S57" s="36">
        <v>2.18</v>
      </c>
      <c r="T57" s="36">
        <v>3.17</v>
      </c>
      <c r="U57" s="21">
        <f t="shared" si="1"/>
        <v>3170</v>
      </c>
      <c r="V57" s="21">
        <f t="shared" si="2"/>
        <v>0</v>
      </c>
    </row>
    <row r="58" ht="14.25" customHeight="1">
      <c r="A58" s="38">
        <v>0.20625</v>
      </c>
      <c r="B58" s="36">
        <v>70.0</v>
      </c>
      <c r="C58" s="36">
        <v>11.0</v>
      </c>
      <c r="D58" s="36">
        <v>570.0</v>
      </c>
      <c r="E58" s="36">
        <v>499.0</v>
      </c>
      <c r="F58" s="36">
        <v>0.88</v>
      </c>
      <c r="G58" s="36">
        <v>19.0</v>
      </c>
      <c r="H58" s="36">
        <v>0.69</v>
      </c>
      <c r="I58" s="36">
        <v>13.2</v>
      </c>
      <c r="J58" s="36">
        <v>86.7</v>
      </c>
      <c r="K58" s="36">
        <v>107.0</v>
      </c>
      <c r="L58" s="36">
        <v>48.6</v>
      </c>
      <c r="M58" s="36">
        <v>101.0</v>
      </c>
      <c r="N58" s="36">
        <v>42.0</v>
      </c>
      <c r="O58" s="36">
        <v>19.0</v>
      </c>
      <c r="P58" s="36">
        <v>28.0</v>
      </c>
      <c r="Q58" s="36">
        <v>0.31</v>
      </c>
      <c r="R58" s="36">
        <v>0.99</v>
      </c>
      <c r="S58" s="36">
        <v>2.18</v>
      </c>
      <c r="T58" s="36">
        <v>3.17</v>
      </c>
      <c r="U58" s="21">
        <f t="shared" si="1"/>
        <v>3170</v>
      </c>
      <c r="V58" s="21">
        <f t="shared" si="2"/>
        <v>10000</v>
      </c>
    </row>
    <row r="59" ht="14.25" customHeight="1">
      <c r="A59" s="38">
        <v>0.20833333333333334</v>
      </c>
      <c r="B59" s="36">
        <v>71.0</v>
      </c>
      <c r="C59" s="36">
        <v>11.4</v>
      </c>
      <c r="D59" s="36">
        <v>595.0</v>
      </c>
      <c r="E59" s="36">
        <v>525.0</v>
      </c>
      <c r="F59" s="36">
        <v>0.88</v>
      </c>
      <c r="G59" s="36">
        <v>20.0</v>
      </c>
      <c r="H59" s="36">
        <v>0.71</v>
      </c>
      <c r="I59" s="36">
        <v>13.8</v>
      </c>
      <c r="J59" s="36">
        <v>86.1</v>
      </c>
      <c r="K59" s="36">
        <v>108.0</v>
      </c>
      <c r="L59" s="36">
        <v>48.0</v>
      </c>
      <c r="M59" s="36">
        <v>101.0</v>
      </c>
      <c r="N59" s="36">
        <v>42.0</v>
      </c>
      <c r="O59" s="36">
        <v>20.0</v>
      </c>
      <c r="P59" s="36">
        <v>29.0</v>
      </c>
      <c r="Q59" s="36">
        <v>0.31</v>
      </c>
      <c r="R59" s="36">
        <v>0.97</v>
      </c>
      <c r="S59" s="36">
        <v>2.11</v>
      </c>
      <c r="T59" s="36">
        <v>3.07</v>
      </c>
      <c r="U59" s="21">
        <f t="shared" si="1"/>
        <v>3070</v>
      </c>
      <c r="V59" s="21">
        <f t="shared" si="2"/>
        <v>400</v>
      </c>
    </row>
    <row r="60" ht="14.25" customHeight="1">
      <c r="A60" s="38">
        <v>0.20972222222222223</v>
      </c>
      <c r="B60" s="36">
        <v>72.0</v>
      </c>
      <c r="C60" s="36">
        <v>11.3</v>
      </c>
      <c r="D60" s="36">
        <v>585.0</v>
      </c>
      <c r="E60" s="36">
        <v>520.0</v>
      </c>
      <c r="F60" s="36">
        <v>0.89</v>
      </c>
      <c r="G60" s="36">
        <v>20.0</v>
      </c>
      <c r="H60" s="36">
        <v>0.7</v>
      </c>
      <c r="I60" s="36">
        <v>13.8</v>
      </c>
      <c r="J60" s="36">
        <v>86.1</v>
      </c>
      <c r="K60" s="36">
        <v>109.0</v>
      </c>
      <c r="L60" s="36">
        <v>47.5</v>
      </c>
      <c r="M60" s="36">
        <v>102.0</v>
      </c>
      <c r="N60" s="36">
        <v>42.0</v>
      </c>
      <c r="O60" s="36">
        <v>20.0</v>
      </c>
      <c r="P60" s="36">
        <v>28.0</v>
      </c>
      <c r="Q60" s="36">
        <v>0.32</v>
      </c>
      <c r="R60" s="36">
        <v>0.97</v>
      </c>
      <c r="S60" s="36">
        <v>2.08</v>
      </c>
      <c r="T60" s="36">
        <v>3.05</v>
      </c>
      <c r="U60" s="21">
        <f t="shared" si="1"/>
        <v>3050</v>
      </c>
      <c r="V60" s="21">
        <f t="shared" si="2"/>
        <v>100</v>
      </c>
    </row>
    <row r="61" ht="14.25" customHeight="1">
      <c r="A61" s="38">
        <v>0.21180555555555555</v>
      </c>
      <c r="B61" s="36">
        <v>73.0</v>
      </c>
      <c r="C61" s="36">
        <v>11.5</v>
      </c>
      <c r="D61" s="36">
        <v>599.0</v>
      </c>
      <c r="E61" s="36">
        <v>534.0</v>
      </c>
      <c r="F61" s="36">
        <v>0.89</v>
      </c>
      <c r="G61" s="36">
        <v>20.0</v>
      </c>
      <c r="H61" s="36">
        <v>0.72</v>
      </c>
      <c r="I61" s="36">
        <v>14.0</v>
      </c>
      <c r="J61" s="36">
        <v>85.9</v>
      </c>
      <c r="K61" s="36">
        <v>108.0</v>
      </c>
      <c r="L61" s="36">
        <v>48.3</v>
      </c>
      <c r="M61" s="36">
        <v>102.0</v>
      </c>
      <c r="N61" s="36">
        <v>42.0</v>
      </c>
      <c r="O61" s="36">
        <v>20.0</v>
      </c>
      <c r="P61" s="36">
        <v>29.0</v>
      </c>
      <c r="Q61" s="36">
        <v>0.32</v>
      </c>
      <c r="R61" s="36">
        <v>0.99</v>
      </c>
      <c r="S61" s="36">
        <v>2.07</v>
      </c>
      <c r="T61" s="36">
        <v>3.06</v>
      </c>
      <c r="U61" s="21">
        <f t="shared" si="1"/>
        <v>3060</v>
      </c>
      <c r="V61" s="21">
        <f t="shared" si="2"/>
        <v>400</v>
      </c>
    </row>
    <row r="62" ht="14.25" customHeight="1">
      <c r="A62" s="38">
        <v>0.21388888888888888</v>
      </c>
      <c r="B62" s="36">
        <v>75.0</v>
      </c>
      <c r="C62" s="36">
        <v>11.6</v>
      </c>
      <c r="D62" s="36">
        <v>605.0</v>
      </c>
      <c r="E62" s="36">
        <v>541.0</v>
      </c>
      <c r="F62" s="36">
        <v>0.89</v>
      </c>
      <c r="G62" s="36">
        <v>20.0</v>
      </c>
      <c r="H62" s="36">
        <v>0.72</v>
      </c>
      <c r="I62" s="36">
        <v>14.1</v>
      </c>
      <c r="J62" s="36">
        <v>85.8</v>
      </c>
      <c r="K62" s="36">
        <v>109.0</v>
      </c>
      <c r="L62" s="36">
        <v>47.5</v>
      </c>
      <c r="M62" s="36">
        <v>102.0</v>
      </c>
      <c r="N62" s="36">
        <v>42.0</v>
      </c>
      <c r="O62" s="36">
        <v>20.0</v>
      </c>
      <c r="P62" s="36">
        <v>29.0</v>
      </c>
      <c r="Q62" s="36">
        <v>0.33</v>
      </c>
      <c r="R62" s="36">
        <v>1.01</v>
      </c>
      <c r="S62" s="36">
        <v>2.03</v>
      </c>
      <c r="T62" s="36">
        <v>3.04</v>
      </c>
      <c r="U62" s="21">
        <f t="shared" si="1"/>
        <v>3040</v>
      </c>
      <c r="V62" s="21">
        <f t="shared" si="2"/>
        <v>400</v>
      </c>
    </row>
    <row r="63" ht="14.25" customHeight="1">
      <c r="A63" s="38">
        <v>0.21666666666666667</v>
      </c>
      <c r="B63" s="36">
        <v>76.0</v>
      </c>
      <c r="C63" s="36">
        <v>11.7</v>
      </c>
      <c r="D63" s="36">
        <v>606.0</v>
      </c>
      <c r="E63" s="36">
        <v>542.0</v>
      </c>
      <c r="F63" s="36">
        <v>0.89</v>
      </c>
      <c r="G63" s="36">
        <v>20.0</v>
      </c>
      <c r="H63" s="36">
        <v>0.71</v>
      </c>
      <c r="I63" s="36">
        <v>14.1</v>
      </c>
      <c r="J63" s="36">
        <v>85.7</v>
      </c>
      <c r="K63" s="36">
        <v>109.0</v>
      </c>
      <c r="L63" s="36">
        <v>47.6</v>
      </c>
      <c r="M63" s="36">
        <v>102.0</v>
      </c>
      <c r="N63" s="36">
        <v>42.0</v>
      </c>
      <c r="O63" s="36">
        <v>20.0</v>
      </c>
      <c r="P63" s="36">
        <v>29.0</v>
      </c>
      <c r="Q63" s="36">
        <v>0.33</v>
      </c>
      <c r="R63" s="36">
        <v>1.01</v>
      </c>
      <c r="S63" s="36">
        <v>2.01</v>
      </c>
      <c r="T63" s="36">
        <v>3.02</v>
      </c>
      <c r="U63" s="21">
        <f t="shared" si="1"/>
        <v>3020</v>
      </c>
      <c r="V63" s="21">
        <f t="shared" si="2"/>
        <v>193600</v>
      </c>
    </row>
    <row r="64" ht="14.25" customHeight="1">
      <c r="A64" s="38">
        <v>0.22013888888888888</v>
      </c>
      <c r="B64" s="36">
        <v>79.0</v>
      </c>
      <c r="C64" s="36">
        <v>11.5</v>
      </c>
      <c r="D64" s="36">
        <v>596.0</v>
      </c>
      <c r="E64" s="36">
        <v>542.0</v>
      </c>
      <c r="F64" s="36">
        <v>0.91</v>
      </c>
      <c r="G64" s="36">
        <v>17.0</v>
      </c>
      <c r="H64" s="36">
        <v>0.82</v>
      </c>
      <c r="I64" s="36">
        <v>14.2</v>
      </c>
      <c r="J64" s="36">
        <v>85.7</v>
      </c>
      <c r="K64" s="36">
        <v>109.0</v>
      </c>
      <c r="L64" s="36">
        <v>47.6</v>
      </c>
      <c r="M64" s="36">
        <v>102.0</v>
      </c>
      <c r="N64" s="36">
        <v>42.0</v>
      </c>
      <c r="O64" s="36">
        <v>17.0</v>
      </c>
      <c r="P64" s="36">
        <v>29.0</v>
      </c>
      <c r="Q64" s="36">
        <v>0.34</v>
      </c>
      <c r="R64" s="36">
        <v>1.16</v>
      </c>
      <c r="S64" s="36">
        <v>2.3</v>
      </c>
      <c r="T64" s="36">
        <v>3.46</v>
      </c>
      <c r="U64" s="21">
        <f t="shared" si="1"/>
        <v>3460</v>
      </c>
      <c r="V64" s="21">
        <f t="shared" si="2"/>
        <v>0</v>
      </c>
    </row>
    <row r="65" ht="14.25" customHeight="1">
      <c r="A65" s="38">
        <v>0.22152777777777777</v>
      </c>
      <c r="B65" s="36">
        <v>79.0</v>
      </c>
      <c r="C65" s="36">
        <v>11.5</v>
      </c>
      <c r="D65" s="36">
        <v>596.0</v>
      </c>
      <c r="E65" s="36">
        <v>542.0</v>
      </c>
      <c r="F65" s="36">
        <v>0.91</v>
      </c>
      <c r="G65" s="36">
        <v>17.0</v>
      </c>
      <c r="H65" s="36">
        <v>0.82</v>
      </c>
      <c r="I65" s="36">
        <v>14.2</v>
      </c>
      <c r="J65" s="36">
        <v>85.7</v>
      </c>
      <c r="K65" s="36">
        <v>110.0</v>
      </c>
      <c r="L65" s="36">
        <v>47.3</v>
      </c>
      <c r="M65" s="36">
        <v>102.0</v>
      </c>
      <c r="N65" s="36">
        <v>42.0</v>
      </c>
      <c r="O65" s="36">
        <v>17.0</v>
      </c>
      <c r="P65" s="36">
        <v>29.0</v>
      </c>
      <c r="Q65" s="36">
        <v>0.34</v>
      </c>
      <c r="R65" s="36">
        <v>1.16</v>
      </c>
      <c r="S65" s="36">
        <v>2.3</v>
      </c>
      <c r="T65" s="36">
        <v>3.46</v>
      </c>
      <c r="U65" s="21">
        <f t="shared" si="1"/>
        <v>3460</v>
      </c>
      <c r="V65" s="21">
        <f t="shared" si="2"/>
        <v>14400</v>
      </c>
    </row>
    <row r="66" ht="14.25" customHeight="1">
      <c r="A66" s="38">
        <v>0.22430555555555556</v>
      </c>
      <c r="B66" s="36">
        <v>81.0</v>
      </c>
      <c r="C66" s="36">
        <v>11.1</v>
      </c>
      <c r="D66" s="36">
        <v>579.0</v>
      </c>
      <c r="E66" s="36">
        <v>527.0</v>
      </c>
      <c r="F66" s="36">
        <v>0.91</v>
      </c>
      <c r="G66" s="36">
        <v>18.0</v>
      </c>
      <c r="H66" s="36">
        <v>0.76</v>
      </c>
      <c r="I66" s="36">
        <v>13.8</v>
      </c>
      <c r="J66" s="36">
        <v>86.1</v>
      </c>
      <c r="K66" s="36">
        <v>110.0</v>
      </c>
      <c r="L66" s="36">
        <v>47.1</v>
      </c>
      <c r="M66" s="36">
        <v>102.0</v>
      </c>
      <c r="N66" s="36">
        <v>42.0</v>
      </c>
      <c r="O66" s="36">
        <v>18.0</v>
      </c>
      <c r="P66" s="36">
        <v>28.0</v>
      </c>
      <c r="Q66" s="36">
        <v>0.32</v>
      </c>
      <c r="R66" s="36">
        <v>1.06</v>
      </c>
      <c r="S66" s="36">
        <v>2.28</v>
      </c>
      <c r="T66" s="36">
        <v>3.34</v>
      </c>
      <c r="U66" s="21">
        <f t="shared" si="1"/>
        <v>3340</v>
      </c>
      <c r="V66" s="21">
        <f t="shared" si="2"/>
        <v>12100</v>
      </c>
    </row>
    <row r="67" ht="14.25" customHeight="1">
      <c r="A67" s="38">
        <v>0.2263888888888889</v>
      </c>
      <c r="B67" s="36">
        <v>83.0</v>
      </c>
      <c r="C67" s="36">
        <v>11.6</v>
      </c>
      <c r="D67" s="36">
        <v>603.0</v>
      </c>
      <c r="E67" s="36">
        <v>541.0</v>
      </c>
      <c r="F67" s="36">
        <v>0.9</v>
      </c>
      <c r="G67" s="36">
        <v>17.0</v>
      </c>
      <c r="H67" s="36">
        <v>0.8</v>
      </c>
      <c r="I67" s="36">
        <v>13.9</v>
      </c>
      <c r="J67" s="36">
        <v>86.0</v>
      </c>
      <c r="K67" s="36">
        <v>110.0</v>
      </c>
      <c r="L67" s="36">
        <v>47.1</v>
      </c>
      <c r="M67" s="36">
        <v>100.0</v>
      </c>
      <c r="N67" s="36">
        <v>43.0</v>
      </c>
      <c r="O67" s="36">
        <v>17.0</v>
      </c>
      <c r="P67" s="36">
        <v>29.0</v>
      </c>
      <c r="Q67" s="36">
        <v>0.32</v>
      </c>
      <c r="R67" s="36">
        <v>1.11</v>
      </c>
      <c r="S67" s="36">
        <v>2.35</v>
      </c>
      <c r="T67" s="36">
        <v>3.45</v>
      </c>
      <c r="U67" s="21">
        <f t="shared" si="1"/>
        <v>3450</v>
      </c>
      <c r="V67" s="21">
        <f t="shared" si="2"/>
        <v>10000</v>
      </c>
    </row>
    <row r="68" ht="14.25" customHeight="1">
      <c r="A68" s="38">
        <v>0.23055555555555557</v>
      </c>
      <c r="B68" s="36">
        <v>85.0</v>
      </c>
      <c r="C68" s="36">
        <v>11.4</v>
      </c>
      <c r="D68" s="36">
        <v>591.0</v>
      </c>
      <c r="E68" s="36">
        <v>526.0</v>
      </c>
      <c r="F68" s="36">
        <v>0.89</v>
      </c>
      <c r="G68" s="36">
        <v>17.0</v>
      </c>
      <c r="H68" s="36">
        <v>0.79</v>
      </c>
      <c r="I68" s="36">
        <v>13.4</v>
      </c>
      <c r="J68" s="36">
        <v>86.5</v>
      </c>
      <c r="K68" s="36">
        <v>110.0</v>
      </c>
      <c r="L68" s="36">
        <v>47.1</v>
      </c>
      <c r="M68" s="36">
        <v>99.0</v>
      </c>
      <c r="N68" s="36">
        <v>44.0</v>
      </c>
      <c r="O68" s="36">
        <v>17.0</v>
      </c>
      <c r="P68" s="36">
        <v>29.0</v>
      </c>
      <c r="Q68" s="36">
        <v>0.31</v>
      </c>
      <c r="R68" s="36">
        <v>1.09</v>
      </c>
      <c r="S68" s="36">
        <v>2.46</v>
      </c>
      <c r="T68" s="36">
        <v>3.55</v>
      </c>
      <c r="U68" s="21">
        <f t="shared" si="1"/>
        <v>3550</v>
      </c>
      <c r="V68" s="21">
        <f t="shared" si="2"/>
        <v>1600</v>
      </c>
    </row>
    <row r="69" ht="14.25" customHeight="1">
      <c r="A69" s="38">
        <v>0.23402777777777778</v>
      </c>
      <c r="B69" s="36">
        <v>87.0</v>
      </c>
      <c r="C69" s="36">
        <v>11.5</v>
      </c>
      <c r="D69" s="36">
        <v>600.0</v>
      </c>
      <c r="E69" s="36">
        <v>535.0</v>
      </c>
      <c r="F69" s="36">
        <v>0.89</v>
      </c>
      <c r="G69" s="36">
        <v>17.0</v>
      </c>
      <c r="H69" s="36">
        <v>0.82</v>
      </c>
      <c r="I69" s="36">
        <v>13.7</v>
      </c>
      <c r="J69" s="36">
        <v>86.2</v>
      </c>
      <c r="K69" s="36">
        <v>110.0</v>
      </c>
      <c r="L69" s="36">
        <v>47.4</v>
      </c>
      <c r="M69" s="36">
        <v>99.0</v>
      </c>
      <c r="N69" s="36">
        <v>43.0</v>
      </c>
      <c r="O69" s="36">
        <v>17.0</v>
      </c>
      <c r="P69" s="36">
        <v>29.0</v>
      </c>
      <c r="Q69" s="36">
        <v>0.31</v>
      </c>
      <c r="R69" s="36">
        <v>1.1</v>
      </c>
      <c r="S69" s="36">
        <v>2.48</v>
      </c>
      <c r="T69" s="36">
        <v>3.59</v>
      </c>
      <c r="U69" s="21">
        <f t="shared" si="1"/>
        <v>3590</v>
      </c>
      <c r="V69" s="21">
        <f t="shared" si="2"/>
        <v>400</v>
      </c>
    </row>
    <row r="70" ht="14.25" customHeight="1">
      <c r="A70" s="38">
        <v>0.2361111111111111</v>
      </c>
      <c r="B70" s="36">
        <v>88.0</v>
      </c>
      <c r="C70" s="36">
        <v>11.2</v>
      </c>
      <c r="D70" s="36">
        <v>580.0</v>
      </c>
      <c r="E70" s="36">
        <v>510.0</v>
      </c>
      <c r="F70" s="36">
        <v>0.88</v>
      </c>
      <c r="G70" s="36">
        <v>17.0</v>
      </c>
      <c r="H70" s="36">
        <v>0.78</v>
      </c>
      <c r="I70" s="36">
        <v>12.9</v>
      </c>
      <c r="J70" s="36">
        <v>87.0</v>
      </c>
      <c r="K70" s="36">
        <v>110.0</v>
      </c>
      <c r="L70" s="36">
        <v>47.3</v>
      </c>
      <c r="M70" s="36">
        <v>98.0</v>
      </c>
      <c r="N70" s="36">
        <v>44.0</v>
      </c>
      <c r="O70" s="36">
        <v>17.0</v>
      </c>
      <c r="P70" s="36">
        <v>28.0</v>
      </c>
      <c r="Q70" s="36">
        <v>0.3</v>
      </c>
      <c r="R70" s="36">
        <v>1.09</v>
      </c>
      <c r="S70" s="36">
        <v>2.52</v>
      </c>
      <c r="T70" s="36">
        <v>3.61</v>
      </c>
      <c r="U70" s="21">
        <f t="shared" si="1"/>
        <v>3610</v>
      </c>
      <c r="V70" s="21">
        <f t="shared" si="2"/>
        <v>122500</v>
      </c>
    </row>
    <row r="71" ht="14.25" customHeight="1">
      <c r="A71" s="38">
        <v>0.2388888888888889</v>
      </c>
      <c r="B71" s="36">
        <v>90.0</v>
      </c>
      <c r="C71" s="36">
        <v>11.6</v>
      </c>
      <c r="D71" s="36">
        <v>601.0</v>
      </c>
      <c r="E71" s="36">
        <v>510.0</v>
      </c>
      <c r="F71" s="36">
        <v>0.85</v>
      </c>
      <c r="G71" s="36">
        <v>18.0</v>
      </c>
      <c r="H71" s="36">
        <v>0.68</v>
      </c>
      <c r="I71" s="36">
        <v>12.6</v>
      </c>
      <c r="J71" s="36">
        <v>87.3</v>
      </c>
      <c r="K71" s="36">
        <v>111.0</v>
      </c>
      <c r="L71" s="36">
        <v>46.8</v>
      </c>
      <c r="M71" s="36">
        <v>96.0</v>
      </c>
      <c r="N71" s="36">
        <v>45.0</v>
      </c>
      <c r="O71" s="36">
        <v>18.0</v>
      </c>
      <c r="P71" s="36">
        <v>29.0</v>
      </c>
      <c r="Q71" s="36">
        <v>0.29</v>
      </c>
      <c r="R71" s="36">
        <v>0.96</v>
      </c>
      <c r="S71" s="36">
        <v>2.3</v>
      </c>
      <c r="T71" s="36">
        <v>3.26</v>
      </c>
      <c r="U71" s="21">
        <f t="shared" si="1"/>
        <v>3260</v>
      </c>
      <c r="V71" s="21">
        <f t="shared" si="2"/>
        <v>108900</v>
      </c>
    </row>
    <row r="72" ht="14.25" customHeight="1">
      <c r="A72" s="38">
        <v>0.24166666666666667</v>
      </c>
      <c r="B72" s="36">
        <v>92.0</v>
      </c>
      <c r="C72" s="36">
        <v>12.0</v>
      </c>
      <c r="D72" s="36">
        <v>623.0</v>
      </c>
      <c r="E72" s="36">
        <v>518.0</v>
      </c>
      <c r="F72" s="36">
        <v>0.83</v>
      </c>
      <c r="G72" s="36">
        <v>17.0</v>
      </c>
      <c r="H72" s="36">
        <v>0.77</v>
      </c>
      <c r="I72" s="36">
        <v>12.8</v>
      </c>
      <c r="J72" s="36">
        <v>87.1</v>
      </c>
      <c r="K72" s="36">
        <v>111.0</v>
      </c>
      <c r="L72" s="36">
        <v>46.6</v>
      </c>
      <c r="M72" s="36">
        <v>95.0</v>
      </c>
      <c r="N72" s="36">
        <v>45.0</v>
      </c>
      <c r="O72" s="36">
        <v>17.0</v>
      </c>
      <c r="P72" s="36">
        <v>30.0</v>
      </c>
      <c r="Q72" s="36">
        <v>0.32</v>
      </c>
      <c r="R72" s="36">
        <v>1.15</v>
      </c>
      <c r="S72" s="36">
        <v>2.44</v>
      </c>
      <c r="T72" s="36">
        <v>3.59</v>
      </c>
      <c r="U72" s="21">
        <f t="shared" si="1"/>
        <v>3590</v>
      </c>
      <c r="V72" s="21">
        <f t="shared" si="2"/>
        <v>144400</v>
      </c>
    </row>
    <row r="73" ht="14.25" customHeight="1">
      <c r="A73" s="38">
        <v>0.24375</v>
      </c>
      <c r="B73" s="36">
        <v>92.0</v>
      </c>
      <c r="C73" s="36">
        <v>12.9</v>
      </c>
      <c r="D73" s="36">
        <v>672.0</v>
      </c>
      <c r="E73" s="36">
        <v>565.0</v>
      </c>
      <c r="F73" s="36">
        <v>0.84</v>
      </c>
      <c r="G73" s="36">
        <v>15.0</v>
      </c>
      <c r="H73" s="36">
        <v>0.93</v>
      </c>
      <c r="I73" s="36">
        <v>14.0</v>
      </c>
      <c r="J73" s="36">
        <v>85.8</v>
      </c>
      <c r="K73" s="36">
        <v>111.0</v>
      </c>
      <c r="L73" s="36">
        <v>46.9</v>
      </c>
      <c r="M73" s="36">
        <v>95.0</v>
      </c>
      <c r="N73" s="36">
        <v>45.0</v>
      </c>
      <c r="O73" s="36">
        <v>15.0</v>
      </c>
      <c r="P73" s="36">
        <v>33.0</v>
      </c>
      <c r="Q73" s="36">
        <v>0.34</v>
      </c>
      <c r="R73" s="36">
        <v>1.35</v>
      </c>
      <c r="S73" s="36">
        <v>2.62</v>
      </c>
      <c r="T73" s="36">
        <v>3.97</v>
      </c>
      <c r="U73" s="21">
        <f t="shared" si="1"/>
        <v>3970</v>
      </c>
      <c r="V73" s="21">
        <f t="shared" si="2"/>
        <v>32400</v>
      </c>
    </row>
    <row r="74" ht="14.25" customHeight="1">
      <c r="A74" s="38">
        <v>0.24583333333333332</v>
      </c>
      <c r="B74" s="36">
        <v>93.0</v>
      </c>
      <c r="C74" s="36">
        <v>12.8</v>
      </c>
      <c r="D74" s="36">
        <v>664.0</v>
      </c>
      <c r="E74" s="36">
        <v>555.0</v>
      </c>
      <c r="F74" s="36">
        <v>0.84</v>
      </c>
      <c r="G74" s="36">
        <v>16.0</v>
      </c>
      <c r="H74" s="36">
        <v>0.88</v>
      </c>
      <c r="I74" s="36">
        <v>13.9</v>
      </c>
      <c r="J74" s="36">
        <v>85.9</v>
      </c>
      <c r="K74" s="36">
        <v>111.0</v>
      </c>
      <c r="L74" s="36">
        <v>46.6</v>
      </c>
      <c r="M74" s="36">
        <v>95.0</v>
      </c>
      <c r="N74" s="36">
        <v>45.0</v>
      </c>
      <c r="O74" s="36">
        <v>16.0</v>
      </c>
      <c r="P74" s="36">
        <v>32.0</v>
      </c>
      <c r="Q74" s="36">
        <v>0.34</v>
      </c>
      <c r="R74" s="36">
        <v>1.28</v>
      </c>
      <c r="S74" s="36">
        <v>2.51</v>
      </c>
      <c r="T74" s="36">
        <v>3.79</v>
      </c>
      <c r="U74" s="21">
        <f t="shared" si="1"/>
        <v>3790</v>
      </c>
      <c r="V74" s="21">
        <f t="shared" si="2"/>
        <v>100</v>
      </c>
    </row>
    <row r="75" ht="14.25" customHeight="1">
      <c r="A75" s="38">
        <v>0.24791666666666667</v>
      </c>
      <c r="B75" s="36">
        <v>95.0</v>
      </c>
      <c r="C75" s="36">
        <v>13.8</v>
      </c>
      <c r="D75" s="36">
        <v>717.0</v>
      </c>
      <c r="E75" s="36">
        <v>601.0</v>
      </c>
      <c r="F75" s="36">
        <v>0.84</v>
      </c>
      <c r="G75" s="36">
        <v>16.0</v>
      </c>
      <c r="H75" s="36">
        <v>0.95</v>
      </c>
      <c r="I75" s="36">
        <v>15.1</v>
      </c>
      <c r="J75" s="36">
        <v>84.7</v>
      </c>
      <c r="K75" s="36">
        <v>111.0</v>
      </c>
      <c r="L75" s="36">
        <v>46.6</v>
      </c>
      <c r="M75" s="36">
        <v>96.0</v>
      </c>
      <c r="N75" s="36">
        <v>44.0</v>
      </c>
      <c r="O75" s="36">
        <v>16.0</v>
      </c>
      <c r="P75" s="36">
        <v>35.0</v>
      </c>
      <c r="Q75" s="36">
        <v>0.34</v>
      </c>
      <c r="R75" s="36">
        <v>1.28</v>
      </c>
      <c r="S75" s="36">
        <v>2.5</v>
      </c>
      <c r="T75" s="36">
        <v>3.78</v>
      </c>
      <c r="U75" s="21">
        <f t="shared" si="1"/>
        <v>3780</v>
      </c>
      <c r="V75" s="21">
        <f t="shared" si="2"/>
        <v>302500</v>
      </c>
    </row>
    <row r="76" ht="14.25" customHeight="1">
      <c r="A76" s="38">
        <v>0.24930555555555556</v>
      </c>
      <c r="B76" s="36">
        <v>96.0</v>
      </c>
      <c r="C76" s="36">
        <v>13.8</v>
      </c>
      <c r="D76" s="36">
        <v>717.0</v>
      </c>
      <c r="E76" s="36">
        <v>592.0</v>
      </c>
      <c r="F76" s="36">
        <v>0.82</v>
      </c>
      <c r="G76" s="36">
        <v>19.0</v>
      </c>
      <c r="H76" s="36">
        <v>0.8</v>
      </c>
      <c r="I76" s="36">
        <v>14.8</v>
      </c>
      <c r="J76" s="36">
        <v>85.0</v>
      </c>
      <c r="K76" s="36">
        <v>113.0</v>
      </c>
      <c r="L76" s="36">
        <v>45.8</v>
      </c>
      <c r="M76" s="36">
        <v>96.0</v>
      </c>
      <c r="N76" s="36">
        <v>44.0</v>
      </c>
      <c r="O76" s="36">
        <v>19.0</v>
      </c>
      <c r="P76" s="36">
        <v>35.0</v>
      </c>
      <c r="Q76" s="36">
        <v>0.32</v>
      </c>
      <c r="R76" s="36">
        <v>1.05</v>
      </c>
      <c r="S76" s="36">
        <v>2.18</v>
      </c>
      <c r="T76" s="36">
        <v>3.23</v>
      </c>
      <c r="U76" s="21">
        <f t="shared" si="1"/>
        <v>3230</v>
      </c>
      <c r="V76" s="21">
        <f t="shared" si="2"/>
        <v>2500</v>
      </c>
    </row>
    <row r="77" ht="14.25" customHeight="1">
      <c r="A77" s="38">
        <v>0.2513888888888889</v>
      </c>
      <c r="B77" s="36">
        <v>97.0</v>
      </c>
      <c r="C77" s="36">
        <v>13.8</v>
      </c>
      <c r="D77" s="36">
        <v>720.0</v>
      </c>
      <c r="E77" s="36">
        <v>596.0</v>
      </c>
      <c r="F77" s="36">
        <v>0.83</v>
      </c>
      <c r="G77" s="36">
        <v>18.0</v>
      </c>
      <c r="H77" s="36">
        <v>0.82</v>
      </c>
      <c r="I77" s="36">
        <v>14.9</v>
      </c>
      <c r="J77" s="36">
        <v>85.0</v>
      </c>
      <c r="K77" s="36">
        <v>113.0</v>
      </c>
      <c r="L77" s="36">
        <v>45.5</v>
      </c>
      <c r="M77" s="36">
        <v>95.0</v>
      </c>
      <c r="N77" s="36">
        <v>45.0</v>
      </c>
      <c r="O77" s="36">
        <v>18.0</v>
      </c>
      <c r="P77" s="36">
        <v>35.0</v>
      </c>
      <c r="Q77" s="36">
        <v>0.32</v>
      </c>
      <c r="R77" s="36">
        <v>1.07</v>
      </c>
      <c r="S77" s="36">
        <v>2.22</v>
      </c>
      <c r="T77" s="36">
        <v>3.28</v>
      </c>
      <c r="U77" s="21">
        <f t="shared" si="1"/>
        <v>3280</v>
      </c>
      <c r="V77" s="21">
        <f t="shared" si="2"/>
        <v>12100</v>
      </c>
    </row>
    <row r="78" ht="14.25" customHeight="1">
      <c r="A78" s="38">
        <v>0.2534722222222222</v>
      </c>
      <c r="B78" s="36">
        <v>98.0</v>
      </c>
      <c r="C78" s="36">
        <v>14.3</v>
      </c>
      <c r="D78" s="36">
        <v>742.0</v>
      </c>
      <c r="E78" s="36">
        <v>612.0</v>
      </c>
      <c r="F78" s="36">
        <v>0.83</v>
      </c>
      <c r="G78" s="36">
        <v>19.0</v>
      </c>
      <c r="H78" s="36">
        <v>0.81</v>
      </c>
      <c r="I78" s="36">
        <v>15.4</v>
      </c>
      <c r="J78" s="36">
        <v>84.4</v>
      </c>
      <c r="K78" s="36">
        <v>114.0</v>
      </c>
      <c r="L78" s="36">
        <v>45.3</v>
      </c>
      <c r="M78" s="36">
        <v>96.0</v>
      </c>
      <c r="N78" s="36">
        <v>44.0</v>
      </c>
      <c r="O78" s="36">
        <v>19.0</v>
      </c>
      <c r="P78" s="36">
        <v>36.0</v>
      </c>
      <c r="Q78" s="36">
        <v>0.33</v>
      </c>
      <c r="R78" s="36">
        <v>1.04</v>
      </c>
      <c r="S78" s="36">
        <v>2.13</v>
      </c>
      <c r="T78" s="36">
        <v>3.17</v>
      </c>
      <c r="U78" s="21">
        <f t="shared" si="1"/>
        <v>3170</v>
      </c>
      <c r="V78" s="21">
        <f t="shared" si="2"/>
        <v>67600</v>
      </c>
    </row>
    <row r="79" ht="14.25" customHeight="1">
      <c r="A79" s="38">
        <v>0.25555555555555554</v>
      </c>
      <c r="B79" s="36">
        <v>100.0</v>
      </c>
      <c r="C79" s="36">
        <v>15.5</v>
      </c>
      <c r="D79" s="36">
        <v>806.0</v>
      </c>
      <c r="E79" s="36">
        <v>666.0</v>
      </c>
      <c r="F79" s="36">
        <v>0.83</v>
      </c>
      <c r="G79" s="36">
        <v>21.0</v>
      </c>
      <c r="H79" s="36">
        <v>0.81</v>
      </c>
      <c r="I79" s="36">
        <v>16.6</v>
      </c>
      <c r="J79" s="36">
        <v>83.3</v>
      </c>
      <c r="K79" s="36">
        <v>115.0</v>
      </c>
      <c r="L79" s="36">
        <v>44.8</v>
      </c>
      <c r="M79" s="36">
        <v>97.0</v>
      </c>
      <c r="N79" s="36">
        <v>44.0</v>
      </c>
      <c r="O79" s="36">
        <v>21.0</v>
      </c>
      <c r="P79" s="36">
        <v>39.0</v>
      </c>
      <c r="Q79" s="36">
        <v>0.32</v>
      </c>
      <c r="R79" s="36">
        <v>0.92</v>
      </c>
      <c r="S79" s="36">
        <v>1.99</v>
      </c>
      <c r="T79" s="36">
        <v>2.91</v>
      </c>
      <c r="U79" s="21">
        <f t="shared" si="1"/>
        <v>2910</v>
      </c>
      <c r="V79" s="21">
        <f t="shared" si="2"/>
        <v>400</v>
      </c>
    </row>
    <row r="80" ht="14.25" customHeight="1">
      <c r="A80" s="38">
        <v>0.25763888888888886</v>
      </c>
      <c r="B80" s="36">
        <v>101.0</v>
      </c>
      <c r="C80" s="36">
        <v>15.0</v>
      </c>
      <c r="D80" s="36">
        <v>778.0</v>
      </c>
      <c r="E80" s="36">
        <v>655.0</v>
      </c>
      <c r="F80" s="36">
        <v>0.84</v>
      </c>
      <c r="G80" s="36">
        <v>21.0</v>
      </c>
      <c r="H80" s="36">
        <v>0.79</v>
      </c>
      <c r="I80" s="36">
        <v>16.5</v>
      </c>
      <c r="J80" s="36">
        <v>83.4</v>
      </c>
      <c r="K80" s="36">
        <v>115.0</v>
      </c>
      <c r="L80" s="36">
        <v>44.6</v>
      </c>
      <c r="M80" s="36">
        <v>97.0</v>
      </c>
      <c r="N80" s="36">
        <v>44.0</v>
      </c>
      <c r="O80" s="36">
        <v>21.0</v>
      </c>
      <c r="P80" s="36">
        <v>38.0</v>
      </c>
      <c r="Q80" s="36">
        <v>0.32</v>
      </c>
      <c r="R80" s="36">
        <v>0.94</v>
      </c>
      <c r="S80" s="36">
        <v>1.95</v>
      </c>
      <c r="T80" s="36">
        <v>2.89</v>
      </c>
      <c r="U80" s="21">
        <f t="shared" si="1"/>
        <v>2890</v>
      </c>
      <c r="V80" s="21">
        <f t="shared" si="2"/>
        <v>144400</v>
      </c>
    </row>
    <row r="81" ht="14.25" customHeight="1">
      <c r="A81" s="38">
        <v>0.2611111111111111</v>
      </c>
      <c r="B81" s="36">
        <v>102.0</v>
      </c>
      <c r="C81" s="36">
        <v>15.6</v>
      </c>
      <c r="D81" s="36">
        <v>810.0</v>
      </c>
      <c r="E81" s="36">
        <v>708.0</v>
      </c>
      <c r="F81" s="36">
        <v>0.87</v>
      </c>
      <c r="G81" s="36">
        <v>18.0</v>
      </c>
      <c r="H81" s="36">
        <v>0.98</v>
      </c>
      <c r="I81" s="36">
        <v>17.9</v>
      </c>
      <c r="J81" s="36">
        <v>81.9</v>
      </c>
      <c r="K81" s="36">
        <v>116.0</v>
      </c>
      <c r="L81" s="36">
        <v>44.0</v>
      </c>
      <c r="M81" s="36">
        <v>99.0</v>
      </c>
      <c r="N81" s="36">
        <v>44.0</v>
      </c>
      <c r="O81" s="36">
        <v>18.0</v>
      </c>
      <c r="P81" s="36">
        <v>39.0</v>
      </c>
      <c r="Q81" s="36">
        <v>0.32</v>
      </c>
      <c r="R81" s="36">
        <v>1.05</v>
      </c>
      <c r="S81" s="36">
        <v>2.22</v>
      </c>
      <c r="T81" s="36">
        <v>3.27</v>
      </c>
      <c r="U81" s="21">
        <f t="shared" si="1"/>
        <v>3270</v>
      </c>
      <c r="V81" s="21">
        <f t="shared" si="2"/>
        <v>6400</v>
      </c>
    </row>
    <row r="82" ht="14.25" customHeight="1">
      <c r="A82" s="38">
        <v>0.2625</v>
      </c>
      <c r="B82" s="36">
        <v>104.0</v>
      </c>
      <c r="C82" s="36">
        <v>14.9</v>
      </c>
      <c r="D82" s="36">
        <v>774.0</v>
      </c>
      <c r="E82" s="36">
        <v>678.0</v>
      </c>
      <c r="F82" s="36">
        <v>0.88</v>
      </c>
      <c r="G82" s="36">
        <v>19.0</v>
      </c>
      <c r="H82" s="36">
        <v>0.92</v>
      </c>
      <c r="I82" s="36">
        <v>17.3</v>
      </c>
      <c r="J82" s="36">
        <v>82.5</v>
      </c>
      <c r="K82" s="36">
        <v>117.0</v>
      </c>
      <c r="L82" s="36">
        <v>43.8</v>
      </c>
      <c r="M82" s="36">
        <v>98.0</v>
      </c>
      <c r="N82" s="36">
        <v>44.0</v>
      </c>
      <c r="O82" s="36">
        <v>19.0</v>
      </c>
      <c r="P82" s="36">
        <v>38.0</v>
      </c>
      <c r="Q82" s="36">
        <v>0.32</v>
      </c>
      <c r="R82" s="36">
        <v>1.03</v>
      </c>
      <c r="S82" s="36">
        <v>2.16</v>
      </c>
      <c r="T82" s="36">
        <v>3.19</v>
      </c>
      <c r="U82" s="21">
        <f t="shared" si="1"/>
        <v>3190</v>
      </c>
      <c r="V82" s="21">
        <f t="shared" si="2"/>
        <v>16900</v>
      </c>
    </row>
    <row r="83" ht="14.25" customHeight="1">
      <c r="A83" s="38">
        <v>0.2652777777777778</v>
      </c>
      <c r="B83" s="36">
        <v>105.0</v>
      </c>
      <c r="C83" s="36">
        <v>14.9</v>
      </c>
      <c r="D83" s="36">
        <v>776.0</v>
      </c>
      <c r="E83" s="36">
        <v>680.0</v>
      </c>
      <c r="F83" s="36">
        <v>0.88</v>
      </c>
      <c r="G83" s="36">
        <v>18.0</v>
      </c>
      <c r="H83" s="36">
        <v>0.95</v>
      </c>
      <c r="I83" s="36">
        <v>17.2</v>
      </c>
      <c r="J83" s="36">
        <v>82.7</v>
      </c>
      <c r="K83" s="36">
        <v>117.0</v>
      </c>
      <c r="L83" s="36">
        <v>43.6</v>
      </c>
      <c r="M83" s="36">
        <v>98.0</v>
      </c>
      <c r="N83" s="36">
        <v>44.0</v>
      </c>
      <c r="O83" s="36">
        <v>18.0</v>
      </c>
      <c r="P83" s="36">
        <v>38.0</v>
      </c>
      <c r="Q83" s="36">
        <v>0.34</v>
      </c>
      <c r="R83" s="36">
        <v>1.14</v>
      </c>
      <c r="S83" s="36">
        <v>2.18</v>
      </c>
      <c r="T83" s="36">
        <v>3.32</v>
      </c>
      <c r="U83" s="21">
        <f t="shared" si="1"/>
        <v>3320</v>
      </c>
      <c r="V83" s="21">
        <f t="shared" si="2"/>
        <v>400</v>
      </c>
    </row>
    <row r="84" ht="14.25" customHeight="1">
      <c r="A84" s="38">
        <v>0.2673611111111111</v>
      </c>
      <c r="B84" s="36">
        <v>107.0</v>
      </c>
      <c r="C84" s="36">
        <v>15.0</v>
      </c>
      <c r="D84" s="36">
        <v>779.0</v>
      </c>
      <c r="E84" s="36">
        <v>686.0</v>
      </c>
      <c r="F84" s="36">
        <v>0.88</v>
      </c>
      <c r="G84" s="36">
        <v>18.0</v>
      </c>
      <c r="H84" s="36">
        <v>0.96</v>
      </c>
      <c r="I84" s="36">
        <v>17.2</v>
      </c>
      <c r="J84" s="36">
        <v>82.7</v>
      </c>
      <c r="K84" s="36">
        <v>119.0</v>
      </c>
      <c r="L84" s="36">
        <v>43.0</v>
      </c>
      <c r="M84" s="36">
        <v>98.0</v>
      </c>
      <c r="N84" s="36">
        <v>44.0</v>
      </c>
      <c r="O84" s="36">
        <v>18.0</v>
      </c>
      <c r="P84" s="36">
        <v>38.0</v>
      </c>
      <c r="Q84" s="36">
        <v>0.34</v>
      </c>
      <c r="R84" s="36">
        <v>1.14</v>
      </c>
      <c r="S84" s="36">
        <v>2.2</v>
      </c>
      <c r="T84" s="36">
        <v>3.34</v>
      </c>
      <c r="U84" s="21">
        <f t="shared" si="1"/>
        <v>3340</v>
      </c>
      <c r="V84" s="21">
        <f t="shared" si="2"/>
        <v>48400</v>
      </c>
    </row>
    <row r="85" ht="14.25" customHeight="1">
      <c r="A85" s="38">
        <v>0.2701388888888889</v>
      </c>
      <c r="B85" s="36">
        <v>109.0</v>
      </c>
      <c r="C85" s="36">
        <v>14.5</v>
      </c>
      <c r="D85" s="36">
        <v>752.0</v>
      </c>
      <c r="E85" s="36">
        <v>657.0</v>
      </c>
      <c r="F85" s="36">
        <v>0.87</v>
      </c>
      <c r="G85" s="36">
        <v>17.0</v>
      </c>
      <c r="H85" s="36">
        <v>0.96</v>
      </c>
      <c r="I85" s="36">
        <v>16.2</v>
      </c>
      <c r="J85" s="36">
        <v>83.7</v>
      </c>
      <c r="K85" s="36">
        <v>120.0</v>
      </c>
      <c r="L85" s="36">
        <v>42.4</v>
      </c>
      <c r="M85" s="36">
        <v>97.0</v>
      </c>
      <c r="N85" s="36">
        <v>45.0</v>
      </c>
      <c r="O85" s="36">
        <v>17.0</v>
      </c>
      <c r="P85" s="36">
        <v>37.0</v>
      </c>
      <c r="Q85" s="36">
        <v>0.32</v>
      </c>
      <c r="R85" s="36">
        <v>1.14</v>
      </c>
      <c r="S85" s="36">
        <v>2.42</v>
      </c>
      <c r="T85" s="36">
        <v>3.56</v>
      </c>
      <c r="U85" s="21">
        <f t="shared" si="1"/>
        <v>3560</v>
      </c>
      <c r="V85" s="21">
        <f t="shared" si="2"/>
        <v>0</v>
      </c>
    </row>
    <row r="86" ht="14.25" customHeight="1">
      <c r="A86" s="38">
        <v>0.27152777777777776</v>
      </c>
      <c r="B86" s="36">
        <v>109.0</v>
      </c>
      <c r="C86" s="36">
        <v>14.5</v>
      </c>
      <c r="D86" s="36">
        <v>751.0</v>
      </c>
      <c r="E86" s="36">
        <v>656.0</v>
      </c>
      <c r="F86" s="36">
        <v>0.87</v>
      </c>
      <c r="G86" s="36">
        <v>17.0</v>
      </c>
      <c r="H86" s="36">
        <v>0.96</v>
      </c>
      <c r="I86" s="36">
        <v>16.2</v>
      </c>
      <c r="J86" s="36">
        <v>83.7</v>
      </c>
      <c r="K86" s="36">
        <v>121.0</v>
      </c>
      <c r="L86" s="36">
        <v>41.8</v>
      </c>
      <c r="M86" s="36">
        <v>97.0</v>
      </c>
      <c r="N86" s="36">
        <v>45.0</v>
      </c>
      <c r="O86" s="36">
        <v>17.0</v>
      </c>
      <c r="P86" s="36">
        <v>37.0</v>
      </c>
      <c r="Q86" s="36">
        <v>0.32</v>
      </c>
      <c r="R86" s="36">
        <v>1.14</v>
      </c>
      <c r="S86" s="36">
        <v>2.42</v>
      </c>
      <c r="T86" s="36">
        <v>3.56</v>
      </c>
      <c r="U86" s="21">
        <f t="shared" si="1"/>
        <v>3560</v>
      </c>
      <c r="V86" s="21">
        <f t="shared" si="2"/>
        <v>6400</v>
      </c>
    </row>
    <row r="87" ht="14.25" customHeight="1">
      <c r="A87" s="38">
        <v>0.2743055555555556</v>
      </c>
      <c r="B87" s="36">
        <v>111.0</v>
      </c>
      <c r="C87" s="36">
        <v>14.7</v>
      </c>
      <c r="D87" s="36">
        <v>766.0</v>
      </c>
      <c r="E87" s="36">
        <v>668.0</v>
      </c>
      <c r="F87" s="36">
        <v>0.87</v>
      </c>
      <c r="G87" s="36">
        <v>16.0</v>
      </c>
      <c r="H87" s="36">
        <v>1.0</v>
      </c>
      <c r="I87" s="36">
        <v>16.5</v>
      </c>
      <c r="J87" s="36">
        <v>83.4</v>
      </c>
      <c r="K87" s="36">
        <v>122.0</v>
      </c>
      <c r="L87" s="36">
        <v>41.2</v>
      </c>
      <c r="M87" s="36">
        <v>97.0</v>
      </c>
      <c r="N87" s="36">
        <v>45.0</v>
      </c>
      <c r="O87" s="36">
        <v>16.0</v>
      </c>
      <c r="P87" s="36">
        <v>37.0</v>
      </c>
      <c r="Q87" s="36">
        <v>0.32</v>
      </c>
      <c r="R87" s="36">
        <v>1.17</v>
      </c>
      <c r="S87" s="36">
        <v>2.47</v>
      </c>
      <c r="T87" s="36">
        <v>3.64</v>
      </c>
      <c r="U87" s="21">
        <f t="shared" si="1"/>
        <v>3640</v>
      </c>
      <c r="V87" s="21">
        <f t="shared" si="2"/>
        <v>202500</v>
      </c>
    </row>
    <row r="88" ht="14.25" customHeight="1">
      <c r="A88" s="38">
        <v>0.27569444444444446</v>
      </c>
      <c r="B88" s="36">
        <v>112.0</v>
      </c>
      <c r="C88" s="36">
        <v>14.9</v>
      </c>
      <c r="D88" s="36">
        <v>773.0</v>
      </c>
      <c r="E88" s="36">
        <v>655.0</v>
      </c>
      <c r="F88" s="36">
        <v>0.85</v>
      </c>
      <c r="G88" s="36">
        <v>19.0</v>
      </c>
      <c r="H88" s="36">
        <v>0.85</v>
      </c>
      <c r="I88" s="36">
        <v>15.9</v>
      </c>
      <c r="J88" s="36">
        <v>84.0</v>
      </c>
      <c r="K88" s="36">
        <v>124.0</v>
      </c>
      <c r="L88" s="36">
        <v>40.4</v>
      </c>
      <c r="M88" s="36">
        <v>96.0</v>
      </c>
      <c r="N88" s="36">
        <v>45.0</v>
      </c>
      <c r="O88" s="36">
        <v>19.0</v>
      </c>
      <c r="P88" s="36">
        <v>38.0</v>
      </c>
      <c r="Q88" s="36">
        <v>0.32</v>
      </c>
      <c r="R88" s="36">
        <v>1.03</v>
      </c>
      <c r="S88" s="36">
        <v>2.16</v>
      </c>
      <c r="T88" s="36">
        <v>3.19</v>
      </c>
      <c r="U88" s="21">
        <f t="shared" si="1"/>
        <v>3190</v>
      </c>
      <c r="V88" s="21">
        <f t="shared" si="2"/>
        <v>4900</v>
      </c>
    </row>
    <row r="89" ht="14.25" customHeight="1">
      <c r="A89" s="38">
        <v>0.2791666666666667</v>
      </c>
      <c r="B89" s="36">
        <v>113.0</v>
      </c>
      <c r="C89" s="36">
        <v>16.0</v>
      </c>
      <c r="D89" s="36">
        <v>831.0</v>
      </c>
      <c r="E89" s="36">
        <v>726.0</v>
      </c>
      <c r="F89" s="36">
        <v>0.87</v>
      </c>
      <c r="G89" s="36">
        <v>18.0</v>
      </c>
      <c r="H89" s="36">
        <v>0.98</v>
      </c>
      <c r="I89" s="36">
        <v>18.0</v>
      </c>
      <c r="J89" s="36">
        <v>81.8</v>
      </c>
      <c r="K89" s="36">
        <v>124.0</v>
      </c>
      <c r="L89" s="36">
        <v>40.4</v>
      </c>
      <c r="M89" s="36">
        <v>98.0</v>
      </c>
      <c r="N89" s="36">
        <v>45.0</v>
      </c>
      <c r="O89" s="36">
        <v>18.0</v>
      </c>
      <c r="P89" s="36">
        <v>40.0</v>
      </c>
      <c r="Q89" s="36">
        <v>0.35</v>
      </c>
      <c r="R89" s="36">
        <v>1.14</v>
      </c>
      <c r="S89" s="36">
        <v>2.12</v>
      </c>
      <c r="T89" s="36">
        <v>3.26</v>
      </c>
      <c r="U89" s="21">
        <f t="shared" si="1"/>
        <v>3260</v>
      </c>
      <c r="V89" s="21">
        <f t="shared" si="2"/>
        <v>14400</v>
      </c>
    </row>
    <row r="90" ht="14.25" customHeight="1">
      <c r="A90" s="38">
        <v>0.28055555555555556</v>
      </c>
      <c r="B90" s="36">
        <v>115.0</v>
      </c>
      <c r="C90" s="36">
        <v>15.9</v>
      </c>
      <c r="D90" s="36">
        <v>828.0</v>
      </c>
      <c r="E90" s="36">
        <v>731.0</v>
      </c>
      <c r="F90" s="36">
        <v>0.88</v>
      </c>
      <c r="G90" s="36">
        <v>19.0</v>
      </c>
      <c r="H90" s="36">
        <v>0.96</v>
      </c>
      <c r="I90" s="36">
        <v>18.3</v>
      </c>
      <c r="J90" s="36">
        <v>81.5</v>
      </c>
      <c r="K90" s="36">
        <v>127.0</v>
      </c>
      <c r="L90" s="36">
        <v>39.2</v>
      </c>
      <c r="M90" s="36">
        <v>98.0</v>
      </c>
      <c r="N90" s="36">
        <v>44.0</v>
      </c>
      <c r="O90" s="36">
        <v>19.0</v>
      </c>
      <c r="P90" s="36">
        <v>40.0</v>
      </c>
      <c r="Q90" s="36">
        <v>0.33</v>
      </c>
      <c r="R90" s="36">
        <v>1.05</v>
      </c>
      <c r="S90" s="36">
        <v>2.09</v>
      </c>
      <c r="T90" s="36">
        <v>3.14</v>
      </c>
      <c r="U90" s="21">
        <f t="shared" si="1"/>
        <v>3140</v>
      </c>
      <c r="V90" s="21">
        <f t="shared" si="2"/>
        <v>10000</v>
      </c>
    </row>
    <row r="91" ht="14.25" customHeight="1">
      <c r="A91" s="38">
        <v>0.2833333333333333</v>
      </c>
      <c r="B91" s="36">
        <v>116.0</v>
      </c>
      <c r="C91" s="36">
        <v>16.6</v>
      </c>
      <c r="D91" s="36">
        <v>864.0</v>
      </c>
      <c r="E91" s="36">
        <v>766.0</v>
      </c>
      <c r="F91" s="36">
        <v>0.89</v>
      </c>
      <c r="G91" s="36">
        <v>19.0</v>
      </c>
      <c r="H91" s="36">
        <v>1.03</v>
      </c>
      <c r="I91" s="36">
        <v>19.0</v>
      </c>
      <c r="J91" s="36">
        <v>80.8</v>
      </c>
      <c r="K91" s="36">
        <v>127.0</v>
      </c>
      <c r="L91" s="36">
        <v>39.2</v>
      </c>
      <c r="M91" s="36">
        <v>98.0</v>
      </c>
      <c r="N91" s="36">
        <v>44.0</v>
      </c>
      <c r="O91" s="36">
        <v>19.0</v>
      </c>
      <c r="P91" s="36">
        <v>42.0</v>
      </c>
      <c r="Q91" s="36">
        <v>0.34</v>
      </c>
      <c r="R91" s="36">
        <v>1.09</v>
      </c>
      <c r="S91" s="36">
        <v>2.15</v>
      </c>
      <c r="T91" s="36">
        <v>3.24</v>
      </c>
      <c r="U91" s="21">
        <f t="shared" si="1"/>
        <v>3240</v>
      </c>
      <c r="V91" s="21">
        <f t="shared" si="2"/>
        <v>900</v>
      </c>
    </row>
    <row r="92" ht="14.25" customHeight="1">
      <c r="A92" s="38">
        <v>0.2847222222222222</v>
      </c>
      <c r="B92" s="36">
        <v>117.0</v>
      </c>
      <c r="C92" s="36">
        <v>17.2</v>
      </c>
      <c r="D92" s="36">
        <v>893.0</v>
      </c>
      <c r="E92" s="36">
        <v>787.0</v>
      </c>
      <c r="F92" s="36">
        <v>0.88</v>
      </c>
      <c r="G92" s="36">
        <v>19.0</v>
      </c>
      <c r="H92" s="36">
        <v>1.04</v>
      </c>
      <c r="I92" s="36">
        <v>19.5</v>
      </c>
      <c r="J92" s="36">
        <v>80.4</v>
      </c>
      <c r="K92" s="36">
        <v>127.0</v>
      </c>
      <c r="L92" s="36">
        <v>39.0</v>
      </c>
      <c r="M92" s="36">
        <v>98.0</v>
      </c>
      <c r="N92" s="36">
        <v>45.0</v>
      </c>
      <c r="O92" s="36">
        <v>19.0</v>
      </c>
      <c r="P92" s="36">
        <v>43.0</v>
      </c>
      <c r="Q92" s="36">
        <v>0.34</v>
      </c>
      <c r="R92" s="36">
        <v>1.1</v>
      </c>
      <c r="S92" s="36">
        <v>2.1</v>
      </c>
      <c r="T92" s="36">
        <v>3.21</v>
      </c>
      <c r="U92" s="21">
        <f t="shared" si="1"/>
        <v>3210</v>
      </c>
      <c r="V92" s="21">
        <f t="shared" si="2"/>
        <v>0</v>
      </c>
    </row>
    <row r="93" ht="14.25" customHeight="1">
      <c r="A93" s="38">
        <v>0.2881944444444444</v>
      </c>
      <c r="B93" s="36">
        <v>119.0</v>
      </c>
      <c r="C93" s="36">
        <v>17.2</v>
      </c>
      <c r="D93" s="36">
        <v>893.0</v>
      </c>
      <c r="E93" s="36">
        <v>787.0</v>
      </c>
      <c r="F93" s="36">
        <v>0.88</v>
      </c>
      <c r="G93" s="36">
        <v>19.0</v>
      </c>
      <c r="H93" s="36">
        <v>1.04</v>
      </c>
      <c r="I93" s="36">
        <v>19.5</v>
      </c>
      <c r="J93" s="36">
        <v>80.4</v>
      </c>
      <c r="K93" s="36">
        <v>127.0</v>
      </c>
      <c r="L93" s="36">
        <v>39.0</v>
      </c>
      <c r="M93" s="36">
        <v>98.0</v>
      </c>
      <c r="N93" s="36">
        <v>45.0</v>
      </c>
      <c r="O93" s="36">
        <v>19.0</v>
      </c>
      <c r="P93" s="36">
        <v>43.0</v>
      </c>
      <c r="Q93" s="36">
        <v>0.34</v>
      </c>
      <c r="R93" s="36">
        <v>1.1</v>
      </c>
      <c r="S93" s="36">
        <v>2.1</v>
      </c>
      <c r="T93" s="36">
        <v>3.21</v>
      </c>
      <c r="U93" s="21">
        <f t="shared" si="1"/>
        <v>3210</v>
      </c>
      <c r="V93" s="21">
        <f t="shared" si="2"/>
        <v>25600</v>
      </c>
    </row>
    <row r="94" ht="14.25" customHeight="1">
      <c r="A94" s="38">
        <v>0.28958333333333336</v>
      </c>
      <c r="B94" s="36">
        <v>120.0</v>
      </c>
      <c r="C94" s="36">
        <v>17.0</v>
      </c>
      <c r="D94" s="36">
        <v>882.0</v>
      </c>
      <c r="E94" s="36">
        <v>778.0</v>
      </c>
      <c r="F94" s="36">
        <v>0.88</v>
      </c>
      <c r="G94" s="36">
        <v>20.0</v>
      </c>
      <c r="H94" s="36">
        <v>0.97</v>
      </c>
      <c r="I94" s="36">
        <v>19.1</v>
      </c>
      <c r="J94" s="36">
        <v>80.7</v>
      </c>
      <c r="K94" s="36">
        <v>127.0</v>
      </c>
      <c r="L94" s="36">
        <v>38.8</v>
      </c>
      <c r="M94" s="36">
        <v>98.0</v>
      </c>
      <c r="N94" s="36">
        <v>45.0</v>
      </c>
      <c r="O94" s="36">
        <v>20.0</v>
      </c>
      <c r="P94" s="36">
        <v>43.0</v>
      </c>
      <c r="Q94" s="36">
        <v>0.34</v>
      </c>
      <c r="R94" s="36">
        <v>1.02</v>
      </c>
      <c r="S94" s="36">
        <v>2.03</v>
      </c>
      <c r="T94" s="36">
        <v>3.05</v>
      </c>
      <c r="U94" s="21">
        <f t="shared" si="1"/>
        <v>3050</v>
      </c>
      <c r="V94" s="21">
        <f t="shared" si="2"/>
        <v>12100</v>
      </c>
    </row>
    <row r="95" ht="14.25" customHeight="1">
      <c r="A95" s="38">
        <v>0.2916666666666667</v>
      </c>
      <c r="B95" s="36">
        <v>122.0</v>
      </c>
      <c r="C95" s="36">
        <v>17.0</v>
      </c>
      <c r="D95" s="36">
        <v>885.0</v>
      </c>
      <c r="E95" s="36">
        <v>780.0</v>
      </c>
      <c r="F95" s="36">
        <v>0.88</v>
      </c>
      <c r="G95" s="36">
        <v>19.0</v>
      </c>
      <c r="H95" s="36">
        <v>1.0</v>
      </c>
      <c r="I95" s="36">
        <v>19.0</v>
      </c>
      <c r="J95" s="36">
        <v>80.8</v>
      </c>
      <c r="K95" s="36">
        <v>128.0</v>
      </c>
      <c r="L95" s="36">
        <v>38.6</v>
      </c>
      <c r="M95" s="36">
        <v>97.0</v>
      </c>
      <c r="N95" s="36">
        <v>46.0</v>
      </c>
      <c r="O95" s="36">
        <v>19.0</v>
      </c>
      <c r="P95" s="36">
        <v>43.0</v>
      </c>
      <c r="Q95" s="36">
        <v>0.34</v>
      </c>
      <c r="R95" s="36">
        <v>1.07</v>
      </c>
      <c r="S95" s="36">
        <v>2.09</v>
      </c>
      <c r="T95" s="36">
        <v>3.16</v>
      </c>
      <c r="U95" s="21">
        <f t="shared" si="1"/>
        <v>3160</v>
      </c>
      <c r="V95" s="21">
        <f t="shared" si="2"/>
        <v>100</v>
      </c>
    </row>
    <row r="96" ht="14.25" customHeight="1">
      <c r="A96" s="38">
        <v>0.29375</v>
      </c>
      <c r="B96" s="36">
        <v>122.0</v>
      </c>
      <c r="C96" s="36">
        <v>17.2</v>
      </c>
      <c r="D96" s="36">
        <v>897.0</v>
      </c>
      <c r="E96" s="36">
        <v>790.0</v>
      </c>
      <c r="F96" s="36">
        <v>0.88</v>
      </c>
      <c r="G96" s="36">
        <v>19.0</v>
      </c>
      <c r="H96" s="36">
        <v>1.01</v>
      </c>
      <c r="I96" s="36">
        <v>19.1</v>
      </c>
      <c r="J96" s="36">
        <v>80.7</v>
      </c>
      <c r="K96" s="36">
        <v>128.0</v>
      </c>
      <c r="L96" s="36">
        <v>38.4</v>
      </c>
      <c r="M96" s="36">
        <v>97.0</v>
      </c>
      <c r="N96" s="36">
        <v>46.0</v>
      </c>
      <c r="O96" s="36">
        <v>19.0</v>
      </c>
      <c r="P96" s="36">
        <v>44.0</v>
      </c>
      <c r="Q96" s="36">
        <v>0.34</v>
      </c>
      <c r="R96" s="36">
        <v>1.08</v>
      </c>
      <c r="S96" s="36">
        <v>2.09</v>
      </c>
      <c r="T96" s="36">
        <v>3.17</v>
      </c>
      <c r="U96" s="21">
        <f t="shared" si="1"/>
        <v>3170</v>
      </c>
      <c r="V96" s="21">
        <f t="shared" si="2"/>
        <v>1600</v>
      </c>
    </row>
    <row r="97" ht="14.25" customHeight="1">
      <c r="A97" s="38">
        <v>0.2951388888888889</v>
      </c>
      <c r="B97" s="36">
        <v>123.0</v>
      </c>
      <c r="C97" s="36">
        <v>17.9</v>
      </c>
      <c r="D97" s="36">
        <v>929.0</v>
      </c>
      <c r="E97" s="36">
        <v>814.0</v>
      </c>
      <c r="F97" s="36">
        <v>0.88</v>
      </c>
      <c r="G97" s="36">
        <v>19.0</v>
      </c>
      <c r="H97" s="36">
        <v>1.05</v>
      </c>
      <c r="I97" s="36">
        <v>19.6</v>
      </c>
      <c r="J97" s="36">
        <v>80.2</v>
      </c>
      <c r="K97" s="36">
        <v>129.0</v>
      </c>
      <c r="L97" s="36">
        <v>38.0</v>
      </c>
      <c r="M97" s="36">
        <v>97.0</v>
      </c>
      <c r="N97" s="36">
        <v>46.0</v>
      </c>
      <c r="O97" s="36">
        <v>19.0</v>
      </c>
      <c r="P97" s="36">
        <v>45.0</v>
      </c>
      <c r="Q97" s="36">
        <v>0.35</v>
      </c>
      <c r="R97" s="36">
        <v>1.12</v>
      </c>
      <c r="S97" s="36">
        <v>2.1</v>
      </c>
      <c r="T97" s="36">
        <v>3.21</v>
      </c>
      <c r="U97" s="21">
        <f t="shared" si="1"/>
        <v>3210</v>
      </c>
      <c r="V97" s="21">
        <f t="shared" si="2"/>
        <v>36100</v>
      </c>
    </row>
    <row r="98" ht="14.25" customHeight="1">
      <c r="A98" s="38">
        <v>0.29791666666666666</v>
      </c>
      <c r="B98" s="36">
        <v>125.0</v>
      </c>
      <c r="C98" s="36">
        <v>18.6</v>
      </c>
      <c r="D98" s="36">
        <v>966.0</v>
      </c>
      <c r="E98" s="36">
        <v>839.0</v>
      </c>
      <c r="F98" s="36">
        <v>0.87</v>
      </c>
      <c r="G98" s="36">
        <v>20.0</v>
      </c>
      <c r="H98" s="36">
        <v>1.02</v>
      </c>
      <c r="I98" s="36">
        <v>20.2</v>
      </c>
      <c r="J98" s="36">
        <v>79.7</v>
      </c>
      <c r="K98" s="36">
        <v>130.0</v>
      </c>
      <c r="L98" s="36">
        <v>37.6</v>
      </c>
      <c r="M98" s="36">
        <v>97.0</v>
      </c>
      <c r="N98" s="36">
        <v>46.0</v>
      </c>
      <c r="O98" s="36">
        <v>20.0</v>
      </c>
      <c r="P98" s="36">
        <v>47.0</v>
      </c>
      <c r="Q98" s="36">
        <v>0.35</v>
      </c>
      <c r="R98" s="36">
        <v>1.05</v>
      </c>
      <c r="S98" s="36">
        <v>1.97</v>
      </c>
      <c r="T98" s="36">
        <v>3.02</v>
      </c>
      <c r="U98" s="21">
        <f t="shared" si="1"/>
        <v>3020</v>
      </c>
      <c r="V98" s="21">
        <f t="shared" si="2"/>
        <v>72900</v>
      </c>
    </row>
    <row r="99" ht="14.25" customHeight="1">
      <c r="A99" s="38">
        <v>0.29930555555555555</v>
      </c>
      <c r="B99" s="36">
        <v>126.0</v>
      </c>
      <c r="C99" s="36">
        <v>18.8</v>
      </c>
      <c r="D99" s="36">
        <v>975.0</v>
      </c>
      <c r="E99" s="36">
        <v>856.0</v>
      </c>
      <c r="F99" s="36">
        <v>0.88</v>
      </c>
      <c r="G99" s="36">
        <v>18.0</v>
      </c>
      <c r="H99" s="36">
        <v>1.13</v>
      </c>
      <c r="I99" s="36">
        <v>20.6</v>
      </c>
      <c r="J99" s="36">
        <v>79.2</v>
      </c>
      <c r="K99" s="36">
        <v>131.0</v>
      </c>
      <c r="L99" s="36">
        <v>37.0</v>
      </c>
      <c r="M99" s="36">
        <v>97.0</v>
      </c>
      <c r="N99" s="36">
        <v>46.0</v>
      </c>
      <c r="O99" s="36">
        <v>18.0</v>
      </c>
      <c r="P99" s="36">
        <v>47.0</v>
      </c>
      <c r="Q99" s="36">
        <v>0.35</v>
      </c>
      <c r="R99" s="36">
        <v>1.14</v>
      </c>
      <c r="S99" s="36">
        <v>2.15</v>
      </c>
      <c r="T99" s="36">
        <v>3.29</v>
      </c>
      <c r="U99" s="21">
        <f t="shared" si="1"/>
        <v>3290</v>
      </c>
      <c r="V99" s="21">
        <f t="shared" si="2"/>
        <v>136900</v>
      </c>
    </row>
    <row r="100" ht="14.25" customHeight="1">
      <c r="A100" s="38">
        <v>0.3013888888888889</v>
      </c>
      <c r="B100" s="36">
        <v>127.0</v>
      </c>
      <c r="C100" s="36">
        <v>18.5</v>
      </c>
      <c r="D100" s="36">
        <v>961.0</v>
      </c>
      <c r="E100" s="36">
        <v>849.0</v>
      </c>
      <c r="F100" s="36">
        <v>0.88</v>
      </c>
      <c r="G100" s="36">
        <v>21.0</v>
      </c>
      <c r="H100" s="36">
        <v>0.99</v>
      </c>
      <c r="I100" s="36">
        <v>20.4</v>
      </c>
      <c r="J100" s="36">
        <v>79.4</v>
      </c>
      <c r="K100" s="36">
        <v>133.0</v>
      </c>
      <c r="L100" s="36">
        <v>36.2</v>
      </c>
      <c r="M100" s="36">
        <v>97.0</v>
      </c>
      <c r="N100" s="36">
        <v>46.0</v>
      </c>
      <c r="O100" s="36">
        <v>21.0</v>
      </c>
      <c r="P100" s="36">
        <v>47.0</v>
      </c>
      <c r="Q100" s="36">
        <v>0.34</v>
      </c>
      <c r="R100" s="36">
        <v>0.98</v>
      </c>
      <c r="S100" s="36">
        <v>1.93</v>
      </c>
      <c r="T100" s="36">
        <v>2.92</v>
      </c>
      <c r="U100" s="21">
        <f t="shared" si="1"/>
        <v>2920</v>
      </c>
      <c r="V100" s="21">
        <f t="shared" si="2"/>
        <v>0</v>
      </c>
    </row>
    <row r="101" ht="14.25" customHeight="1">
      <c r="A101" s="38">
        <v>0.3034722222222222</v>
      </c>
      <c r="B101" s="36">
        <v>128.0</v>
      </c>
      <c r="C101" s="36">
        <v>18.5</v>
      </c>
      <c r="D101" s="36">
        <v>961.0</v>
      </c>
      <c r="E101" s="36">
        <v>849.0</v>
      </c>
      <c r="F101" s="36">
        <v>0.88</v>
      </c>
      <c r="G101" s="36">
        <v>21.0</v>
      </c>
      <c r="H101" s="36">
        <v>0.99</v>
      </c>
      <c r="I101" s="36">
        <v>20.4</v>
      </c>
      <c r="J101" s="36">
        <v>79.4</v>
      </c>
      <c r="K101" s="36">
        <v>132.0</v>
      </c>
      <c r="L101" s="36">
        <v>36.5</v>
      </c>
      <c r="M101" s="36">
        <v>97.0</v>
      </c>
      <c r="N101" s="36">
        <v>46.0</v>
      </c>
      <c r="O101" s="36">
        <v>21.0</v>
      </c>
      <c r="P101" s="36">
        <v>47.0</v>
      </c>
      <c r="Q101" s="36">
        <v>0.34</v>
      </c>
      <c r="R101" s="36">
        <v>0.98</v>
      </c>
      <c r="S101" s="36">
        <v>1.93</v>
      </c>
      <c r="T101" s="36">
        <v>2.92</v>
      </c>
      <c r="U101" s="21">
        <f t="shared" si="1"/>
        <v>2920</v>
      </c>
      <c r="V101" s="21">
        <f t="shared" si="2"/>
        <v>16900</v>
      </c>
    </row>
    <row r="102" ht="14.25" customHeight="1">
      <c r="A102" s="38">
        <v>0.30625</v>
      </c>
      <c r="B102" s="36">
        <v>130.0</v>
      </c>
      <c r="C102" s="36">
        <v>18.8</v>
      </c>
      <c r="D102" s="36">
        <v>979.0</v>
      </c>
      <c r="E102" s="36">
        <v>863.0</v>
      </c>
      <c r="F102" s="36">
        <v>0.88</v>
      </c>
      <c r="G102" s="36">
        <v>20.0</v>
      </c>
      <c r="H102" s="36">
        <v>1.04</v>
      </c>
      <c r="I102" s="36">
        <v>20.5</v>
      </c>
      <c r="J102" s="36">
        <v>79.4</v>
      </c>
      <c r="K102" s="36">
        <v>132.0</v>
      </c>
      <c r="L102" s="36">
        <v>36.3</v>
      </c>
      <c r="M102" s="36">
        <v>97.0</v>
      </c>
      <c r="N102" s="36">
        <v>46.0</v>
      </c>
      <c r="O102" s="36">
        <v>20.0</v>
      </c>
      <c r="P102" s="36">
        <v>48.0</v>
      </c>
      <c r="Q102" s="36">
        <v>0.34</v>
      </c>
      <c r="R102" s="36">
        <v>1.03</v>
      </c>
      <c r="S102" s="36">
        <v>2.02</v>
      </c>
      <c r="T102" s="36">
        <v>3.05</v>
      </c>
      <c r="U102" s="21">
        <f t="shared" si="1"/>
        <v>3050</v>
      </c>
      <c r="V102" s="21">
        <f t="shared" si="2"/>
        <v>900</v>
      </c>
    </row>
    <row r="103" ht="14.25" customHeight="1">
      <c r="A103" s="38">
        <v>0.30833333333333335</v>
      </c>
      <c r="B103" s="36">
        <v>131.0</v>
      </c>
      <c r="C103" s="36">
        <v>18.8</v>
      </c>
      <c r="D103" s="36">
        <v>980.0</v>
      </c>
      <c r="E103" s="36">
        <v>870.0</v>
      </c>
      <c r="F103" s="36">
        <v>0.89</v>
      </c>
      <c r="G103" s="36">
        <v>20.0</v>
      </c>
      <c r="H103" s="36">
        <v>1.04</v>
      </c>
      <c r="I103" s="36">
        <v>20.7</v>
      </c>
      <c r="J103" s="36">
        <v>79.2</v>
      </c>
      <c r="K103" s="36">
        <v>133.0</v>
      </c>
      <c r="L103" s="36">
        <v>36.2</v>
      </c>
      <c r="M103" s="36">
        <v>97.0</v>
      </c>
      <c r="N103" s="36">
        <v>46.0</v>
      </c>
      <c r="O103" s="36">
        <v>20.0</v>
      </c>
      <c r="P103" s="36">
        <v>48.0</v>
      </c>
      <c r="Q103" s="36">
        <v>0.33</v>
      </c>
      <c r="R103" s="36">
        <v>1.01</v>
      </c>
      <c r="S103" s="36">
        <v>2.01</v>
      </c>
      <c r="T103" s="36">
        <v>3.02</v>
      </c>
      <c r="U103" s="21">
        <f t="shared" si="1"/>
        <v>3020</v>
      </c>
      <c r="V103" s="21">
        <f t="shared" si="2"/>
        <v>6400</v>
      </c>
    </row>
    <row r="104" ht="14.25" customHeight="1">
      <c r="A104" s="38">
        <v>0.3104166666666667</v>
      </c>
      <c r="B104" s="36">
        <v>132.0</v>
      </c>
      <c r="C104" s="36">
        <v>19.3</v>
      </c>
      <c r="D104" s="36">
        <v>1003.0</v>
      </c>
      <c r="E104" s="36">
        <v>894.0</v>
      </c>
      <c r="F104" s="36">
        <v>0.89</v>
      </c>
      <c r="G104" s="36">
        <v>19.0</v>
      </c>
      <c r="H104" s="36">
        <v>1.1</v>
      </c>
      <c r="I104" s="36">
        <v>21.3</v>
      </c>
      <c r="J104" s="36">
        <v>78.6</v>
      </c>
      <c r="K104" s="36">
        <v>133.0</v>
      </c>
      <c r="L104" s="36">
        <v>36.1</v>
      </c>
      <c r="M104" s="36">
        <v>97.0</v>
      </c>
      <c r="N104" s="36">
        <v>46.0</v>
      </c>
      <c r="O104" s="36">
        <v>19.0</v>
      </c>
      <c r="P104" s="36">
        <v>49.0</v>
      </c>
      <c r="Q104" s="36">
        <v>0.34</v>
      </c>
      <c r="R104" s="36">
        <v>1.04</v>
      </c>
      <c r="S104" s="36">
        <v>2.06</v>
      </c>
      <c r="T104" s="36">
        <v>3.1</v>
      </c>
      <c r="U104" s="21">
        <f t="shared" si="1"/>
        <v>3100</v>
      </c>
      <c r="V104" s="21">
        <f t="shared" si="2"/>
        <v>3600</v>
      </c>
    </row>
    <row r="105" ht="14.25" customHeight="1">
      <c r="A105" s="38">
        <v>0.31319444444444444</v>
      </c>
      <c r="B105" s="36">
        <v>134.0</v>
      </c>
      <c r="C105" s="36">
        <v>19.5</v>
      </c>
      <c r="D105" s="36">
        <v>1011.0</v>
      </c>
      <c r="E105" s="36">
        <v>907.0</v>
      </c>
      <c r="F105" s="36">
        <v>0.9</v>
      </c>
      <c r="G105" s="36">
        <v>19.0</v>
      </c>
      <c r="H105" s="36">
        <v>1.13</v>
      </c>
      <c r="I105" s="36">
        <v>21.5</v>
      </c>
      <c r="J105" s="36">
        <v>78.3</v>
      </c>
      <c r="K105" s="36">
        <v>133.0</v>
      </c>
      <c r="L105" s="36">
        <v>36.1</v>
      </c>
      <c r="M105" s="36">
        <v>97.0</v>
      </c>
      <c r="N105" s="36">
        <v>46.0</v>
      </c>
      <c r="O105" s="36">
        <v>19.0</v>
      </c>
      <c r="P105" s="36">
        <v>49.0</v>
      </c>
      <c r="Q105" s="36">
        <v>0.33</v>
      </c>
      <c r="R105" s="36">
        <v>1.03</v>
      </c>
      <c r="S105" s="36">
        <v>2.13</v>
      </c>
      <c r="T105" s="36">
        <v>3.16</v>
      </c>
      <c r="U105" s="21">
        <f t="shared" si="1"/>
        <v>3160</v>
      </c>
      <c r="V105" s="21">
        <f t="shared" si="2"/>
        <v>2500</v>
      </c>
    </row>
    <row r="106" ht="14.25" customHeight="1">
      <c r="A106" s="38">
        <v>0.3145833333333333</v>
      </c>
      <c r="B106" s="36">
        <v>135.0</v>
      </c>
      <c r="C106" s="36">
        <v>19.2</v>
      </c>
      <c r="D106" s="36">
        <v>997.0</v>
      </c>
      <c r="E106" s="36">
        <v>893.0</v>
      </c>
      <c r="F106" s="36">
        <v>0.9</v>
      </c>
      <c r="G106" s="36">
        <v>19.0</v>
      </c>
      <c r="H106" s="36">
        <v>1.09</v>
      </c>
      <c r="I106" s="36">
        <v>21.1</v>
      </c>
      <c r="J106" s="36">
        <v>78.7</v>
      </c>
      <c r="K106" s="36">
        <v>132.0</v>
      </c>
      <c r="L106" s="36">
        <v>36.3</v>
      </c>
      <c r="M106" s="36">
        <v>96.0</v>
      </c>
      <c r="N106" s="36">
        <v>47.0</v>
      </c>
      <c r="O106" s="36">
        <v>19.0</v>
      </c>
      <c r="P106" s="36">
        <v>49.0</v>
      </c>
      <c r="Q106" s="36">
        <v>0.33</v>
      </c>
      <c r="R106" s="36">
        <v>1.02</v>
      </c>
      <c r="S106" s="36">
        <v>2.08</v>
      </c>
      <c r="T106" s="36">
        <v>3.11</v>
      </c>
      <c r="U106" s="21">
        <f t="shared" si="1"/>
        <v>3110</v>
      </c>
      <c r="V106" s="21">
        <f t="shared" si="2"/>
        <v>100</v>
      </c>
    </row>
    <row r="107" ht="14.25" customHeight="1">
      <c r="A107" s="38">
        <v>0.3159722222222222</v>
      </c>
      <c r="B107" s="36">
        <v>136.0</v>
      </c>
      <c r="C107" s="36">
        <v>20.0</v>
      </c>
      <c r="D107" s="36">
        <v>1038.0</v>
      </c>
      <c r="E107" s="36">
        <v>916.0</v>
      </c>
      <c r="F107" s="36">
        <v>0.88</v>
      </c>
      <c r="G107" s="36">
        <v>19.0</v>
      </c>
      <c r="H107" s="36">
        <v>1.13</v>
      </c>
      <c r="I107" s="36">
        <v>21.7</v>
      </c>
      <c r="J107" s="36">
        <v>78.2</v>
      </c>
      <c r="K107" s="36">
        <v>132.0</v>
      </c>
      <c r="L107" s="36">
        <v>36.6</v>
      </c>
      <c r="M107" s="36">
        <v>96.0</v>
      </c>
      <c r="N107" s="36">
        <v>47.0</v>
      </c>
      <c r="O107" s="36">
        <v>19.0</v>
      </c>
      <c r="P107" s="36">
        <v>50.0</v>
      </c>
      <c r="Q107" s="36">
        <v>0.32</v>
      </c>
      <c r="R107" s="36">
        <v>1.01</v>
      </c>
      <c r="S107" s="36">
        <v>2.11</v>
      </c>
      <c r="T107" s="36">
        <v>3.12</v>
      </c>
      <c r="U107" s="21">
        <f t="shared" si="1"/>
        <v>3120</v>
      </c>
      <c r="V107" s="21">
        <f t="shared" si="2"/>
        <v>12100</v>
      </c>
    </row>
    <row r="108" ht="14.25" customHeight="1">
      <c r="A108" s="38">
        <v>0.31805555555555554</v>
      </c>
      <c r="B108" s="36">
        <v>138.0</v>
      </c>
      <c r="C108" s="36">
        <v>20.5</v>
      </c>
      <c r="D108" s="36">
        <v>1065.0</v>
      </c>
      <c r="E108" s="36">
        <v>942.0</v>
      </c>
      <c r="F108" s="36">
        <v>0.88</v>
      </c>
      <c r="G108" s="36">
        <v>19.0</v>
      </c>
      <c r="H108" s="36">
        <v>1.2</v>
      </c>
      <c r="I108" s="36">
        <v>22.3</v>
      </c>
      <c r="J108" s="36">
        <v>77.5</v>
      </c>
      <c r="K108" s="36">
        <v>134.0</v>
      </c>
      <c r="L108" s="36">
        <v>35.5</v>
      </c>
      <c r="M108" s="36">
        <v>97.0</v>
      </c>
      <c r="N108" s="36">
        <v>47.0</v>
      </c>
      <c r="O108" s="36">
        <v>19.0</v>
      </c>
      <c r="P108" s="36">
        <v>52.0</v>
      </c>
      <c r="Q108" s="36">
        <v>0.33</v>
      </c>
      <c r="R108" s="36">
        <v>1.05</v>
      </c>
      <c r="S108" s="36">
        <v>2.17</v>
      </c>
      <c r="T108" s="36">
        <v>3.23</v>
      </c>
      <c r="U108" s="21">
        <f t="shared" si="1"/>
        <v>3230</v>
      </c>
      <c r="V108" s="21">
        <f t="shared" si="2"/>
        <v>44100</v>
      </c>
    </row>
    <row r="109" ht="14.25" customHeight="1">
      <c r="A109" s="38">
        <v>0.32013888888888886</v>
      </c>
      <c r="B109" s="36">
        <v>139.0</v>
      </c>
      <c r="C109" s="36">
        <v>21.2</v>
      </c>
      <c r="D109" s="36">
        <v>1104.0</v>
      </c>
      <c r="E109" s="36">
        <v>981.0</v>
      </c>
      <c r="F109" s="36">
        <v>0.89</v>
      </c>
      <c r="G109" s="36">
        <v>20.0</v>
      </c>
      <c r="H109" s="36">
        <v>1.18</v>
      </c>
      <c r="I109" s="36">
        <v>23.5</v>
      </c>
      <c r="J109" s="36">
        <v>76.4</v>
      </c>
      <c r="K109" s="36">
        <v>135.0</v>
      </c>
      <c r="L109" s="36">
        <v>35.0</v>
      </c>
      <c r="M109" s="36">
        <v>97.0</v>
      </c>
      <c r="N109" s="36">
        <v>46.0</v>
      </c>
      <c r="O109" s="36">
        <v>20.0</v>
      </c>
      <c r="P109" s="36">
        <v>54.0</v>
      </c>
      <c r="Q109" s="36">
        <v>0.33</v>
      </c>
      <c r="R109" s="36">
        <v>0.99</v>
      </c>
      <c r="S109" s="36">
        <v>2.03</v>
      </c>
      <c r="T109" s="36">
        <v>3.02</v>
      </c>
      <c r="U109" s="21">
        <f t="shared" si="1"/>
        <v>3020</v>
      </c>
      <c r="V109" s="21">
        <f t="shared" si="2"/>
        <v>8100</v>
      </c>
    </row>
    <row r="110" ht="14.25" customHeight="1">
      <c r="A110" s="38">
        <v>0.3215277777777778</v>
      </c>
      <c r="B110" s="36">
        <v>139.0</v>
      </c>
      <c r="C110" s="36">
        <v>21.6</v>
      </c>
      <c r="D110" s="36">
        <v>1124.0</v>
      </c>
      <c r="E110" s="36">
        <v>1000.0</v>
      </c>
      <c r="F110" s="36">
        <v>0.89</v>
      </c>
      <c r="G110" s="36">
        <v>20.0</v>
      </c>
      <c r="H110" s="36">
        <v>1.16</v>
      </c>
      <c r="I110" s="36">
        <v>23.8</v>
      </c>
      <c r="J110" s="36">
        <v>76.0</v>
      </c>
      <c r="K110" s="36">
        <v>136.0</v>
      </c>
      <c r="L110" s="36">
        <v>34.8</v>
      </c>
      <c r="M110" s="36">
        <v>97.0</v>
      </c>
      <c r="N110" s="36">
        <v>47.0</v>
      </c>
      <c r="O110" s="36">
        <v>20.0</v>
      </c>
      <c r="P110" s="36">
        <v>55.0</v>
      </c>
      <c r="Q110" s="36">
        <v>0.33</v>
      </c>
      <c r="R110" s="36">
        <v>0.97</v>
      </c>
      <c r="S110" s="36">
        <v>1.96</v>
      </c>
      <c r="T110" s="36">
        <v>2.93</v>
      </c>
      <c r="U110" s="21">
        <f t="shared" si="1"/>
        <v>2930</v>
      </c>
      <c r="V110" s="21">
        <f t="shared" si="2"/>
        <v>100</v>
      </c>
    </row>
    <row r="111" ht="14.25" customHeight="1">
      <c r="A111" s="38">
        <v>0.3236111111111111</v>
      </c>
      <c r="B111" s="36">
        <v>140.0</v>
      </c>
      <c r="C111" s="36">
        <v>21.6</v>
      </c>
      <c r="D111" s="36">
        <v>1123.0</v>
      </c>
      <c r="E111" s="36">
        <v>1005.0</v>
      </c>
      <c r="F111" s="36">
        <v>0.9</v>
      </c>
      <c r="G111" s="36">
        <v>20.0</v>
      </c>
      <c r="H111" s="36">
        <v>1.17</v>
      </c>
      <c r="I111" s="36">
        <v>23.9</v>
      </c>
      <c r="J111" s="36">
        <v>75.9</v>
      </c>
      <c r="K111" s="36">
        <v>136.0</v>
      </c>
      <c r="L111" s="36">
        <v>34.4</v>
      </c>
      <c r="M111" s="36">
        <v>97.0</v>
      </c>
      <c r="N111" s="36">
        <v>47.0</v>
      </c>
      <c r="O111" s="36">
        <v>20.0</v>
      </c>
      <c r="P111" s="36">
        <v>55.0</v>
      </c>
      <c r="Q111" s="36">
        <v>0.34</v>
      </c>
      <c r="R111" s="36">
        <v>1.01</v>
      </c>
      <c r="S111" s="36">
        <v>1.93</v>
      </c>
      <c r="T111" s="36">
        <v>2.94</v>
      </c>
      <c r="U111" s="21">
        <f t="shared" si="1"/>
        <v>2940</v>
      </c>
      <c r="V111" s="21">
        <f t="shared" si="2"/>
        <v>115600</v>
      </c>
    </row>
    <row r="112" ht="14.25" customHeight="1">
      <c r="A112" s="38">
        <v>0.325</v>
      </c>
      <c r="B112" s="36">
        <v>142.0</v>
      </c>
      <c r="C112" s="36">
        <v>22.4</v>
      </c>
      <c r="D112" s="36">
        <v>1164.0</v>
      </c>
      <c r="E112" s="36">
        <v>1040.0</v>
      </c>
      <c r="F112" s="36">
        <v>0.89</v>
      </c>
      <c r="G112" s="36">
        <v>23.0</v>
      </c>
      <c r="H112" s="36">
        <v>1.07</v>
      </c>
      <c r="I112" s="36">
        <v>24.7</v>
      </c>
      <c r="J112" s="36">
        <v>75.1</v>
      </c>
      <c r="K112" s="36">
        <v>138.0</v>
      </c>
      <c r="L112" s="36">
        <v>33.5</v>
      </c>
      <c r="M112" s="36">
        <v>97.0</v>
      </c>
      <c r="N112" s="36">
        <v>46.0</v>
      </c>
      <c r="O112" s="36">
        <v>23.0</v>
      </c>
      <c r="P112" s="36">
        <v>57.0</v>
      </c>
      <c r="Q112" s="36">
        <v>0.35</v>
      </c>
      <c r="R112" s="36">
        <v>0.92</v>
      </c>
      <c r="S112" s="36">
        <v>1.68</v>
      </c>
      <c r="T112" s="36">
        <v>2.6</v>
      </c>
      <c r="U112" s="21">
        <f t="shared" si="1"/>
        <v>2600</v>
      </c>
      <c r="V112" s="21">
        <f t="shared" si="2"/>
        <v>400</v>
      </c>
    </row>
    <row r="113" ht="14.25" customHeight="1">
      <c r="A113" s="38">
        <v>0.32708333333333334</v>
      </c>
      <c r="B113" s="36">
        <v>143.0</v>
      </c>
      <c r="C113" s="36">
        <v>22.6</v>
      </c>
      <c r="D113" s="36">
        <v>1174.0</v>
      </c>
      <c r="E113" s="36">
        <v>1050.0</v>
      </c>
      <c r="F113" s="36">
        <v>0.89</v>
      </c>
      <c r="G113" s="36">
        <v>23.0</v>
      </c>
      <c r="H113" s="36">
        <v>1.06</v>
      </c>
      <c r="I113" s="36">
        <v>24.7</v>
      </c>
      <c r="J113" s="36">
        <v>75.1</v>
      </c>
      <c r="K113" s="36">
        <v>139.0</v>
      </c>
      <c r="L113" s="36">
        <v>33.1</v>
      </c>
      <c r="M113" s="36">
        <v>97.0</v>
      </c>
      <c r="N113" s="36">
        <v>46.0</v>
      </c>
      <c r="O113" s="36">
        <v>23.0</v>
      </c>
      <c r="P113" s="36">
        <v>57.0</v>
      </c>
      <c r="Q113" s="36">
        <v>0.35</v>
      </c>
      <c r="R113" s="36">
        <v>0.91</v>
      </c>
      <c r="S113" s="36">
        <v>1.67</v>
      </c>
      <c r="T113" s="36">
        <v>2.58</v>
      </c>
      <c r="U113" s="21">
        <f t="shared" si="1"/>
        <v>2580</v>
      </c>
      <c r="V113" s="21">
        <f t="shared" si="2"/>
        <v>100</v>
      </c>
    </row>
    <row r="114" ht="14.25" customHeight="1">
      <c r="A114" s="38">
        <v>0.32916666666666666</v>
      </c>
      <c r="B114" s="36">
        <v>143.0</v>
      </c>
      <c r="C114" s="36">
        <v>22.0</v>
      </c>
      <c r="D114" s="36">
        <v>1146.0</v>
      </c>
      <c r="E114" s="36">
        <v>1034.0</v>
      </c>
      <c r="F114" s="36">
        <v>0.9</v>
      </c>
      <c r="G114" s="36">
        <v>23.0</v>
      </c>
      <c r="H114" s="36">
        <v>1.05</v>
      </c>
      <c r="I114" s="36">
        <v>24.6</v>
      </c>
      <c r="J114" s="36">
        <v>75.2</v>
      </c>
      <c r="K114" s="36">
        <v>140.0</v>
      </c>
      <c r="L114" s="36">
        <v>32.8</v>
      </c>
      <c r="M114" s="36">
        <v>98.0</v>
      </c>
      <c r="N114" s="36">
        <v>46.0</v>
      </c>
      <c r="O114" s="36">
        <v>23.0</v>
      </c>
      <c r="P114" s="36">
        <v>56.0</v>
      </c>
      <c r="Q114" s="36">
        <v>0.35</v>
      </c>
      <c r="R114" s="36">
        <v>0.9</v>
      </c>
      <c r="S114" s="36">
        <v>1.67</v>
      </c>
      <c r="T114" s="36">
        <v>2.57</v>
      </c>
      <c r="U114" s="21">
        <f t="shared" si="1"/>
        <v>2570</v>
      </c>
      <c r="V114" s="21">
        <f t="shared" si="2"/>
        <v>19600</v>
      </c>
    </row>
    <row r="115" ht="14.25" customHeight="1">
      <c r="A115" s="38">
        <v>0.33055555555555555</v>
      </c>
      <c r="B115" s="36">
        <v>145.0</v>
      </c>
      <c r="C115" s="36">
        <v>21.8</v>
      </c>
      <c r="D115" s="36">
        <v>1132.0</v>
      </c>
      <c r="E115" s="36">
        <v>1033.0</v>
      </c>
      <c r="F115" s="36">
        <v>0.91</v>
      </c>
      <c r="G115" s="36">
        <v>22.0</v>
      </c>
      <c r="H115" s="36">
        <v>1.11</v>
      </c>
      <c r="I115" s="36">
        <v>24.6</v>
      </c>
      <c r="J115" s="36">
        <v>75.2</v>
      </c>
      <c r="K115" s="36">
        <v>141.0</v>
      </c>
      <c r="L115" s="36">
        <v>32.3</v>
      </c>
      <c r="M115" s="36">
        <v>98.0</v>
      </c>
      <c r="N115" s="36">
        <v>46.0</v>
      </c>
      <c r="O115" s="36">
        <v>22.0</v>
      </c>
      <c r="P115" s="36">
        <v>55.0</v>
      </c>
      <c r="Q115" s="36">
        <v>0.35</v>
      </c>
      <c r="R115" s="36">
        <v>0.95</v>
      </c>
      <c r="S115" s="36">
        <v>1.76</v>
      </c>
      <c r="T115" s="36">
        <v>2.71</v>
      </c>
      <c r="U115" s="21">
        <f t="shared" si="1"/>
        <v>2710</v>
      </c>
      <c r="V115" s="21">
        <f t="shared" si="2"/>
        <v>6400</v>
      </c>
    </row>
    <row r="116" ht="14.25" customHeight="1">
      <c r="A116" s="38">
        <v>0.3326388888888889</v>
      </c>
      <c r="B116" s="36">
        <v>146.0</v>
      </c>
      <c r="C116" s="36">
        <v>22.0</v>
      </c>
      <c r="D116" s="36">
        <v>1143.0</v>
      </c>
      <c r="E116" s="36">
        <v>1047.0</v>
      </c>
      <c r="F116" s="36">
        <v>0.92</v>
      </c>
      <c r="G116" s="36">
        <v>23.0</v>
      </c>
      <c r="H116" s="36">
        <v>1.1</v>
      </c>
      <c r="I116" s="36">
        <v>25.0</v>
      </c>
      <c r="J116" s="36">
        <v>74.8</v>
      </c>
      <c r="K116" s="36">
        <v>141.0</v>
      </c>
      <c r="L116" s="36">
        <v>32.0</v>
      </c>
      <c r="M116" s="36">
        <v>99.0</v>
      </c>
      <c r="N116" s="36">
        <v>46.0</v>
      </c>
      <c r="O116" s="36">
        <v>23.0</v>
      </c>
      <c r="P116" s="36">
        <v>56.0</v>
      </c>
      <c r="Q116" s="36">
        <v>0.35</v>
      </c>
      <c r="R116" s="36">
        <v>0.92</v>
      </c>
      <c r="S116" s="36">
        <v>1.71</v>
      </c>
      <c r="T116" s="36">
        <v>2.63</v>
      </c>
      <c r="U116" s="21">
        <f t="shared" si="1"/>
        <v>2630</v>
      </c>
      <c r="V116" s="21">
        <f t="shared" si="2"/>
        <v>3600</v>
      </c>
    </row>
    <row r="117" ht="14.25" customHeight="1">
      <c r="A117" s="38">
        <v>0.33402777777777776</v>
      </c>
      <c r="B117" s="36">
        <v>147.0</v>
      </c>
      <c r="C117" s="36">
        <v>22.0</v>
      </c>
      <c r="D117" s="36">
        <v>1142.0</v>
      </c>
      <c r="E117" s="36">
        <v>1050.0</v>
      </c>
      <c r="F117" s="36">
        <v>0.92</v>
      </c>
      <c r="G117" s="36">
        <v>23.0</v>
      </c>
      <c r="H117" s="36">
        <v>1.07</v>
      </c>
      <c r="I117" s="36">
        <v>25.0</v>
      </c>
      <c r="J117" s="36">
        <v>74.8</v>
      </c>
      <c r="K117" s="36">
        <v>142.0</v>
      </c>
      <c r="L117" s="36">
        <v>31.5</v>
      </c>
      <c r="M117" s="36">
        <v>98.0</v>
      </c>
      <c r="N117" s="36">
        <v>46.0</v>
      </c>
      <c r="O117" s="36">
        <v>23.0</v>
      </c>
      <c r="P117" s="36">
        <v>56.0</v>
      </c>
      <c r="Q117" s="36">
        <v>0.35</v>
      </c>
      <c r="R117" s="36">
        <v>0.9</v>
      </c>
      <c r="S117" s="36">
        <v>1.67</v>
      </c>
      <c r="T117" s="36">
        <v>2.57</v>
      </c>
      <c r="U117" s="21">
        <f t="shared" si="1"/>
        <v>2570</v>
      </c>
      <c r="V117" s="21">
        <f t="shared" si="2"/>
        <v>3600</v>
      </c>
    </row>
    <row r="118" ht="14.25" customHeight="1">
      <c r="A118" s="38">
        <v>0.33611111111111114</v>
      </c>
      <c r="B118" s="36">
        <v>148.0</v>
      </c>
      <c r="C118" s="36">
        <v>22.0</v>
      </c>
      <c r="D118" s="36">
        <v>1144.0</v>
      </c>
      <c r="E118" s="36">
        <v>1064.0</v>
      </c>
      <c r="F118" s="36">
        <v>0.93</v>
      </c>
      <c r="G118" s="36">
        <v>24.0</v>
      </c>
      <c r="H118" s="36">
        <v>1.06</v>
      </c>
      <c r="I118" s="36">
        <v>25.2</v>
      </c>
      <c r="J118" s="36">
        <v>74.6</v>
      </c>
      <c r="K118" s="36">
        <v>143.0</v>
      </c>
      <c r="L118" s="36">
        <v>31.2</v>
      </c>
      <c r="M118" s="36">
        <v>98.0</v>
      </c>
      <c r="N118" s="36">
        <v>46.0</v>
      </c>
      <c r="O118" s="36">
        <v>24.0</v>
      </c>
      <c r="P118" s="36">
        <v>56.0</v>
      </c>
      <c r="Q118" s="36">
        <v>0.34</v>
      </c>
      <c r="R118" s="36">
        <v>0.86</v>
      </c>
      <c r="S118" s="36">
        <v>1.65</v>
      </c>
      <c r="T118" s="36">
        <v>2.51</v>
      </c>
      <c r="U118" s="21">
        <f t="shared" si="1"/>
        <v>2510</v>
      </c>
      <c r="V118" s="21">
        <f t="shared" si="2"/>
        <v>32400</v>
      </c>
    </row>
    <row r="119" ht="14.25" customHeight="1">
      <c r="A119" s="38">
        <v>0.33819444444444446</v>
      </c>
      <c r="B119" s="36">
        <v>149.0</v>
      </c>
      <c r="C119" s="36">
        <v>22.3</v>
      </c>
      <c r="D119" s="36">
        <v>1158.0</v>
      </c>
      <c r="E119" s="36">
        <v>1074.0</v>
      </c>
      <c r="F119" s="36">
        <v>0.93</v>
      </c>
      <c r="G119" s="36">
        <v>22.0</v>
      </c>
      <c r="H119" s="36">
        <v>1.13</v>
      </c>
      <c r="I119" s="36">
        <v>25.3</v>
      </c>
      <c r="J119" s="36">
        <v>74.5</v>
      </c>
      <c r="K119" s="36">
        <v>141.0</v>
      </c>
      <c r="L119" s="36">
        <v>32.3</v>
      </c>
      <c r="M119" s="36">
        <v>98.0</v>
      </c>
      <c r="N119" s="36">
        <v>47.0</v>
      </c>
      <c r="O119" s="36">
        <v>22.0</v>
      </c>
      <c r="P119" s="36">
        <v>56.0</v>
      </c>
      <c r="Q119" s="36">
        <v>0.35</v>
      </c>
      <c r="R119" s="36">
        <v>0.94</v>
      </c>
      <c r="S119" s="36">
        <v>1.75</v>
      </c>
      <c r="T119" s="36">
        <v>2.69</v>
      </c>
      <c r="U119" s="21">
        <f t="shared" si="1"/>
        <v>2690</v>
      </c>
      <c r="V119" s="21">
        <f t="shared" si="2"/>
        <v>1600</v>
      </c>
    </row>
    <row r="120" ht="14.25" customHeight="1">
      <c r="A120" s="38">
        <v>0.33958333333333335</v>
      </c>
      <c r="B120" s="36">
        <v>150.0</v>
      </c>
      <c r="C120" s="36">
        <v>22.3</v>
      </c>
      <c r="D120" s="36">
        <v>1158.0</v>
      </c>
      <c r="E120" s="36">
        <v>1073.0</v>
      </c>
      <c r="F120" s="36">
        <v>0.93</v>
      </c>
      <c r="G120" s="36">
        <v>23.0</v>
      </c>
      <c r="H120" s="36">
        <v>1.11</v>
      </c>
      <c r="I120" s="36">
        <v>25.2</v>
      </c>
      <c r="J120" s="36">
        <v>74.6</v>
      </c>
      <c r="K120" s="36">
        <v>143.0</v>
      </c>
      <c r="L120" s="36">
        <v>31.2</v>
      </c>
      <c r="M120" s="36">
        <v>98.0</v>
      </c>
      <c r="N120" s="36">
        <v>47.0</v>
      </c>
      <c r="O120" s="36">
        <v>23.0</v>
      </c>
      <c r="P120" s="36">
        <v>56.0</v>
      </c>
      <c r="Q120" s="36">
        <v>0.35</v>
      </c>
      <c r="R120" s="36">
        <v>0.92</v>
      </c>
      <c r="S120" s="36">
        <v>1.73</v>
      </c>
      <c r="T120" s="36">
        <v>2.65</v>
      </c>
      <c r="U120" s="21">
        <f t="shared" si="1"/>
        <v>2650</v>
      </c>
      <c r="V120" s="21">
        <f t="shared" si="2"/>
        <v>36100</v>
      </c>
    </row>
    <row r="121" ht="14.25" customHeight="1">
      <c r="A121" s="38">
        <v>0.3416666666666667</v>
      </c>
      <c r="B121" s="36">
        <v>151.0</v>
      </c>
      <c r="C121" s="36">
        <v>22.6</v>
      </c>
      <c r="D121" s="36">
        <v>1175.0</v>
      </c>
      <c r="E121" s="36">
        <v>1075.0</v>
      </c>
      <c r="F121" s="36">
        <v>0.91</v>
      </c>
      <c r="G121" s="36">
        <v>24.0</v>
      </c>
      <c r="H121" s="36">
        <v>1.03</v>
      </c>
      <c r="I121" s="36">
        <v>25.0</v>
      </c>
      <c r="J121" s="36">
        <v>74.8</v>
      </c>
      <c r="K121" s="36">
        <v>144.0</v>
      </c>
      <c r="L121" s="36">
        <v>30.9</v>
      </c>
      <c r="M121" s="36">
        <v>97.0</v>
      </c>
      <c r="N121" s="36">
        <v>47.0</v>
      </c>
      <c r="O121" s="36">
        <v>24.0</v>
      </c>
      <c r="P121" s="36">
        <v>57.0</v>
      </c>
      <c r="Q121" s="36">
        <v>0.35</v>
      </c>
      <c r="R121" s="36">
        <v>0.87</v>
      </c>
      <c r="S121" s="36">
        <v>1.59</v>
      </c>
      <c r="T121" s="36">
        <v>2.46</v>
      </c>
      <c r="U121" s="21">
        <f t="shared" si="1"/>
        <v>2460</v>
      </c>
      <c r="V121" s="21">
        <f t="shared" si="2"/>
        <v>16900</v>
      </c>
    </row>
    <row r="122" ht="14.25" customHeight="1">
      <c r="A122" s="38">
        <v>0.34305555555555556</v>
      </c>
      <c r="B122" s="36">
        <v>152.0</v>
      </c>
      <c r="C122" s="36">
        <v>23.1</v>
      </c>
      <c r="D122" s="36">
        <v>1200.0</v>
      </c>
      <c r="E122" s="36">
        <v>1110.0</v>
      </c>
      <c r="F122" s="36">
        <v>0.93</v>
      </c>
      <c r="G122" s="36">
        <v>23.0</v>
      </c>
      <c r="H122" s="36">
        <v>1.12</v>
      </c>
      <c r="I122" s="36">
        <v>25.9</v>
      </c>
      <c r="J122" s="36">
        <v>73.8</v>
      </c>
      <c r="K122" s="36">
        <v>144.0</v>
      </c>
      <c r="L122" s="36">
        <v>30.9</v>
      </c>
      <c r="M122" s="36">
        <v>97.0</v>
      </c>
      <c r="N122" s="36">
        <v>47.0</v>
      </c>
      <c r="O122" s="36">
        <v>23.0</v>
      </c>
      <c r="P122" s="36">
        <v>58.0</v>
      </c>
      <c r="Q122" s="36">
        <v>0.35</v>
      </c>
      <c r="R122" s="36">
        <v>0.91</v>
      </c>
      <c r="S122" s="36">
        <v>1.67</v>
      </c>
      <c r="T122" s="36">
        <v>2.59</v>
      </c>
      <c r="U122" s="21">
        <f t="shared" si="1"/>
        <v>2590</v>
      </c>
      <c r="V122" s="21">
        <f t="shared" si="2"/>
        <v>100</v>
      </c>
    </row>
    <row r="123" ht="14.25" customHeight="1">
      <c r="A123" s="38">
        <v>0.3451388888888889</v>
      </c>
      <c r="B123" s="36">
        <v>153.0</v>
      </c>
      <c r="C123" s="36">
        <v>22.8</v>
      </c>
      <c r="D123" s="36">
        <v>1185.0</v>
      </c>
      <c r="E123" s="36">
        <v>1089.0</v>
      </c>
      <c r="F123" s="36">
        <v>0.92</v>
      </c>
      <c r="G123" s="36">
        <v>23.0</v>
      </c>
      <c r="H123" s="36">
        <v>1.09</v>
      </c>
      <c r="I123" s="36">
        <v>25.3</v>
      </c>
      <c r="J123" s="36">
        <v>74.5</v>
      </c>
      <c r="K123" s="36">
        <v>144.0</v>
      </c>
      <c r="L123" s="36">
        <v>30.9</v>
      </c>
      <c r="M123" s="36">
        <v>96.0</v>
      </c>
      <c r="N123" s="36">
        <v>48.0</v>
      </c>
      <c r="O123" s="36">
        <v>23.0</v>
      </c>
      <c r="P123" s="36">
        <v>58.0</v>
      </c>
      <c r="Q123" s="36">
        <v>0.34</v>
      </c>
      <c r="R123" s="36">
        <v>0.88</v>
      </c>
      <c r="S123" s="36">
        <v>1.7</v>
      </c>
      <c r="T123" s="36">
        <v>2.58</v>
      </c>
      <c r="U123" s="21">
        <f t="shared" si="1"/>
        <v>2580</v>
      </c>
      <c r="V123" s="21">
        <f t="shared" si="2"/>
        <v>44100</v>
      </c>
    </row>
    <row r="124" ht="14.25" customHeight="1">
      <c r="A124" s="38">
        <v>0.3472222222222222</v>
      </c>
      <c r="B124" s="36">
        <v>155.0</v>
      </c>
      <c r="C124" s="36">
        <v>23.0</v>
      </c>
      <c r="D124" s="36">
        <v>1194.0</v>
      </c>
      <c r="E124" s="36">
        <v>1098.0</v>
      </c>
      <c r="F124" s="36">
        <v>0.92</v>
      </c>
      <c r="G124" s="36">
        <v>22.0</v>
      </c>
      <c r="H124" s="36">
        <v>1.18</v>
      </c>
      <c r="I124" s="36">
        <v>25.3</v>
      </c>
      <c r="J124" s="36">
        <v>74.4</v>
      </c>
      <c r="K124" s="36">
        <v>144.0</v>
      </c>
      <c r="L124" s="36">
        <v>30.9</v>
      </c>
      <c r="M124" s="36">
        <v>96.0</v>
      </c>
      <c r="N124" s="36">
        <v>48.0</v>
      </c>
      <c r="O124" s="36">
        <v>22.0</v>
      </c>
      <c r="P124" s="36">
        <v>58.0</v>
      </c>
      <c r="Q124" s="36">
        <v>0.35</v>
      </c>
      <c r="R124" s="36">
        <v>0.96</v>
      </c>
      <c r="S124" s="36">
        <v>1.83</v>
      </c>
      <c r="T124" s="36">
        <v>2.79</v>
      </c>
      <c r="U124" s="21">
        <f t="shared" si="1"/>
        <v>2790</v>
      </c>
      <c r="V124" s="21">
        <f t="shared" si="2"/>
        <v>1600</v>
      </c>
    </row>
    <row r="125" ht="14.25" customHeight="1">
      <c r="A125" s="38">
        <v>0.34930555555555554</v>
      </c>
      <c r="B125" s="36">
        <v>156.0</v>
      </c>
      <c r="C125" s="36">
        <v>23.6</v>
      </c>
      <c r="D125" s="36">
        <v>1228.0</v>
      </c>
      <c r="E125" s="36">
        <v>1116.0</v>
      </c>
      <c r="F125" s="36">
        <v>0.91</v>
      </c>
      <c r="G125" s="36">
        <v>22.0</v>
      </c>
      <c r="H125" s="36">
        <v>1.18</v>
      </c>
      <c r="I125" s="36">
        <v>25.7</v>
      </c>
      <c r="J125" s="36">
        <v>74.1</v>
      </c>
      <c r="K125" s="36">
        <v>143.0</v>
      </c>
      <c r="L125" s="36">
        <v>31.0</v>
      </c>
      <c r="M125" s="36">
        <v>96.0</v>
      </c>
      <c r="N125" s="36">
        <v>48.0</v>
      </c>
      <c r="O125" s="36">
        <v>22.0</v>
      </c>
      <c r="P125" s="36">
        <v>60.0</v>
      </c>
      <c r="Q125" s="36">
        <v>0.35</v>
      </c>
      <c r="R125" s="36">
        <v>0.95</v>
      </c>
      <c r="S125" s="36">
        <v>1.8</v>
      </c>
      <c r="T125" s="36">
        <v>2.75</v>
      </c>
      <c r="U125" s="21">
        <f t="shared" si="1"/>
        <v>2750</v>
      </c>
      <c r="V125" s="21">
        <f t="shared" si="2"/>
        <v>900</v>
      </c>
    </row>
    <row r="126" ht="14.25" customHeight="1">
      <c r="A126" s="38">
        <v>0.35138888888888886</v>
      </c>
      <c r="B126" s="36">
        <v>157.0</v>
      </c>
      <c r="C126" s="36">
        <v>23.7</v>
      </c>
      <c r="D126" s="36">
        <v>1232.0</v>
      </c>
      <c r="E126" s="36">
        <v>1132.0</v>
      </c>
      <c r="F126" s="36">
        <v>0.92</v>
      </c>
      <c r="G126" s="36">
        <v>22.0</v>
      </c>
      <c r="H126" s="36">
        <v>1.2</v>
      </c>
      <c r="I126" s="36">
        <v>25.9</v>
      </c>
      <c r="J126" s="36">
        <v>73.9</v>
      </c>
      <c r="K126" s="36">
        <v>144.0</v>
      </c>
      <c r="L126" s="36">
        <v>30.9</v>
      </c>
      <c r="M126" s="36">
        <v>96.0</v>
      </c>
      <c r="N126" s="36">
        <v>48.0</v>
      </c>
      <c r="O126" s="36">
        <v>22.0</v>
      </c>
      <c r="P126" s="36">
        <v>60.0</v>
      </c>
      <c r="Q126" s="36">
        <v>0.34</v>
      </c>
      <c r="R126" s="36">
        <v>0.95</v>
      </c>
      <c r="S126" s="36">
        <v>1.83</v>
      </c>
      <c r="T126" s="36">
        <v>2.78</v>
      </c>
      <c r="U126" s="21">
        <f t="shared" si="1"/>
        <v>2780</v>
      </c>
      <c r="V126" s="21">
        <f t="shared" si="2"/>
        <v>3600</v>
      </c>
    </row>
    <row r="127" ht="14.25" customHeight="1">
      <c r="A127" s="38">
        <v>0.3527777777777778</v>
      </c>
      <c r="B127" s="36">
        <v>158.0</v>
      </c>
      <c r="C127" s="36">
        <v>23.8</v>
      </c>
      <c r="D127" s="36">
        <v>1240.0</v>
      </c>
      <c r="E127" s="36">
        <v>1138.0</v>
      </c>
      <c r="F127" s="36">
        <v>0.92</v>
      </c>
      <c r="G127" s="36">
        <v>22.0</v>
      </c>
      <c r="H127" s="36">
        <v>1.18</v>
      </c>
      <c r="I127" s="36">
        <v>26.0</v>
      </c>
      <c r="J127" s="36">
        <v>73.8</v>
      </c>
      <c r="K127" s="36">
        <v>143.0</v>
      </c>
      <c r="L127" s="36">
        <v>31.0</v>
      </c>
      <c r="M127" s="36">
        <v>96.0</v>
      </c>
      <c r="N127" s="36">
        <v>48.0</v>
      </c>
      <c r="O127" s="36">
        <v>22.0</v>
      </c>
      <c r="P127" s="36">
        <v>60.0</v>
      </c>
      <c r="Q127" s="36">
        <v>0.35</v>
      </c>
      <c r="R127" s="36">
        <v>0.96</v>
      </c>
      <c r="S127" s="36">
        <v>1.76</v>
      </c>
      <c r="T127" s="36">
        <v>2.72</v>
      </c>
      <c r="U127" s="21">
        <f t="shared" si="1"/>
        <v>2720</v>
      </c>
      <c r="V127" s="21">
        <f t="shared" si="2"/>
        <v>16900</v>
      </c>
    </row>
    <row r="128" ht="14.25" customHeight="1">
      <c r="A128" s="38">
        <v>0.3541666666666667</v>
      </c>
      <c r="B128" s="36">
        <v>159.0</v>
      </c>
      <c r="C128" s="36">
        <v>24.4</v>
      </c>
      <c r="D128" s="36">
        <v>1267.0</v>
      </c>
      <c r="E128" s="36">
        <v>1167.0</v>
      </c>
      <c r="F128" s="36">
        <v>0.92</v>
      </c>
      <c r="G128" s="36">
        <v>23.0</v>
      </c>
      <c r="H128" s="36">
        <v>1.16</v>
      </c>
      <c r="I128" s="36">
        <v>26.9</v>
      </c>
      <c r="J128" s="36">
        <v>72.9</v>
      </c>
      <c r="K128" s="36">
        <v>145.0</v>
      </c>
      <c r="L128" s="36">
        <v>30.3</v>
      </c>
      <c r="M128" s="36">
        <v>97.0</v>
      </c>
      <c r="N128" s="36">
        <v>48.0</v>
      </c>
      <c r="O128" s="36">
        <v>23.0</v>
      </c>
      <c r="P128" s="36">
        <v>62.0</v>
      </c>
      <c r="Q128" s="36">
        <v>0.36</v>
      </c>
      <c r="R128" s="36">
        <v>0.94</v>
      </c>
      <c r="S128" s="36">
        <v>1.65</v>
      </c>
      <c r="T128" s="36">
        <v>2.59</v>
      </c>
      <c r="U128" s="21">
        <f t="shared" si="1"/>
        <v>2590</v>
      </c>
      <c r="V128" s="21">
        <f t="shared" si="2"/>
        <v>0</v>
      </c>
    </row>
    <row r="129" ht="14.25" customHeight="1">
      <c r="A129" s="38">
        <v>0.35625</v>
      </c>
      <c r="B129" s="36">
        <v>160.0</v>
      </c>
      <c r="C129" s="36">
        <v>24.4</v>
      </c>
      <c r="D129" s="36">
        <v>1268.0</v>
      </c>
      <c r="E129" s="36">
        <v>1167.0</v>
      </c>
      <c r="F129" s="36">
        <v>0.92</v>
      </c>
      <c r="G129" s="36">
        <v>23.0</v>
      </c>
      <c r="H129" s="36">
        <v>1.16</v>
      </c>
      <c r="I129" s="36">
        <v>26.9</v>
      </c>
      <c r="J129" s="36">
        <v>72.9</v>
      </c>
      <c r="K129" s="36">
        <v>145.0</v>
      </c>
      <c r="L129" s="36">
        <v>30.3</v>
      </c>
      <c r="M129" s="36">
        <v>97.0</v>
      </c>
      <c r="N129" s="36">
        <v>48.0</v>
      </c>
      <c r="O129" s="36">
        <v>23.0</v>
      </c>
      <c r="P129" s="36">
        <v>62.0</v>
      </c>
      <c r="Q129" s="36">
        <v>0.36</v>
      </c>
      <c r="R129" s="36">
        <v>0.94</v>
      </c>
      <c r="S129" s="36">
        <v>1.65</v>
      </c>
      <c r="T129" s="36">
        <v>2.59</v>
      </c>
      <c r="U129" s="21">
        <f t="shared" si="1"/>
        <v>2590</v>
      </c>
      <c r="V129" s="21">
        <f t="shared" si="2"/>
        <v>4900</v>
      </c>
    </row>
    <row r="130" ht="14.25" customHeight="1">
      <c r="A130" s="38">
        <v>0.3576388888888889</v>
      </c>
      <c r="B130" s="36">
        <v>161.0</v>
      </c>
      <c r="C130" s="36">
        <v>24.6</v>
      </c>
      <c r="D130" s="36">
        <v>1280.0</v>
      </c>
      <c r="E130" s="36">
        <v>1189.0</v>
      </c>
      <c r="F130" s="36">
        <v>0.93</v>
      </c>
      <c r="G130" s="36">
        <v>23.0</v>
      </c>
      <c r="H130" s="36">
        <v>1.22</v>
      </c>
      <c r="I130" s="36">
        <v>27.4</v>
      </c>
      <c r="J130" s="36">
        <v>72.3</v>
      </c>
      <c r="K130" s="36">
        <v>147.0</v>
      </c>
      <c r="L130" s="36">
        <v>29.1</v>
      </c>
      <c r="M130" s="36">
        <v>97.0</v>
      </c>
      <c r="N130" s="36">
        <v>48.0</v>
      </c>
      <c r="O130" s="36">
        <v>23.0</v>
      </c>
      <c r="P130" s="36">
        <v>62.0</v>
      </c>
      <c r="Q130" s="36">
        <v>0.36</v>
      </c>
      <c r="R130" s="36">
        <v>0.97</v>
      </c>
      <c r="S130" s="36">
        <v>1.7</v>
      </c>
      <c r="T130" s="36">
        <v>2.66</v>
      </c>
      <c r="U130" s="21">
        <f t="shared" si="1"/>
        <v>2660</v>
      </c>
      <c r="V130" s="21">
        <f t="shared" si="2"/>
        <v>6400</v>
      </c>
    </row>
    <row r="131" ht="14.25" customHeight="1">
      <c r="A131" s="38">
        <v>0.3597222222222222</v>
      </c>
      <c r="B131" s="36">
        <v>162.0</v>
      </c>
      <c r="C131" s="36">
        <v>25.2</v>
      </c>
      <c r="D131" s="36">
        <v>1309.0</v>
      </c>
      <c r="E131" s="36">
        <v>1235.0</v>
      </c>
      <c r="F131" s="36">
        <v>0.94</v>
      </c>
      <c r="G131" s="36">
        <v>23.0</v>
      </c>
      <c r="H131" s="36">
        <v>1.24</v>
      </c>
      <c r="I131" s="36">
        <v>28.8</v>
      </c>
      <c r="J131" s="36">
        <v>70.9</v>
      </c>
      <c r="K131" s="36">
        <v>149.0</v>
      </c>
      <c r="L131" s="36">
        <v>28.6</v>
      </c>
      <c r="M131" s="36">
        <v>98.0</v>
      </c>
      <c r="N131" s="36">
        <v>47.0</v>
      </c>
      <c r="O131" s="36">
        <v>23.0</v>
      </c>
      <c r="P131" s="36">
        <v>64.0</v>
      </c>
      <c r="Q131" s="36">
        <v>0.36</v>
      </c>
      <c r="R131" s="36">
        <v>0.93</v>
      </c>
      <c r="S131" s="36">
        <v>1.65</v>
      </c>
      <c r="T131" s="36">
        <v>2.58</v>
      </c>
      <c r="U131" s="21">
        <f t="shared" si="1"/>
        <v>2580</v>
      </c>
      <c r="V131" s="21">
        <f t="shared" si="2"/>
        <v>900</v>
      </c>
    </row>
    <row r="132" ht="14.25" customHeight="1">
      <c r="A132" s="38">
        <v>0.3611111111111111</v>
      </c>
      <c r="B132" s="36">
        <v>163.0</v>
      </c>
      <c r="C132" s="36">
        <v>25.3</v>
      </c>
      <c r="D132" s="36">
        <v>1318.0</v>
      </c>
      <c r="E132" s="36">
        <v>1255.0</v>
      </c>
      <c r="F132" s="36">
        <v>0.95</v>
      </c>
      <c r="G132" s="36">
        <v>23.0</v>
      </c>
      <c r="H132" s="36">
        <v>1.27</v>
      </c>
      <c r="I132" s="36">
        <v>29.3</v>
      </c>
      <c r="J132" s="36">
        <v>70.5</v>
      </c>
      <c r="K132" s="36">
        <v>150.0</v>
      </c>
      <c r="L132" s="36">
        <v>27.7</v>
      </c>
      <c r="M132" s="36">
        <v>99.0</v>
      </c>
      <c r="N132" s="36">
        <v>47.0</v>
      </c>
      <c r="O132" s="36">
        <v>23.0</v>
      </c>
      <c r="P132" s="36">
        <v>64.0</v>
      </c>
      <c r="Q132" s="36">
        <v>0.36</v>
      </c>
      <c r="R132" s="36">
        <v>0.94</v>
      </c>
      <c r="S132" s="36">
        <v>1.67</v>
      </c>
      <c r="T132" s="36">
        <v>2.61</v>
      </c>
      <c r="U132" s="21">
        <f t="shared" si="1"/>
        <v>2610</v>
      </c>
      <c r="V132" s="21">
        <f t="shared" si="2"/>
        <v>19600</v>
      </c>
    </row>
    <row r="133" ht="14.25" customHeight="1">
      <c r="A133" s="38">
        <v>0.36319444444444443</v>
      </c>
      <c r="B133" s="36">
        <v>164.0</v>
      </c>
      <c r="C133" s="36">
        <v>26.2</v>
      </c>
      <c r="D133" s="36">
        <v>1365.0</v>
      </c>
      <c r="E133" s="36">
        <v>1316.0</v>
      </c>
      <c r="F133" s="36">
        <v>0.96</v>
      </c>
      <c r="G133" s="36">
        <v>24.0</v>
      </c>
      <c r="H133" s="36">
        <v>1.28</v>
      </c>
      <c r="I133" s="36">
        <v>31.2</v>
      </c>
      <c r="J133" s="36">
        <v>68.6</v>
      </c>
      <c r="K133" s="36">
        <v>150.0</v>
      </c>
      <c r="L133" s="36">
        <v>27.7</v>
      </c>
      <c r="M133" s="36">
        <v>100.0</v>
      </c>
      <c r="N133" s="36">
        <v>47.0</v>
      </c>
      <c r="O133" s="36">
        <v>24.0</v>
      </c>
      <c r="P133" s="36">
        <v>66.0</v>
      </c>
      <c r="Q133" s="36">
        <v>0.36</v>
      </c>
      <c r="R133" s="36">
        <v>0.9</v>
      </c>
      <c r="S133" s="36">
        <v>1.58</v>
      </c>
      <c r="T133" s="36">
        <v>2.47</v>
      </c>
      <c r="U133" s="21">
        <f t="shared" si="1"/>
        <v>2470</v>
      </c>
      <c r="V133" s="21">
        <f t="shared" si="2"/>
        <v>14400</v>
      </c>
    </row>
    <row r="134" ht="14.25" customHeight="1">
      <c r="A134" s="38">
        <v>0.3645833333333333</v>
      </c>
      <c r="B134" s="36">
        <v>165.0</v>
      </c>
      <c r="C134" s="36">
        <v>26.9</v>
      </c>
      <c r="D134" s="36">
        <v>1400.0</v>
      </c>
      <c r="E134" s="36">
        <v>1354.0</v>
      </c>
      <c r="F134" s="36">
        <v>0.97</v>
      </c>
      <c r="G134" s="36">
        <v>26.0</v>
      </c>
      <c r="H134" s="36">
        <v>1.26</v>
      </c>
      <c r="I134" s="36">
        <v>32.1</v>
      </c>
      <c r="J134" s="36">
        <v>67.7</v>
      </c>
      <c r="K134" s="36">
        <v>151.0</v>
      </c>
      <c r="L134" s="36">
        <v>27.5</v>
      </c>
      <c r="M134" s="36">
        <v>100.0</v>
      </c>
      <c r="N134" s="36">
        <v>47.0</v>
      </c>
      <c r="O134" s="36">
        <v>26.0</v>
      </c>
      <c r="P134" s="36">
        <v>68.0</v>
      </c>
      <c r="Q134" s="36">
        <v>0.35</v>
      </c>
      <c r="R134" s="36">
        <v>0.83</v>
      </c>
      <c r="S134" s="36">
        <v>1.52</v>
      </c>
      <c r="T134" s="36">
        <v>2.35</v>
      </c>
      <c r="U134" s="21">
        <f t="shared" si="1"/>
        <v>2350</v>
      </c>
      <c r="V134" s="21">
        <f t="shared" si="2"/>
        <v>2500</v>
      </c>
    </row>
    <row r="135" ht="14.25" customHeight="1">
      <c r="A135" s="38">
        <v>0.3659722222222222</v>
      </c>
      <c r="B135" s="36">
        <v>166.0</v>
      </c>
      <c r="C135" s="36">
        <v>27.2</v>
      </c>
      <c r="D135" s="36">
        <v>1413.0</v>
      </c>
      <c r="E135" s="36">
        <v>1388.0</v>
      </c>
      <c r="F135" s="36">
        <v>0.98</v>
      </c>
      <c r="G135" s="36">
        <v>25.0</v>
      </c>
      <c r="H135" s="36">
        <v>1.33</v>
      </c>
      <c r="I135" s="36">
        <v>33.1</v>
      </c>
      <c r="J135" s="36">
        <v>66.6</v>
      </c>
      <c r="K135" s="36">
        <v>151.0</v>
      </c>
      <c r="L135" s="36">
        <v>27.5</v>
      </c>
      <c r="M135" s="36">
        <v>100.0</v>
      </c>
      <c r="N135" s="36">
        <v>47.0</v>
      </c>
      <c r="O135" s="36">
        <v>25.0</v>
      </c>
      <c r="P135" s="36">
        <v>69.0</v>
      </c>
      <c r="Q135" s="36">
        <v>0.35</v>
      </c>
      <c r="R135" s="36">
        <v>0.85</v>
      </c>
      <c r="S135" s="36">
        <v>1.55</v>
      </c>
      <c r="T135" s="36">
        <v>2.4</v>
      </c>
      <c r="U135" s="21">
        <f t="shared" si="1"/>
        <v>2400</v>
      </c>
      <c r="V135" s="21">
        <f t="shared" si="2"/>
        <v>36100</v>
      </c>
    </row>
    <row r="136" ht="14.25" customHeight="1">
      <c r="A136" s="38">
        <v>0.36736111111111114</v>
      </c>
      <c r="B136" s="36">
        <v>167.0</v>
      </c>
      <c r="C136" s="36">
        <v>27.1</v>
      </c>
      <c r="D136" s="36">
        <v>1408.0</v>
      </c>
      <c r="E136" s="36">
        <v>1376.0</v>
      </c>
      <c r="F136" s="36">
        <v>0.98</v>
      </c>
      <c r="G136" s="36">
        <v>27.0</v>
      </c>
      <c r="H136" s="36">
        <v>1.21</v>
      </c>
      <c r="I136" s="36">
        <v>32.8</v>
      </c>
      <c r="J136" s="36">
        <v>66.9</v>
      </c>
      <c r="K136" s="36">
        <v>152.0</v>
      </c>
      <c r="L136" s="36">
        <v>26.8</v>
      </c>
      <c r="M136" s="36">
        <v>100.0</v>
      </c>
      <c r="N136" s="36">
        <v>47.0</v>
      </c>
      <c r="O136" s="36">
        <v>27.0</v>
      </c>
      <c r="P136" s="36">
        <v>69.0</v>
      </c>
      <c r="Q136" s="36">
        <v>0.35</v>
      </c>
      <c r="R136" s="36">
        <v>0.77</v>
      </c>
      <c r="S136" s="36">
        <v>1.44</v>
      </c>
      <c r="T136" s="36">
        <v>2.21</v>
      </c>
      <c r="U136" s="21">
        <f t="shared" si="1"/>
        <v>2210</v>
      </c>
      <c r="V136" s="21">
        <f t="shared" si="2"/>
        <v>0</v>
      </c>
    </row>
    <row r="137" ht="14.25" customHeight="1">
      <c r="A137" s="38">
        <v>0.36875</v>
      </c>
      <c r="B137" s="36">
        <v>168.0</v>
      </c>
      <c r="C137" s="36">
        <v>27.1</v>
      </c>
      <c r="D137" s="36">
        <v>1408.0</v>
      </c>
      <c r="E137" s="36">
        <v>1376.0</v>
      </c>
      <c r="F137" s="36">
        <v>0.98</v>
      </c>
      <c r="G137" s="36">
        <v>27.0</v>
      </c>
      <c r="H137" s="36">
        <v>1.21</v>
      </c>
      <c r="I137" s="36">
        <v>32.8</v>
      </c>
      <c r="J137" s="36">
        <v>66.9</v>
      </c>
      <c r="K137" s="36">
        <v>153.0</v>
      </c>
      <c r="L137" s="36">
        <v>26.4</v>
      </c>
      <c r="M137" s="36">
        <v>100.0</v>
      </c>
      <c r="N137" s="36">
        <v>47.0</v>
      </c>
      <c r="O137" s="36">
        <v>27.0</v>
      </c>
      <c r="P137" s="36">
        <v>69.0</v>
      </c>
      <c r="Q137" s="36">
        <v>0.35</v>
      </c>
      <c r="R137" s="36">
        <v>0.77</v>
      </c>
      <c r="S137" s="36">
        <v>1.44</v>
      </c>
      <c r="T137" s="36">
        <v>2.21</v>
      </c>
      <c r="U137" s="21">
        <f t="shared" si="1"/>
        <v>2210</v>
      </c>
      <c r="V137" s="21">
        <f t="shared" si="2"/>
        <v>1600</v>
      </c>
    </row>
    <row r="138" ht="14.25" customHeight="1">
      <c r="A138" s="38">
        <v>0.37083333333333335</v>
      </c>
      <c r="B138" s="36">
        <v>169.0</v>
      </c>
      <c r="C138" s="36">
        <v>27.3</v>
      </c>
      <c r="D138" s="36">
        <v>1417.0</v>
      </c>
      <c r="E138" s="36">
        <v>1392.0</v>
      </c>
      <c r="F138" s="36">
        <v>0.98</v>
      </c>
      <c r="G138" s="36">
        <v>27.0</v>
      </c>
      <c r="H138" s="36">
        <v>1.25</v>
      </c>
      <c r="I138" s="36">
        <v>33.2</v>
      </c>
      <c r="J138" s="36">
        <v>66.5</v>
      </c>
      <c r="K138" s="36">
        <v>154.0</v>
      </c>
      <c r="L138" s="36">
        <v>25.9</v>
      </c>
      <c r="M138" s="36">
        <v>101.0</v>
      </c>
      <c r="N138" s="36">
        <v>47.0</v>
      </c>
      <c r="O138" s="36">
        <v>27.0</v>
      </c>
      <c r="P138" s="36">
        <v>69.0</v>
      </c>
      <c r="Q138" s="36">
        <v>0.35</v>
      </c>
      <c r="R138" s="36">
        <v>0.8</v>
      </c>
      <c r="S138" s="36">
        <v>1.45</v>
      </c>
      <c r="T138" s="36">
        <v>2.25</v>
      </c>
      <c r="U138" s="21">
        <f t="shared" si="1"/>
        <v>2250</v>
      </c>
      <c r="V138" s="21">
        <f t="shared" si="2"/>
        <v>6400</v>
      </c>
    </row>
    <row r="139" ht="14.25" customHeight="1">
      <c r="A139" s="38">
        <v>0.37222222222222223</v>
      </c>
      <c r="B139" s="36">
        <v>170.0</v>
      </c>
      <c r="C139" s="36">
        <v>26.9</v>
      </c>
      <c r="D139" s="36">
        <v>1399.0</v>
      </c>
      <c r="E139" s="36">
        <v>1380.0</v>
      </c>
      <c r="F139" s="36">
        <v>0.99</v>
      </c>
      <c r="G139" s="36">
        <v>28.0</v>
      </c>
      <c r="H139" s="36">
        <v>1.2</v>
      </c>
      <c r="I139" s="36">
        <v>33.3</v>
      </c>
      <c r="J139" s="36">
        <v>66.5</v>
      </c>
      <c r="K139" s="36">
        <v>155.0</v>
      </c>
      <c r="L139" s="36">
        <v>25.5</v>
      </c>
      <c r="M139" s="36">
        <v>101.0</v>
      </c>
      <c r="N139" s="36">
        <v>46.0</v>
      </c>
      <c r="O139" s="36">
        <v>28.0</v>
      </c>
      <c r="P139" s="36">
        <v>68.0</v>
      </c>
      <c r="Q139" s="36">
        <v>0.36</v>
      </c>
      <c r="R139" s="36">
        <v>0.78</v>
      </c>
      <c r="S139" s="36">
        <v>1.39</v>
      </c>
      <c r="T139" s="36">
        <v>2.17</v>
      </c>
      <c r="U139" s="21">
        <f t="shared" si="1"/>
        <v>2170</v>
      </c>
      <c r="V139" s="21">
        <f t="shared" si="2"/>
        <v>400</v>
      </c>
    </row>
    <row r="140" ht="14.25" customHeight="1">
      <c r="A140" s="38">
        <v>0.37430555555555556</v>
      </c>
      <c r="B140" s="36">
        <v>171.0</v>
      </c>
      <c r="C140" s="36">
        <v>26.7</v>
      </c>
      <c r="D140" s="36">
        <v>1390.0</v>
      </c>
      <c r="E140" s="36">
        <v>1362.0</v>
      </c>
      <c r="F140" s="36">
        <v>0.98</v>
      </c>
      <c r="G140" s="36">
        <v>28.0</v>
      </c>
      <c r="H140" s="36">
        <v>1.17</v>
      </c>
      <c r="I140" s="36">
        <v>32.5</v>
      </c>
      <c r="J140" s="36">
        <v>67.3</v>
      </c>
      <c r="K140" s="36">
        <v>155.0</v>
      </c>
      <c r="L140" s="36">
        <v>25.3</v>
      </c>
      <c r="M140" s="36">
        <v>100.0</v>
      </c>
      <c r="N140" s="36">
        <v>47.0</v>
      </c>
      <c r="O140" s="36">
        <v>28.0</v>
      </c>
      <c r="P140" s="36">
        <v>68.0</v>
      </c>
      <c r="Q140" s="36">
        <v>0.36</v>
      </c>
      <c r="R140" s="36">
        <v>0.77</v>
      </c>
      <c r="S140" s="36">
        <v>1.38</v>
      </c>
      <c r="T140" s="36">
        <v>2.15</v>
      </c>
      <c r="U140" s="21">
        <f t="shared" si="1"/>
        <v>2150</v>
      </c>
      <c r="V140" s="21">
        <f t="shared" si="2"/>
        <v>19600</v>
      </c>
    </row>
    <row r="141" ht="14.25" customHeight="1">
      <c r="A141" s="38">
        <v>0.37569444444444444</v>
      </c>
      <c r="B141" s="36">
        <v>172.0</v>
      </c>
      <c r="C141" s="36">
        <v>26.9</v>
      </c>
      <c r="D141" s="36">
        <v>1401.0</v>
      </c>
      <c r="E141" s="36">
        <v>1383.0</v>
      </c>
      <c r="F141" s="36">
        <v>0.99</v>
      </c>
      <c r="G141" s="36">
        <v>26.0</v>
      </c>
      <c r="H141" s="36">
        <v>1.25</v>
      </c>
      <c r="I141" s="36">
        <v>32.9</v>
      </c>
      <c r="J141" s="36">
        <v>66.8</v>
      </c>
      <c r="K141" s="36">
        <v>156.0</v>
      </c>
      <c r="L141" s="36">
        <v>24.9</v>
      </c>
      <c r="M141" s="36">
        <v>100.0</v>
      </c>
      <c r="N141" s="36">
        <v>47.0</v>
      </c>
      <c r="O141" s="36">
        <v>26.0</v>
      </c>
      <c r="P141" s="36">
        <v>68.0</v>
      </c>
      <c r="Q141" s="36">
        <v>0.36</v>
      </c>
      <c r="R141" s="36">
        <v>0.82</v>
      </c>
      <c r="S141" s="36">
        <v>1.46</v>
      </c>
      <c r="T141" s="36">
        <v>2.29</v>
      </c>
      <c r="U141" s="21">
        <f t="shared" si="1"/>
        <v>2290</v>
      </c>
      <c r="V141" s="21">
        <f t="shared" si="2"/>
        <v>4900</v>
      </c>
    </row>
    <row r="142" ht="14.25" customHeight="1">
      <c r="A142" s="38">
        <v>0.3770833333333333</v>
      </c>
      <c r="B142" s="36">
        <v>173.0</v>
      </c>
      <c r="C142" s="36">
        <v>27.2</v>
      </c>
      <c r="D142" s="36">
        <v>1414.0</v>
      </c>
      <c r="E142" s="36">
        <v>1389.0</v>
      </c>
      <c r="F142" s="36">
        <v>0.98</v>
      </c>
      <c r="G142" s="36">
        <v>27.0</v>
      </c>
      <c r="H142" s="36">
        <v>1.21</v>
      </c>
      <c r="I142" s="36">
        <v>32.7</v>
      </c>
      <c r="J142" s="36">
        <v>67.0</v>
      </c>
      <c r="K142" s="36">
        <v>156.0</v>
      </c>
      <c r="L142" s="36">
        <v>24.9</v>
      </c>
      <c r="M142" s="36">
        <v>100.0</v>
      </c>
      <c r="N142" s="36">
        <v>47.0</v>
      </c>
      <c r="O142" s="36">
        <v>27.0</v>
      </c>
      <c r="P142" s="36">
        <v>69.0</v>
      </c>
      <c r="Q142" s="36">
        <v>0.35</v>
      </c>
      <c r="R142" s="36">
        <v>0.79</v>
      </c>
      <c r="S142" s="36">
        <v>1.44</v>
      </c>
      <c r="T142" s="36">
        <v>2.22</v>
      </c>
      <c r="U142" s="21">
        <f t="shared" si="1"/>
        <v>2220</v>
      </c>
      <c r="V142" s="21">
        <f t="shared" si="2"/>
        <v>3600</v>
      </c>
    </row>
    <row r="143" ht="14.25" customHeight="1">
      <c r="A143" s="38">
        <v>0.37916666666666665</v>
      </c>
      <c r="B143" s="36">
        <v>174.0</v>
      </c>
      <c r="C143" s="36">
        <v>26.7</v>
      </c>
      <c r="D143" s="36">
        <v>1386.0</v>
      </c>
      <c r="E143" s="36">
        <v>1353.0</v>
      </c>
      <c r="F143" s="36">
        <v>0.98</v>
      </c>
      <c r="G143" s="36">
        <v>26.0</v>
      </c>
      <c r="H143" s="36">
        <v>1.19</v>
      </c>
      <c r="I143" s="36">
        <v>31.5</v>
      </c>
      <c r="J143" s="36">
        <v>68.3</v>
      </c>
      <c r="K143" s="36">
        <v>156.0</v>
      </c>
      <c r="L143" s="36">
        <v>24.9</v>
      </c>
      <c r="M143" s="36">
        <v>99.0</v>
      </c>
      <c r="N143" s="36">
        <v>48.0</v>
      </c>
      <c r="O143" s="36">
        <v>26.0</v>
      </c>
      <c r="P143" s="36">
        <v>67.0</v>
      </c>
      <c r="Q143" s="36">
        <v>0.36</v>
      </c>
      <c r="R143" s="36">
        <v>0.83</v>
      </c>
      <c r="S143" s="36">
        <v>1.45</v>
      </c>
      <c r="T143" s="36">
        <v>2.28</v>
      </c>
      <c r="U143" s="21">
        <f t="shared" si="1"/>
        <v>2280</v>
      </c>
      <c r="V143" s="21">
        <f t="shared" si="2"/>
        <v>22500</v>
      </c>
    </row>
    <row r="144" ht="14.25" customHeight="1">
      <c r="A144" s="38">
        <v>0.38125</v>
      </c>
      <c r="B144" s="36">
        <v>175.0</v>
      </c>
      <c r="C144" s="36">
        <v>27.6</v>
      </c>
      <c r="D144" s="36">
        <v>1433.0</v>
      </c>
      <c r="E144" s="36">
        <v>1402.0</v>
      </c>
      <c r="F144" s="36">
        <v>0.98</v>
      </c>
      <c r="G144" s="36">
        <v>25.0</v>
      </c>
      <c r="H144" s="36">
        <v>1.32</v>
      </c>
      <c r="I144" s="36">
        <v>32.6</v>
      </c>
      <c r="J144" s="36">
        <v>67.1</v>
      </c>
      <c r="K144" s="36">
        <v>156.0</v>
      </c>
      <c r="L144" s="36">
        <v>24.9</v>
      </c>
      <c r="M144" s="36">
        <v>99.0</v>
      </c>
      <c r="N144" s="36">
        <v>48.0</v>
      </c>
      <c r="O144" s="36">
        <v>25.0</v>
      </c>
      <c r="P144" s="36">
        <v>70.0</v>
      </c>
      <c r="Q144" s="36">
        <v>0.36</v>
      </c>
      <c r="R144" s="36">
        <v>0.88</v>
      </c>
      <c r="S144" s="36">
        <v>1.56</v>
      </c>
      <c r="T144" s="36">
        <v>2.43</v>
      </c>
      <c r="U144" s="21">
        <f t="shared" si="1"/>
        <v>2430</v>
      </c>
      <c r="V144" s="21">
        <f t="shared" si="2"/>
        <v>1600</v>
      </c>
    </row>
    <row r="145" ht="14.25" customHeight="1">
      <c r="A145" s="38">
        <v>0.38263888888888886</v>
      </c>
      <c r="B145" s="36">
        <v>176.0</v>
      </c>
      <c r="C145" s="36">
        <v>28.3</v>
      </c>
      <c r="D145" s="36">
        <v>1470.0</v>
      </c>
      <c r="E145" s="36">
        <v>1424.0</v>
      </c>
      <c r="F145" s="36">
        <v>0.97</v>
      </c>
      <c r="G145" s="36">
        <v>25.0</v>
      </c>
      <c r="H145" s="36">
        <v>1.29</v>
      </c>
      <c r="I145" s="36">
        <v>32.4</v>
      </c>
      <c r="J145" s="36">
        <v>67.4</v>
      </c>
      <c r="K145" s="36">
        <v>158.0</v>
      </c>
      <c r="L145" s="36">
        <v>24.1</v>
      </c>
      <c r="M145" s="36">
        <v>98.0</v>
      </c>
      <c r="N145" s="36">
        <v>49.0</v>
      </c>
      <c r="O145" s="36">
        <v>25.0</v>
      </c>
      <c r="P145" s="36">
        <v>72.0</v>
      </c>
      <c r="Q145" s="36">
        <v>0.36</v>
      </c>
      <c r="R145" s="36">
        <v>0.86</v>
      </c>
      <c r="S145" s="36">
        <v>1.53</v>
      </c>
      <c r="T145" s="36">
        <v>2.39</v>
      </c>
      <c r="U145" s="21">
        <f t="shared" si="1"/>
        <v>2390</v>
      </c>
      <c r="V145" s="21">
        <f t="shared" si="2"/>
        <v>2500</v>
      </c>
    </row>
    <row r="146" ht="14.25" customHeight="1">
      <c r="A146" s="38">
        <v>0.38472222222222224</v>
      </c>
      <c r="B146" s="36">
        <v>177.0</v>
      </c>
      <c r="C146" s="36">
        <v>29.4</v>
      </c>
      <c r="D146" s="36">
        <v>1530.0</v>
      </c>
      <c r="E146" s="36">
        <v>1492.0</v>
      </c>
      <c r="F146" s="36">
        <v>0.98</v>
      </c>
      <c r="G146" s="36">
        <v>25.0</v>
      </c>
      <c r="H146" s="36">
        <v>1.39</v>
      </c>
      <c r="I146" s="36">
        <v>34.0</v>
      </c>
      <c r="J146" s="36">
        <v>65.7</v>
      </c>
      <c r="K146" s="36">
        <v>159.0</v>
      </c>
      <c r="L146" s="36">
        <v>23.5</v>
      </c>
      <c r="M146" s="36">
        <v>99.0</v>
      </c>
      <c r="N146" s="36">
        <v>48.0</v>
      </c>
      <c r="O146" s="36">
        <v>25.0</v>
      </c>
      <c r="P146" s="36">
        <v>74.0</v>
      </c>
      <c r="Q146" s="36">
        <v>0.36</v>
      </c>
      <c r="R146" s="36">
        <v>0.88</v>
      </c>
      <c r="S146" s="36">
        <v>1.57</v>
      </c>
      <c r="T146" s="36">
        <v>2.44</v>
      </c>
      <c r="U146" s="21">
        <f t="shared" si="1"/>
        <v>2440</v>
      </c>
      <c r="V146" s="21">
        <f t="shared" si="2"/>
        <v>25600</v>
      </c>
    </row>
    <row r="147" ht="14.25" customHeight="1">
      <c r="A147" s="38">
        <v>0.3861111111111111</v>
      </c>
      <c r="B147" s="36">
        <v>178.0</v>
      </c>
      <c r="C147" s="36">
        <v>30.2</v>
      </c>
      <c r="D147" s="36">
        <v>1571.0</v>
      </c>
      <c r="E147" s="36">
        <v>1547.0</v>
      </c>
      <c r="F147" s="36">
        <v>0.98</v>
      </c>
      <c r="G147" s="36">
        <v>26.0</v>
      </c>
      <c r="H147" s="36">
        <v>1.35</v>
      </c>
      <c r="I147" s="36">
        <v>35.5</v>
      </c>
      <c r="J147" s="36">
        <v>64.2</v>
      </c>
      <c r="K147" s="36">
        <v>160.0</v>
      </c>
      <c r="L147" s="36">
        <v>22.9</v>
      </c>
      <c r="M147" s="36">
        <v>99.0</v>
      </c>
      <c r="N147" s="36">
        <v>48.0</v>
      </c>
      <c r="O147" s="36">
        <v>26.0</v>
      </c>
      <c r="P147" s="36">
        <v>76.0</v>
      </c>
      <c r="Q147" s="36">
        <v>0.36</v>
      </c>
      <c r="R147" s="36">
        <v>0.81</v>
      </c>
      <c r="S147" s="36">
        <v>1.47</v>
      </c>
      <c r="T147" s="36">
        <v>2.28</v>
      </c>
      <c r="U147" s="21">
        <f t="shared" si="1"/>
        <v>2280</v>
      </c>
      <c r="V147" s="21">
        <f t="shared" si="2"/>
        <v>1600</v>
      </c>
    </row>
    <row r="148" ht="14.25" customHeight="1">
      <c r="A148" s="38">
        <v>0.3875</v>
      </c>
      <c r="B148" s="36">
        <v>178.0</v>
      </c>
      <c r="C148" s="36">
        <v>31.0</v>
      </c>
      <c r="D148" s="36">
        <v>1610.0</v>
      </c>
      <c r="E148" s="36">
        <v>1585.0</v>
      </c>
      <c r="F148" s="36">
        <v>0.98</v>
      </c>
      <c r="G148" s="36">
        <v>26.0</v>
      </c>
      <c r="H148" s="36">
        <v>1.41</v>
      </c>
      <c r="I148" s="36">
        <v>36.3</v>
      </c>
      <c r="J148" s="36">
        <v>63.4</v>
      </c>
      <c r="K148" s="36">
        <v>162.0</v>
      </c>
      <c r="L148" s="36">
        <v>22.3</v>
      </c>
      <c r="M148" s="36">
        <v>99.0</v>
      </c>
      <c r="N148" s="36">
        <v>48.0</v>
      </c>
      <c r="O148" s="36">
        <v>26.0</v>
      </c>
      <c r="P148" s="36">
        <v>78.0</v>
      </c>
      <c r="Q148" s="36">
        <v>0.37</v>
      </c>
      <c r="R148" s="36">
        <v>0.85</v>
      </c>
      <c r="S148" s="36">
        <v>1.47</v>
      </c>
      <c r="T148" s="36">
        <v>2.32</v>
      </c>
      <c r="U148" s="21">
        <f t="shared" si="1"/>
        <v>2320</v>
      </c>
      <c r="V148" s="21">
        <f t="shared" si="2"/>
        <v>2500</v>
      </c>
    </row>
    <row r="149" ht="14.25" customHeight="1">
      <c r="A149" s="38">
        <v>0.3888888888888889</v>
      </c>
      <c r="B149" s="36">
        <v>180.0</v>
      </c>
      <c r="C149" s="36">
        <v>31.5</v>
      </c>
      <c r="D149" s="36">
        <v>1638.0</v>
      </c>
      <c r="E149" s="36">
        <v>1631.0</v>
      </c>
      <c r="F149" s="36">
        <v>1.0</v>
      </c>
      <c r="G149" s="36">
        <v>26.0</v>
      </c>
      <c r="H149" s="36">
        <v>1.42</v>
      </c>
      <c r="I149" s="36">
        <v>37.6</v>
      </c>
      <c r="J149" s="36">
        <v>62.1</v>
      </c>
      <c r="K149" s="36">
        <v>163.0</v>
      </c>
      <c r="L149" s="36">
        <v>21.8</v>
      </c>
      <c r="M149" s="36">
        <v>100.0</v>
      </c>
      <c r="N149" s="36">
        <v>48.0</v>
      </c>
      <c r="O149" s="36">
        <v>26.0</v>
      </c>
      <c r="P149" s="36">
        <v>80.0</v>
      </c>
      <c r="Q149" s="36">
        <v>0.37</v>
      </c>
      <c r="R149" s="36">
        <v>0.85</v>
      </c>
      <c r="S149" s="36">
        <v>1.42</v>
      </c>
      <c r="T149" s="36">
        <v>2.27</v>
      </c>
      <c r="U149" s="21">
        <f t="shared" si="1"/>
        <v>2270</v>
      </c>
    </row>
    <row r="150" ht="14.25" customHeight="1">
      <c r="A150" s="36" t="s">
        <v>80</v>
      </c>
      <c r="U150" s="21">
        <f t="shared" si="1"/>
        <v>0</v>
      </c>
    </row>
    <row r="151" ht="14.25" customHeight="1">
      <c r="A151" s="38">
        <v>0.3902777777777778</v>
      </c>
      <c r="B151" s="36">
        <v>180.0</v>
      </c>
      <c r="C151" s="36">
        <v>31.0</v>
      </c>
      <c r="D151" s="36">
        <v>1612.0</v>
      </c>
      <c r="E151" s="36">
        <v>1643.0</v>
      </c>
      <c r="F151" s="36">
        <v>1.02</v>
      </c>
      <c r="G151" s="36">
        <v>27.0</v>
      </c>
      <c r="H151" s="36">
        <v>1.45</v>
      </c>
      <c r="I151" s="36">
        <v>38.7</v>
      </c>
      <c r="J151" s="36">
        <v>61.0</v>
      </c>
      <c r="K151" s="36">
        <v>163.0</v>
      </c>
      <c r="L151" s="36">
        <v>21.8</v>
      </c>
      <c r="M151" s="36">
        <v>102.0</v>
      </c>
      <c r="N151" s="36">
        <v>47.0</v>
      </c>
      <c r="O151" s="36">
        <v>27.0</v>
      </c>
      <c r="P151" s="36">
        <v>78.0</v>
      </c>
      <c r="Q151" s="36">
        <v>0.37</v>
      </c>
      <c r="R151" s="36">
        <v>0.83</v>
      </c>
      <c r="S151" s="36">
        <v>1.42</v>
      </c>
      <c r="T151" s="36">
        <v>2.25</v>
      </c>
      <c r="U151" s="21">
        <f t="shared" si="1"/>
        <v>2250</v>
      </c>
      <c r="V151" s="21">
        <f t="shared" ref="V151:V173" si="3">(U151-U152)^2</f>
        <v>78400</v>
      </c>
      <c r="W151" s="21">
        <f>SQRT(AVERAGE(V151:V174))</f>
        <v>106.546581</v>
      </c>
    </row>
    <row r="152" ht="14.25" customHeight="1">
      <c r="A152" s="38">
        <v>0.3923611111111111</v>
      </c>
      <c r="B152" s="36">
        <v>182.0</v>
      </c>
      <c r="C152" s="36">
        <v>31.0</v>
      </c>
      <c r="D152" s="36">
        <v>1610.0</v>
      </c>
      <c r="E152" s="36">
        <v>1677.0</v>
      </c>
      <c r="F152" s="36">
        <v>1.04</v>
      </c>
      <c r="G152" s="36">
        <v>27.0</v>
      </c>
      <c r="H152" s="36">
        <v>1.48</v>
      </c>
      <c r="I152" s="36">
        <v>39.9</v>
      </c>
      <c r="J152" s="36">
        <v>59.8</v>
      </c>
      <c r="K152" s="36">
        <v>163.0</v>
      </c>
      <c r="L152" s="36">
        <v>21.4</v>
      </c>
      <c r="M152" s="36">
        <v>103.0</v>
      </c>
      <c r="N152" s="36">
        <v>47.0</v>
      </c>
      <c r="O152" s="36">
        <v>27.0</v>
      </c>
      <c r="P152" s="36">
        <v>78.0</v>
      </c>
      <c r="Q152" s="36">
        <v>0.36</v>
      </c>
      <c r="R152" s="36">
        <v>0.81</v>
      </c>
      <c r="S152" s="36">
        <v>1.42</v>
      </c>
      <c r="T152" s="4">
        <v>2.53</v>
      </c>
      <c r="U152" s="21">
        <f t="shared" si="1"/>
        <v>2530</v>
      </c>
      <c r="V152" s="21">
        <f t="shared" si="3"/>
        <v>96100</v>
      </c>
    </row>
    <row r="153" ht="14.25" customHeight="1">
      <c r="A153" s="38">
        <v>0.39375</v>
      </c>
      <c r="B153" s="36">
        <v>182.0</v>
      </c>
      <c r="C153" s="36">
        <v>31.7</v>
      </c>
      <c r="D153" s="36">
        <v>1651.0</v>
      </c>
      <c r="E153" s="36">
        <v>1709.0</v>
      </c>
      <c r="F153" s="36">
        <v>1.03</v>
      </c>
      <c r="G153" s="36">
        <v>27.0</v>
      </c>
      <c r="H153" s="36">
        <v>1.51</v>
      </c>
      <c r="I153" s="36">
        <v>40.8</v>
      </c>
      <c r="J153" s="36">
        <v>58.9</v>
      </c>
      <c r="K153" s="36">
        <v>163.0</v>
      </c>
      <c r="L153" s="36">
        <v>21.4</v>
      </c>
      <c r="M153" s="36">
        <v>103.0</v>
      </c>
      <c r="N153" s="36">
        <v>47.0</v>
      </c>
      <c r="O153" s="36">
        <v>27.0</v>
      </c>
      <c r="P153" s="36">
        <v>80.0</v>
      </c>
      <c r="Q153" s="36">
        <v>0.37</v>
      </c>
      <c r="R153" s="36">
        <v>0.82</v>
      </c>
      <c r="S153" s="36">
        <v>1.4</v>
      </c>
      <c r="T153" s="36">
        <v>2.22</v>
      </c>
      <c r="U153" s="21">
        <f t="shared" si="1"/>
        <v>2220</v>
      </c>
      <c r="V153" s="21">
        <f t="shared" si="3"/>
        <v>8100</v>
      </c>
    </row>
    <row r="154" ht="14.25" customHeight="1">
      <c r="A154" s="38">
        <v>0.3951388888888889</v>
      </c>
      <c r="B154" s="36">
        <v>183.0</v>
      </c>
      <c r="C154" s="36">
        <v>31.4</v>
      </c>
      <c r="D154" s="36">
        <v>1631.0</v>
      </c>
      <c r="E154" s="36">
        <v>1713.0</v>
      </c>
      <c r="F154" s="36">
        <v>1.05</v>
      </c>
      <c r="G154" s="36">
        <v>28.0</v>
      </c>
      <c r="H154" s="36">
        <v>1.47</v>
      </c>
      <c r="I154" s="36">
        <v>41.3</v>
      </c>
      <c r="J154" s="36">
        <v>58.4</v>
      </c>
      <c r="K154" s="36">
        <v>164.0</v>
      </c>
      <c r="L154" s="36">
        <v>21.0</v>
      </c>
      <c r="M154" s="36">
        <v>103.0</v>
      </c>
      <c r="N154" s="36">
        <v>47.0</v>
      </c>
      <c r="O154" s="36">
        <v>28.0</v>
      </c>
      <c r="P154" s="36">
        <v>79.0</v>
      </c>
      <c r="Q154" s="36">
        <v>0.36</v>
      </c>
      <c r="R154" s="36">
        <v>0.77</v>
      </c>
      <c r="S154" s="36">
        <v>1.36</v>
      </c>
      <c r="T154" s="36">
        <v>2.13</v>
      </c>
      <c r="U154" s="21">
        <f t="shared" si="1"/>
        <v>2130</v>
      </c>
      <c r="V154" s="21">
        <f t="shared" si="3"/>
        <v>6400</v>
      </c>
    </row>
    <row r="155" ht="14.25" customHeight="1">
      <c r="A155" s="38">
        <v>0.39652777777777776</v>
      </c>
      <c r="B155" s="36">
        <v>184.0</v>
      </c>
      <c r="C155" s="36">
        <v>31.1</v>
      </c>
      <c r="D155" s="36">
        <v>1617.0</v>
      </c>
      <c r="E155" s="36">
        <v>1710.0</v>
      </c>
      <c r="F155" s="36">
        <v>1.06</v>
      </c>
      <c r="G155" s="36">
        <v>27.0</v>
      </c>
      <c r="H155" s="36">
        <v>1.52</v>
      </c>
      <c r="I155" s="36">
        <v>41.2</v>
      </c>
      <c r="J155" s="36">
        <v>58.5</v>
      </c>
      <c r="K155" s="36">
        <v>165.0</v>
      </c>
      <c r="L155" s="36">
        <v>20.6</v>
      </c>
      <c r="M155" s="36">
        <v>103.0</v>
      </c>
      <c r="N155" s="36">
        <v>47.0</v>
      </c>
      <c r="O155" s="36">
        <v>27.0</v>
      </c>
      <c r="P155" s="36">
        <v>79.0</v>
      </c>
      <c r="Q155" s="36">
        <v>0.36</v>
      </c>
      <c r="R155" s="36">
        <v>0.79</v>
      </c>
      <c r="S155" s="36">
        <v>1.42</v>
      </c>
      <c r="T155" s="36">
        <v>2.21</v>
      </c>
      <c r="U155" s="21">
        <f t="shared" si="1"/>
        <v>2210</v>
      </c>
      <c r="V155" s="21">
        <f t="shared" si="3"/>
        <v>14400</v>
      </c>
    </row>
    <row r="156" ht="14.25" customHeight="1">
      <c r="A156" s="38">
        <v>0.39791666666666664</v>
      </c>
      <c r="B156" s="36">
        <v>185.0</v>
      </c>
      <c r="C156" s="36">
        <v>30.4</v>
      </c>
      <c r="D156" s="36">
        <v>1580.0</v>
      </c>
      <c r="E156" s="36">
        <v>1697.0</v>
      </c>
      <c r="F156" s="36">
        <v>1.07</v>
      </c>
      <c r="G156" s="36">
        <v>29.0</v>
      </c>
      <c r="H156" s="36">
        <v>1.41</v>
      </c>
      <c r="I156" s="36">
        <v>40.5</v>
      </c>
      <c r="J156" s="36">
        <v>59.2</v>
      </c>
      <c r="K156" s="36">
        <v>165.0</v>
      </c>
      <c r="L156" s="36">
        <v>20.6</v>
      </c>
      <c r="M156" s="36">
        <v>103.0</v>
      </c>
      <c r="N156" s="36">
        <v>47.0</v>
      </c>
      <c r="O156" s="36">
        <v>29.0</v>
      </c>
      <c r="P156" s="36">
        <v>77.0</v>
      </c>
      <c r="Q156" s="36">
        <v>0.35</v>
      </c>
      <c r="R156" s="36">
        <v>0.73</v>
      </c>
      <c r="S156" s="36">
        <v>1.36</v>
      </c>
      <c r="T156" s="36">
        <v>2.09</v>
      </c>
      <c r="U156" s="21">
        <f t="shared" si="1"/>
        <v>2090</v>
      </c>
      <c r="V156" s="21">
        <f t="shared" si="3"/>
        <v>8100</v>
      </c>
    </row>
    <row r="157" ht="14.25" customHeight="1">
      <c r="A157" s="38">
        <v>0.3993055555555556</v>
      </c>
      <c r="B157" s="36">
        <v>186.0</v>
      </c>
      <c r="C157" s="36">
        <v>31.3</v>
      </c>
      <c r="D157" s="36">
        <v>1627.0</v>
      </c>
      <c r="E157" s="36">
        <v>1754.0</v>
      </c>
      <c r="F157" s="36">
        <v>1.08</v>
      </c>
      <c r="G157" s="36">
        <v>27.0</v>
      </c>
      <c r="H157" s="36">
        <v>1.51</v>
      </c>
      <c r="I157" s="36">
        <v>41.5</v>
      </c>
      <c r="J157" s="36">
        <v>58.2</v>
      </c>
      <c r="K157" s="36">
        <v>166.0</v>
      </c>
      <c r="L157" s="36">
        <v>20.3</v>
      </c>
      <c r="M157" s="36">
        <v>102.0</v>
      </c>
      <c r="N157" s="36">
        <v>47.0</v>
      </c>
      <c r="O157" s="36">
        <v>27.0</v>
      </c>
      <c r="P157" s="36">
        <v>79.0</v>
      </c>
      <c r="Q157" s="36">
        <v>0.36</v>
      </c>
      <c r="R157" s="36">
        <v>0.78</v>
      </c>
      <c r="S157" s="36">
        <v>1.4</v>
      </c>
      <c r="T157" s="36">
        <v>2.18</v>
      </c>
      <c r="U157" s="21">
        <f t="shared" si="1"/>
        <v>2180</v>
      </c>
      <c r="V157" s="21">
        <f t="shared" si="3"/>
        <v>3600</v>
      </c>
    </row>
    <row r="158" ht="14.25" customHeight="1">
      <c r="A158" s="38">
        <v>0.40069444444444446</v>
      </c>
      <c r="B158" s="36">
        <v>187.0</v>
      </c>
      <c r="C158" s="36">
        <v>32.0</v>
      </c>
      <c r="D158" s="36">
        <v>1663.0</v>
      </c>
      <c r="E158" s="36">
        <v>1785.0</v>
      </c>
      <c r="F158" s="36">
        <v>1.07</v>
      </c>
      <c r="G158" s="36">
        <v>28.0</v>
      </c>
      <c r="H158" s="36">
        <v>1.48</v>
      </c>
      <c r="I158" s="36">
        <v>42.0</v>
      </c>
      <c r="J158" s="36">
        <v>57.7</v>
      </c>
      <c r="K158" s="36">
        <v>167.0</v>
      </c>
      <c r="L158" s="36">
        <v>19.9</v>
      </c>
      <c r="M158" s="36">
        <v>102.0</v>
      </c>
      <c r="N158" s="36">
        <v>48.0</v>
      </c>
      <c r="O158" s="36">
        <v>28.0</v>
      </c>
      <c r="P158" s="36">
        <v>81.0</v>
      </c>
      <c r="Q158" s="36">
        <v>0.36</v>
      </c>
      <c r="R158" s="36">
        <v>0.76</v>
      </c>
      <c r="S158" s="36">
        <v>1.36</v>
      </c>
      <c r="T158" s="36">
        <v>2.12</v>
      </c>
      <c r="U158" s="21">
        <f t="shared" si="1"/>
        <v>2120</v>
      </c>
      <c r="V158" s="21">
        <f t="shared" si="3"/>
        <v>4900</v>
      </c>
    </row>
    <row r="159" ht="14.25" customHeight="1">
      <c r="A159" s="38">
        <v>0.40208333333333335</v>
      </c>
      <c r="B159" s="36">
        <v>188.0</v>
      </c>
      <c r="C159" s="36">
        <v>32.8</v>
      </c>
      <c r="D159" s="36">
        <v>1706.0</v>
      </c>
      <c r="E159" s="36">
        <v>1813.0</v>
      </c>
      <c r="F159" s="36">
        <v>1.06</v>
      </c>
      <c r="G159" s="36">
        <v>29.0</v>
      </c>
      <c r="H159" s="36">
        <v>1.45</v>
      </c>
      <c r="I159" s="36">
        <v>42.5</v>
      </c>
      <c r="J159" s="36">
        <v>57.1</v>
      </c>
      <c r="K159" s="36">
        <v>167.0</v>
      </c>
      <c r="L159" s="36">
        <v>19.9</v>
      </c>
      <c r="M159" s="36">
        <v>102.0</v>
      </c>
      <c r="N159" s="36">
        <v>47.0</v>
      </c>
      <c r="O159" s="36">
        <v>29.0</v>
      </c>
      <c r="P159" s="36">
        <v>83.0</v>
      </c>
      <c r="Q159" s="36">
        <v>0.36</v>
      </c>
      <c r="R159" s="36">
        <v>0.74</v>
      </c>
      <c r="S159" s="36">
        <v>1.31</v>
      </c>
      <c r="T159" s="36">
        <v>2.05</v>
      </c>
      <c r="U159" s="21">
        <f t="shared" si="1"/>
        <v>2050</v>
      </c>
      <c r="V159" s="21">
        <f t="shared" si="3"/>
        <v>900</v>
      </c>
    </row>
    <row r="160" ht="14.25" customHeight="1">
      <c r="A160" s="38">
        <v>0.40347222222222223</v>
      </c>
      <c r="B160" s="36">
        <v>188.0</v>
      </c>
      <c r="C160" s="36">
        <v>32.7</v>
      </c>
      <c r="D160" s="36">
        <v>1701.0</v>
      </c>
      <c r="E160" s="36">
        <v>1811.0</v>
      </c>
      <c r="F160" s="36">
        <v>1.06</v>
      </c>
      <c r="G160" s="36">
        <v>30.0</v>
      </c>
      <c r="H160" s="36">
        <v>1.43</v>
      </c>
      <c r="I160" s="36">
        <v>42.5</v>
      </c>
      <c r="J160" s="36">
        <v>57.2</v>
      </c>
      <c r="K160" s="36">
        <v>167.0</v>
      </c>
      <c r="L160" s="36">
        <v>19.9</v>
      </c>
      <c r="M160" s="36">
        <v>102.0</v>
      </c>
      <c r="N160" s="36">
        <v>47.0</v>
      </c>
      <c r="O160" s="36">
        <v>30.0</v>
      </c>
      <c r="P160" s="36">
        <v>83.0</v>
      </c>
      <c r="Q160" s="36">
        <v>0.36</v>
      </c>
      <c r="R160" s="36">
        <v>0.72</v>
      </c>
      <c r="S160" s="36">
        <v>1.3</v>
      </c>
      <c r="T160" s="36">
        <v>2.02</v>
      </c>
      <c r="U160" s="21">
        <f t="shared" si="1"/>
        <v>2020</v>
      </c>
      <c r="V160" s="21">
        <f t="shared" si="3"/>
        <v>1600</v>
      </c>
    </row>
    <row r="161" ht="14.25" customHeight="1">
      <c r="A161" s="38">
        <v>0.4048611111111111</v>
      </c>
      <c r="B161" s="36">
        <v>189.0</v>
      </c>
      <c r="C161" s="36">
        <v>33.7</v>
      </c>
      <c r="D161" s="36">
        <v>1753.0</v>
      </c>
      <c r="E161" s="36">
        <v>1852.0</v>
      </c>
      <c r="F161" s="36">
        <v>1.06</v>
      </c>
      <c r="G161" s="36">
        <v>30.0</v>
      </c>
      <c r="H161" s="36">
        <v>1.43</v>
      </c>
      <c r="I161" s="36">
        <v>43.2</v>
      </c>
      <c r="J161" s="36">
        <v>56.4</v>
      </c>
      <c r="K161" s="36">
        <v>167.0</v>
      </c>
      <c r="L161" s="36">
        <v>19.9</v>
      </c>
      <c r="M161" s="36">
        <v>102.0</v>
      </c>
      <c r="N161" s="36">
        <v>47.0</v>
      </c>
      <c r="O161" s="36">
        <v>30.0</v>
      </c>
      <c r="P161" s="36">
        <v>85.0</v>
      </c>
      <c r="Q161" s="36">
        <v>0.36</v>
      </c>
      <c r="R161" s="36">
        <v>0.71</v>
      </c>
      <c r="S161" s="36">
        <v>1.27</v>
      </c>
      <c r="T161" s="36">
        <v>1.98</v>
      </c>
      <c r="U161" s="21">
        <f t="shared" si="1"/>
        <v>1980</v>
      </c>
      <c r="V161" s="21">
        <f t="shared" si="3"/>
        <v>1600</v>
      </c>
    </row>
    <row r="162" ht="14.25" customHeight="1">
      <c r="A162" s="38">
        <v>0.40625</v>
      </c>
      <c r="B162" s="36">
        <v>190.0</v>
      </c>
      <c r="C162" s="36">
        <v>34.5</v>
      </c>
      <c r="D162" s="36">
        <v>1796.0</v>
      </c>
      <c r="E162" s="36">
        <v>1879.0</v>
      </c>
      <c r="F162" s="36">
        <v>1.05</v>
      </c>
      <c r="G162" s="36">
        <v>31.0</v>
      </c>
      <c r="H162" s="36">
        <v>1.43</v>
      </c>
      <c r="I162" s="36">
        <v>44.3</v>
      </c>
      <c r="J162" s="36">
        <v>55.4</v>
      </c>
      <c r="K162" s="36">
        <v>166.0</v>
      </c>
      <c r="L162" s="36">
        <v>20.1</v>
      </c>
      <c r="M162" s="36">
        <v>103.0</v>
      </c>
      <c r="N162" s="36">
        <v>47.0</v>
      </c>
      <c r="O162" s="36">
        <v>31.0</v>
      </c>
      <c r="P162" s="36">
        <v>87.0</v>
      </c>
      <c r="Q162" s="36">
        <v>0.35</v>
      </c>
      <c r="R162" s="36">
        <v>0.69</v>
      </c>
      <c r="S162" s="36">
        <v>1.25</v>
      </c>
      <c r="T162" s="36">
        <v>1.94</v>
      </c>
      <c r="U162" s="21">
        <f t="shared" si="1"/>
        <v>1940</v>
      </c>
      <c r="V162" s="21">
        <f t="shared" si="3"/>
        <v>100</v>
      </c>
    </row>
    <row r="163" ht="14.25" customHeight="1">
      <c r="A163" s="38">
        <v>0.4076388888888889</v>
      </c>
      <c r="B163" s="36">
        <v>191.0</v>
      </c>
      <c r="C163" s="36">
        <v>34.7</v>
      </c>
      <c r="D163" s="36">
        <v>1807.0</v>
      </c>
      <c r="E163" s="36">
        <v>1907.0</v>
      </c>
      <c r="F163" s="36">
        <v>1.06</v>
      </c>
      <c r="G163" s="36">
        <v>31.0</v>
      </c>
      <c r="H163" s="36">
        <v>1.46</v>
      </c>
      <c r="I163" s="36">
        <v>45.5</v>
      </c>
      <c r="J163" s="36">
        <v>54.1</v>
      </c>
      <c r="K163" s="36">
        <v>167.0</v>
      </c>
      <c r="L163" s="36">
        <v>19.7</v>
      </c>
      <c r="M163" s="36">
        <v>104.0</v>
      </c>
      <c r="N163" s="36">
        <v>46.0</v>
      </c>
      <c r="O163" s="36">
        <v>31.0</v>
      </c>
      <c r="P163" s="36">
        <v>88.0</v>
      </c>
      <c r="Q163" s="36">
        <v>0.35</v>
      </c>
      <c r="R163" s="36">
        <v>0.68</v>
      </c>
      <c r="S163" s="36">
        <v>1.25</v>
      </c>
      <c r="T163" s="36">
        <v>1.93</v>
      </c>
      <c r="U163" s="21">
        <f t="shared" si="1"/>
        <v>1930</v>
      </c>
      <c r="V163" s="21">
        <f t="shared" si="3"/>
        <v>6400</v>
      </c>
    </row>
    <row r="164" ht="14.25" customHeight="1">
      <c r="A164" s="38">
        <v>0.40902777777777777</v>
      </c>
      <c r="B164" s="36">
        <v>191.0</v>
      </c>
      <c r="C164" s="36">
        <v>34.5</v>
      </c>
      <c r="D164" s="36">
        <v>1792.0</v>
      </c>
      <c r="E164" s="36">
        <v>1900.0</v>
      </c>
      <c r="F164" s="36">
        <v>1.06</v>
      </c>
      <c r="G164" s="36">
        <v>32.0</v>
      </c>
      <c r="H164" s="36">
        <v>1.42</v>
      </c>
      <c r="I164" s="36">
        <v>45.8</v>
      </c>
      <c r="J164" s="36">
        <v>53.8</v>
      </c>
      <c r="K164" s="36">
        <v>169.0</v>
      </c>
      <c r="L164" s="36">
        <v>18.7</v>
      </c>
      <c r="M164" s="36">
        <v>104.0</v>
      </c>
      <c r="N164" s="36">
        <v>46.0</v>
      </c>
      <c r="O164" s="36">
        <v>32.0</v>
      </c>
      <c r="P164" s="36">
        <v>87.0</v>
      </c>
      <c r="Q164" s="36">
        <v>0.35</v>
      </c>
      <c r="R164" s="36">
        <v>0.64</v>
      </c>
      <c r="S164" s="36">
        <v>1.21</v>
      </c>
      <c r="T164" s="36">
        <v>1.85</v>
      </c>
      <c r="U164" s="21">
        <f t="shared" si="1"/>
        <v>1850</v>
      </c>
      <c r="V164" s="21">
        <f t="shared" si="3"/>
        <v>900</v>
      </c>
    </row>
    <row r="165" ht="14.25" customHeight="1">
      <c r="A165" s="38">
        <v>0.4097222222222222</v>
      </c>
      <c r="B165" s="36">
        <v>192.0</v>
      </c>
      <c r="C165" s="36">
        <v>34.7</v>
      </c>
      <c r="D165" s="36">
        <v>1806.0</v>
      </c>
      <c r="E165" s="36">
        <v>1911.0</v>
      </c>
      <c r="F165" s="36">
        <v>1.06</v>
      </c>
      <c r="G165" s="36">
        <v>33.0</v>
      </c>
      <c r="H165" s="36">
        <v>1.39</v>
      </c>
      <c r="I165" s="36">
        <v>45.9</v>
      </c>
      <c r="J165" s="36">
        <v>53.7</v>
      </c>
      <c r="K165" s="36">
        <v>172.0</v>
      </c>
      <c r="L165" s="36">
        <v>17.5</v>
      </c>
      <c r="M165" s="36">
        <v>104.0</v>
      </c>
      <c r="N165" s="36">
        <v>46.0</v>
      </c>
      <c r="O165" s="36">
        <v>33.0</v>
      </c>
      <c r="P165" s="36">
        <v>88.0</v>
      </c>
      <c r="Q165" s="36">
        <v>0.34</v>
      </c>
      <c r="R165" s="36">
        <v>0.62</v>
      </c>
      <c r="S165" s="36">
        <v>1.19</v>
      </c>
      <c r="T165" s="36">
        <v>1.82</v>
      </c>
      <c r="U165" s="21">
        <f t="shared" si="1"/>
        <v>1820</v>
      </c>
      <c r="V165" s="21">
        <f t="shared" si="3"/>
        <v>900</v>
      </c>
    </row>
    <row r="166" ht="14.25" customHeight="1">
      <c r="A166" s="38">
        <v>0.41180555555555554</v>
      </c>
      <c r="B166" s="36">
        <v>193.0</v>
      </c>
      <c r="C166" s="36">
        <v>35.1</v>
      </c>
      <c r="D166" s="36">
        <v>1824.0</v>
      </c>
      <c r="E166" s="36">
        <v>1955.0</v>
      </c>
      <c r="F166" s="36">
        <v>1.07</v>
      </c>
      <c r="G166" s="36">
        <v>33.0</v>
      </c>
      <c r="H166" s="36">
        <v>1.45</v>
      </c>
      <c r="I166" s="36">
        <v>47.1</v>
      </c>
      <c r="J166" s="36">
        <v>52.6</v>
      </c>
      <c r="K166" s="36">
        <v>176.0</v>
      </c>
      <c r="L166" s="36">
        <v>15.4</v>
      </c>
      <c r="M166" s="36">
        <v>105.0</v>
      </c>
      <c r="N166" s="36">
        <v>46.0</v>
      </c>
      <c r="O166" s="36">
        <v>33.0</v>
      </c>
      <c r="P166" s="36">
        <v>89.0</v>
      </c>
      <c r="Q166" s="36">
        <v>0.34</v>
      </c>
      <c r="R166" s="36">
        <v>0.64</v>
      </c>
      <c r="S166" s="36">
        <v>1.21</v>
      </c>
      <c r="T166" s="36">
        <v>1.85</v>
      </c>
      <c r="U166" s="21">
        <f t="shared" si="1"/>
        <v>1850</v>
      </c>
      <c r="V166" s="21">
        <f t="shared" si="3"/>
        <v>900</v>
      </c>
    </row>
    <row r="167" ht="14.25" customHeight="1">
      <c r="A167" s="38">
        <v>0.4125</v>
      </c>
      <c r="B167" s="36">
        <v>194.0</v>
      </c>
      <c r="C167" s="36">
        <v>34.8</v>
      </c>
      <c r="D167" s="36">
        <v>1811.0</v>
      </c>
      <c r="E167" s="36">
        <v>1955.0</v>
      </c>
      <c r="F167" s="36">
        <v>1.08</v>
      </c>
      <c r="G167" s="36">
        <v>32.0</v>
      </c>
      <c r="H167" s="36">
        <v>1.49</v>
      </c>
      <c r="I167" s="36">
        <v>47.3</v>
      </c>
      <c r="J167" s="36">
        <v>52.3</v>
      </c>
      <c r="K167" s="36">
        <v>178.0</v>
      </c>
      <c r="L167" s="36">
        <v>14.4</v>
      </c>
      <c r="M167" s="36">
        <v>105.0</v>
      </c>
      <c r="N167" s="36">
        <v>46.0</v>
      </c>
      <c r="O167" s="36">
        <v>32.0</v>
      </c>
      <c r="P167" s="36">
        <v>88.0</v>
      </c>
      <c r="Q167" s="36">
        <v>0.35</v>
      </c>
      <c r="R167" s="36">
        <v>0.67</v>
      </c>
      <c r="S167" s="36">
        <v>1.22</v>
      </c>
      <c r="T167" s="36">
        <v>1.88</v>
      </c>
      <c r="U167" s="21">
        <f t="shared" si="1"/>
        <v>1880</v>
      </c>
      <c r="V167" s="21">
        <f t="shared" si="3"/>
        <v>0</v>
      </c>
    </row>
    <row r="168" ht="14.25" customHeight="1">
      <c r="A168" s="38">
        <v>0.41388888888888886</v>
      </c>
      <c r="B168" s="36">
        <v>195.0</v>
      </c>
      <c r="C168" s="36">
        <v>34.8</v>
      </c>
      <c r="D168" s="36">
        <v>1811.0</v>
      </c>
      <c r="E168" s="36">
        <v>1955.0</v>
      </c>
      <c r="F168" s="36">
        <v>1.08</v>
      </c>
      <c r="G168" s="36">
        <v>32.0</v>
      </c>
      <c r="H168" s="36">
        <v>1.49</v>
      </c>
      <c r="I168" s="36">
        <v>47.3</v>
      </c>
      <c r="J168" s="36">
        <v>52.3</v>
      </c>
      <c r="K168" s="36">
        <v>178.0</v>
      </c>
      <c r="L168" s="36">
        <v>14.4</v>
      </c>
      <c r="M168" s="36">
        <v>105.0</v>
      </c>
      <c r="N168" s="36">
        <v>46.0</v>
      </c>
      <c r="O168" s="36">
        <v>32.0</v>
      </c>
      <c r="P168" s="36">
        <v>88.0</v>
      </c>
      <c r="Q168" s="36">
        <v>0.35</v>
      </c>
      <c r="R168" s="36">
        <v>0.67</v>
      </c>
      <c r="S168" s="36">
        <v>1.22</v>
      </c>
      <c r="T168" s="36">
        <v>1.88</v>
      </c>
      <c r="U168" s="21">
        <f t="shared" si="1"/>
        <v>1880</v>
      </c>
      <c r="V168" s="21">
        <f t="shared" si="3"/>
        <v>14400</v>
      </c>
    </row>
    <row r="169" ht="14.25" customHeight="1">
      <c r="A169" s="38">
        <v>0.4152777777777778</v>
      </c>
      <c r="B169" s="36">
        <v>195.0</v>
      </c>
      <c r="C169" s="36">
        <v>34.7</v>
      </c>
      <c r="D169" s="36">
        <v>1806.0</v>
      </c>
      <c r="E169" s="36">
        <v>1959.0</v>
      </c>
      <c r="F169" s="36">
        <v>1.08</v>
      </c>
      <c r="G169" s="36">
        <v>30.0</v>
      </c>
      <c r="H169" s="36">
        <v>1.57</v>
      </c>
      <c r="I169" s="36">
        <v>47.2</v>
      </c>
      <c r="J169" s="36">
        <v>52.5</v>
      </c>
      <c r="K169" s="36">
        <v>178.0</v>
      </c>
      <c r="L169" s="36">
        <v>14.4</v>
      </c>
      <c r="M169" s="36">
        <v>105.0</v>
      </c>
      <c r="N169" s="36">
        <v>46.0</v>
      </c>
      <c r="O169" s="36">
        <v>30.0</v>
      </c>
      <c r="P169" s="36">
        <v>88.0</v>
      </c>
      <c r="Q169" s="36">
        <v>0.36</v>
      </c>
      <c r="R169" s="36">
        <v>0.73</v>
      </c>
      <c r="S169" s="36">
        <v>1.27</v>
      </c>
      <c r="T169" s="36">
        <v>2.0</v>
      </c>
      <c r="U169" s="21">
        <f t="shared" si="1"/>
        <v>2000</v>
      </c>
      <c r="V169" s="21">
        <f t="shared" si="3"/>
        <v>3600</v>
      </c>
    </row>
    <row r="170" ht="14.25" customHeight="1">
      <c r="A170" s="38">
        <v>0.4173611111111111</v>
      </c>
      <c r="B170" s="36">
        <v>197.0</v>
      </c>
      <c r="C170" s="36">
        <v>34.9</v>
      </c>
      <c r="D170" s="36">
        <v>1815.0</v>
      </c>
      <c r="E170" s="36">
        <v>1975.0</v>
      </c>
      <c r="F170" s="36">
        <v>1.09</v>
      </c>
      <c r="G170" s="36">
        <v>29.0</v>
      </c>
      <c r="H170" s="36">
        <v>1.61</v>
      </c>
      <c r="I170" s="36">
        <v>47.1</v>
      </c>
      <c r="J170" s="36">
        <v>52.5</v>
      </c>
      <c r="K170" s="36">
        <v>179.0</v>
      </c>
      <c r="L170" s="36">
        <v>14.2</v>
      </c>
      <c r="M170" s="36">
        <v>105.0</v>
      </c>
      <c r="N170" s="36">
        <v>46.0</v>
      </c>
      <c r="O170" s="36">
        <v>29.0</v>
      </c>
      <c r="P170" s="36">
        <v>88.0</v>
      </c>
      <c r="Q170" s="36">
        <v>0.37</v>
      </c>
      <c r="R170" s="36">
        <v>0.77</v>
      </c>
      <c r="S170" s="36">
        <v>1.29</v>
      </c>
      <c r="T170" s="36">
        <v>2.06</v>
      </c>
      <c r="U170" s="21">
        <f t="shared" si="1"/>
        <v>2060</v>
      </c>
      <c r="V170" s="21">
        <f t="shared" si="3"/>
        <v>2500</v>
      </c>
    </row>
    <row r="171" ht="14.25" customHeight="1">
      <c r="A171" s="38">
        <v>0.41805555555555557</v>
      </c>
      <c r="B171" s="36">
        <v>198.0</v>
      </c>
      <c r="C171" s="36">
        <v>35.4</v>
      </c>
      <c r="D171" s="36">
        <v>1840.0</v>
      </c>
      <c r="E171" s="36">
        <v>2009.0</v>
      </c>
      <c r="F171" s="36">
        <v>1.09</v>
      </c>
      <c r="G171" s="36">
        <v>30.0</v>
      </c>
      <c r="H171" s="36">
        <v>1.6</v>
      </c>
      <c r="I171" s="36">
        <v>47.9</v>
      </c>
      <c r="J171" s="36">
        <v>51.7</v>
      </c>
      <c r="K171" s="36">
        <v>176.0</v>
      </c>
      <c r="L171" s="36">
        <v>15.4</v>
      </c>
      <c r="M171" s="36">
        <v>105.0</v>
      </c>
      <c r="N171" s="36">
        <v>46.0</v>
      </c>
      <c r="O171" s="36">
        <v>30.0</v>
      </c>
      <c r="P171" s="36">
        <v>89.0</v>
      </c>
      <c r="Q171" s="36">
        <v>0.37</v>
      </c>
      <c r="R171" s="36">
        <v>0.74</v>
      </c>
      <c r="S171" s="36">
        <v>1.27</v>
      </c>
      <c r="T171" s="36">
        <v>2.01</v>
      </c>
      <c r="U171" s="21">
        <f t="shared" si="1"/>
        <v>2010</v>
      </c>
      <c r="V171" s="21">
        <f t="shared" si="3"/>
        <v>900</v>
      </c>
    </row>
    <row r="172" ht="14.25" customHeight="1">
      <c r="A172" s="38">
        <v>0.41944444444444445</v>
      </c>
      <c r="B172" s="36">
        <v>198.0</v>
      </c>
      <c r="C172" s="36">
        <v>35.2</v>
      </c>
      <c r="D172" s="36">
        <v>1832.0</v>
      </c>
      <c r="E172" s="36">
        <v>1998.0</v>
      </c>
      <c r="F172" s="36">
        <v>1.09</v>
      </c>
      <c r="G172" s="36">
        <v>30.0</v>
      </c>
      <c r="H172" s="36">
        <v>1.57</v>
      </c>
      <c r="I172" s="36">
        <v>47.6</v>
      </c>
      <c r="J172" s="36">
        <v>52.0</v>
      </c>
      <c r="K172" s="36">
        <v>176.0</v>
      </c>
      <c r="L172" s="36">
        <v>15.4</v>
      </c>
      <c r="M172" s="36">
        <v>105.0</v>
      </c>
      <c r="N172" s="36">
        <v>47.0</v>
      </c>
      <c r="O172" s="36">
        <v>30.0</v>
      </c>
      <c r="P172" s="36">
        <v>89.0</v>
      </c>
      <c r="Q172" s="36">
        <v>0.37</v>
      </c>
      <c r="R172" s="36">
        <v>0.73</v>
      </c>
      <c r="S172" s="36">
        <v>1.25</v>
      </c>
      <c r="T172" s="36">
        <v>1.98</v>
      </c>
      <c r="U172" s="21">
        <f t="shared" si="1"/>
        <v>1980</v>
      </c>
      <c r="V172" s="21">
        <f t="shared" si="3"/>
        <v>6400</v>
      </c>
    </row>
    <row r="173" ht="14.25" customHeight="1">
      <c r="A173" s="38">
        <v>0.42083333333333334</v>
      </c>
      <c r="B173" s="36">
        <v>199.0</v>
      </c>
      <c r="C173" s="36">
        <v>35.1</v>
      </c>
      <c r="D173" s="36">
        <v>1827.0</v>
      </c>
      <c r="E173" s="36">
        <v>1995.0</v>
      </c>
      <c r="F173" s="36">
        <v>1.09</v>
      </c>
      <c r="G173" s="36">
        <v>32.0</v>
      </c>
      <c r="H173" s="36">
        <v>1.51</v>
      </c>
      <c r="I173" s="36">
        <v>47.6</v>
      </c>
      <c r="J173" s="36">
        <v>52.0</v>
      </c>
      <c r="K173" s="36">
        <v>170.0</v>
      </c>
      <c r="L173" s="36">
        <v>18.5</v>
      </c>
      <c r="M173" s="36">
        <v>105.0</v>
      </c>
      <c r="N173" s="36">
        <v>47.0</v>
      </c>
      <c r="O173" s="36">
        <v>32.0</v>
      </c>
      <c r="P173" s="36">
        <v>89.0</v>
      </c>
      <c r="Q173" s="36">
        <v>0.37</v>
      </c>
      <c r="R173" s="36">
        <v>0.71</v>
      </c>
      <c r="S173" s="36">
        <v>1.2</v>
      </c>
      <c r="T173" s="36">
        <v>1.9</v>
      </c>
      <c r="U173" s="21">
        <f t="shared" si="1"/>
        <v>1900</v>
      </c>
      <c r="V173" s="21">
        <f t="shared" si="3"/>
        <v>0</v>
      </c>
    </row>
    <row r="174" ht="14.25" customHeight="1">
      <c r="A174" s="38">
        <v>0.4222222222222222</v>
      </c>
      <c r="B174" s="36">
        <v>200.0</v>
      </c>
      <c r="C174" s="36">
        <v>35.3</v>
      </c>
      <c r="D174" s="36">
        <v>1838.0</v>
      </c>
      <c r="E174" s="36">
        <v>2022.0</v>
      </c>
      <c r="F174" s="36">
        <v>1.1</v>
      </c>
      <c r="G174" s="36">
        <v>32.0</v>
      </c>
      <c r="H174" s="36">
        <v>1.54</v>
      </c>
      <c r="I174" s="36">
        <v>48.7</v>
      </c>
      <c r="J174" s="36">
        <v>50.9</v>
      </c>
      <c r="K174" s="36">
        <v>170.0</v>
      </c>
      <c r="L174" s="36">
        <v>18.5</v>
      </c>
      <c r="M174" s="36">
        <v>105.0</v>
      </c>
      <c r="N174" s="36">
        <v>46.0</v>
      </c>
      <c r="O174" s="36">
        <v>32.0</v>
      </c>
      <c r="P174" s="36">
        <v>89.0</v>
      </c>
      <c r="Q174" s="36">
        <v>0.37</v>
      </c>
      <c r="R174" s="36">
        <v>0.69</v>
      </c>
      <c r="S174" s="36">
        <v>1.2</v>
      </c>
      <c r="T174" s="36">
        <v>1.9</v>
      </c>
      <c r="U174" s="21">
        <f t="shared" si="1"/>
        <v>1900</v>
      </c>
    </row>
    <row r="175" ht="14.25" customHeight="1">
      <c r="A175" s="36" t="s">
        <v>81</v>
      </c>
      <c r="U175" s="21">
        <f t="shared" si="1"/>
        <v>0</v>
      </c>
    </row>
    <row r="176" ht="14.25" customHeight="1">
      <c r="A176" s="38">
        <v>0.4236111111111111</v>
      </c>
      <c r="B176" s="36">
        <v>200.0</v>
      </c>
      <c r="C176" s="36">
        <v>35.3</v>
      </c>
      <c r="D176" s="36">
        <v>1838.0</v>
      </c>
      <c r="E176" s="36">
        <v>2022.0</v>
      </c>
      <c r="F176" s="36">
        <v>1.1</v>
      </c>
      <c r="G176" s="36">
        <v>32.0</v>
      </c>
      <c r="H176" s="36">
        <v>1.54</v>
      </c>
      <c r="I176" s="36">
        <v>48.7</v>
      </c>
      <c r="J176" s="36">
        <v>50.9</v>
      </c>
      <c r="K176" s="36">
        <v>170.0</v>
      </c>
      <c r="L176" s="36">
        <v>18.3</v>
      </c>
      <c r="M176" s="36">
        <v>105.0</v>
      </c>
      <c r="N176" s="36">
        <v>46.0</v>
      </c>
      <c r="O176" s="36">
        <v>32.0</v>
      </c>
      <c r="P176" s="36">
        <v>89.0</v>
      </c>
      <c r="Q176" s="36">
        <v>0.37</v>
      </c>
      <c r="R176" s="36">
        <v>0.69</v>
      </c>
      <c r="S176" s="36">
        <v>1.2</v>
      </c>
      <c r="T176" s="36">
        <v>1.9</v>
      </c>
      <c r="U176" s="21">
        <f t="shared" si="1"/>
        <v>1900</v>
      </c>
      <c r="V176" s="21">
        <f t="shared" ref="V176:V189" si="4">(U176-U177)^2</f>
        <v>0</v>
      </c>
      <c r="W176" s="21">
        <f>SQRT(AVERAGE(V176:V192))</f>
        <v>67.2216483</v>
      </c>
    </row>
    <row r="177" ht="14.25" customHeight="1">
      <c r="A177" s="38">
        <v>0.425</v>
      </c>
      <c r="B177" s="36">
        <v>201.0</v>
      </c>
      <c r="C177" s="36">
        <v>36.5</v>
      </c>
      <c r="D177" s="36">
        <v>1898.0</v>
      </c>
      <c r="E177" s="36">
        <v>2094.0</v>
      </c>
      <c r="F177" s="36">
        <v>1.1</v>
      </c>
      <c r="G177" s="36">
        <v>32.0</v>
      </c>
      <c r="H177" s="36">
        <v>1.6</v>
      </c>
      <c r="I177" s="36">
        <v>50.4</v>
      </c>
      <c r="J177" s="36">
        <v>49.2</v>
      </c>
      <c r="K177" s="36">
        <v>170.0</v>
      </c>
      <c r="L177" s="36">
        <v>18.0</v>
      </c>
      <c r="M177" s="36">
        <v>105.0</v>
      </c>
      <c r="N177" s="36">
        <v>46.0</v>
      </c>
      <c r="O177" s="36">
        <v>32.0</v>
      </c>
      <c r="P177" s="36">
        <v>92.0</v>
      </c>
      <c r="Q177" s="36">
        <v>0.37</v>
      </c>
      <c r="R177" s="36">
        <v>0.71</v>
      </c>
      <c r="S177" s="36">
        <v>1.2</v>
      </c>
      <c r="T177" s="36">
        <v>1.9</v>
      </c>
      <c r="U177" s="21">
        <f t="shared" si="1"/>
        <v>1900</v>
      </c>
      <c r="V177" s="21">
        <f t="shared" si="4"/>
        <v>0</v>
      </c>
    </row>
    <row r="178" ht="14.25" customHeight="1">
      <c r="A178" s="38">
        <v>0.42569444444444443</v>
      </c>
      <c r="B178" s="36">
        <v>202.0</v>
      </c>
      <c r="C178" s="36">
        <v>36.9</v>
      </c>
      <c r="D178" s="36">
        <v>1920.0</v>
      </c>
      <c r="E178" s="36">
        <v>2130.0</v>
      </c>
      <c r="F178" s="36">
        <v>1.11</v>
      </c>
      <c r="G178" s="36">
        <v>34.0</v>
      </c>
      <c r="H178" s="36">
        <v>1.51</v>
      </c>
      <c r="I178" s="36">
        <v>52.2</v>
      </c>
      <c r="J178" s="36">
        <v>47.4</v>
      </c>
      <c r="K178" s="36">
        <v>168.0</v>
      </c>
      <c r="L178" s="36">
        <v>19.2</v>
      </c>
      <c r="M178" s="36">
        <v>106.0</v>
      </c>
      <c r="N178" s="36">
        <v>46.0</v>
      </c>
      <c r="O178" s="36">
        <v>34.0</v>
      </c>
      <c r="P178" s="36">
        <v>93.0</v>
      </c>
      <c r="Q178" s="36">
        <v>0.36</v>
      </c>
      <c r="R178" s="36">
        <v>0.63</v>
      </c>
      <c r="S178" s="36">
        <v>1.11</v>
      </c>
      <c r="T178" s="4">
        <v>1.9</v>
      </c>
      <c r="U178" s="21">
        <f t="shared" si="1"/>
        <v>1900</v>
      </c>
      <c r="V178" s="21">
        <f t="shared" si="4"/>
        <v>10000</v>
      </c>
    </row>
    <row r="179" ht="14.25" customHeight="1">
      <c r="A179" s="38">
        <v>0.4270833333333333</v>
      </c>
      <c r="B179" s="36">
        <v>203.0</v>
      </c>
      <c r="C179" s="36">
        <v>37.5</v>
      </c>
      <c r="D179" s="36">
        <v>1952.0</v>
      </c>
      <c r="E179" s="36">
        <v>2182.0</v>
      </c>
      <c r="F179" s="36">
        <v>1.12</v>
      </c>
      <c r="G179" s="36">
        <v>35.0</v>
      </c>
      <c r="H179" s="36">
        <v>1.54</v>
      </c>
      <c r="I179" s="36">
        <v>54.0</v>
      </c>
      <c r="J179" s="36">
        <v>45.6</v>
      </c>
      <c r="K179" s="36">
        <v>170.0</v>
      </c>
      <c r="L179" s="36">
        <v>18.5</v>
      </c>
      <c r="M179" s="36">
        <v>107.0</v>
      </c>
      <c r="N179" s="36">
        <v>45.0</v>
      </c>
      <c r="O179" s="36">
        <v>35.0</v>
      </c>
      <c r="P179" s="36">
        <v>95.0</v>
      </c>
      <c r="Q179" s="36">
        <v>0.36</v>
      </c>
      <c r="R179" s="36">
        <v>0.61</v>
      </c>
      <c r="S179" s="36">
        <v>1.1</v>
      </c>
      <c r="T179" s="4">
        <v>1.8</v>
      </c>
      <c r="U179" s="21">
        <f t="shared" si="1"/>
        <v>1800</v>
      </c>
      <c r="V179" s="21">
        <f t="shared" si="4"/>
        <v>10000</v>
      </c>
    </row>
    <row r="180" ht="14.25" customHeight="1">
      <c r="A180" s="38">
        <v>0.42777777777777776</v>
      </c>
      <c r="B180" s="36">
        <v>203.0</v>
      </c>
      <c r="C180" s="36">
        <v>38.4</v>
      </c>
      <c r="D180" s="36">
        <v>1996.0</v>
      </c>
      <c r="E180" s="36">
        <v>2242.0</v>
      </c>
      <c r="F180" s="36">
        <v>1.12</v>
      </c>
      <c r="G180" s="36">
        <v>36.0</v>
      </c>
      <c r="H180" s="36">
        <v>1.54</v>
      </c>
      <c r="I180" s="36">
        <v>55.7</v>
      </c>
      <c r="J180" s="36">
        <v>43.8</v>
      </c>
      <c r="K180" s="36">
        <v>171.0</v>
      </c>
      <c r="L180" s="36">
        <v>17.6</v>
      </c>
      <c r="M180" s="36">
        <v>107.0</v>
      </c>
      <c r="N180" s="36">
        <v>45.0</v>
      </c>
      <c r="O180" s="36">
        <v>36.0</v>
      </c>
      <c r="P180" s="36">
        <v>97.0</v>
      </c>
      <c r="Q180" s="36">
        <v>0.36</v>
      </c>
      <c r="R180" s="36">
        <v>0.6</v>
      </c>
      <c r="S180" s="36">
        <v>1.06</v>
      </c>
      <c r="T180" s="4">
        <v>1.7</v>
      </c>
      <c r="U180" s="21">
        <f t="shared" si="1"/>
        <v>1700</v>
      </c>
      <c r="V180" s="21">
        <f t="shared" si="4"/>
        <v>400</v>
      </c>
    </row>
    <row r="181" ht="14.25" customHeight="1">
      <c r="A181" s="38">
        <v>0.42916666666666664</v>
      </c>
      <c r="B181" s="36">
        <v>204.0</v>
      </c>
      <c r="C181" s="36">
        <v>38.3</v>
      </c>
      <c r="D181" s="36">
        <v>1993.0</v>
      </c>
      <c r="E181" s="36">
        <v>2265.0</v>
      </c>
      <c r="F181" s="36">
        <v>1.14</v>
      </c>
      <c r="G181" s="36">
        <v>35.0</v>
      </c>
      <c r="H181" s="36">
        <v>1.62</v>
      </c>
      <c r="I181" s="36">
        <v>56.7</v>
      </c>
      <c r="J181" s="36">
        <v>42.9</v>
      </c>
      <c r="K181" s="36">
        <v>171.0</v>
      </c>
      <c r="L181" s="36">
        <v>17.6</v>
      </c>
      <c r="M181" s="36">
        <v>108.0</v>
      </c>
      <c r="N181" s="36">
        <v>45.0</v>
      </c>
      <c r="O181" s="36">
        <v>35.0</v>
      </c>
      <c r="P181" s="36">
        <v>97.0</v>
      </c>
      <c r="Q181" s="36">
        <v>0.37</v>
      </c>
      <c r="R181" s="36">
        <v>0.64</v>
      </c>
      <c r="S181" s="36">
        <v>1.08</v>
      </c>
      <c r="T181" s="36">
        <v>1.72</v>
      </c>
      <c r="U181" s="21">
        <f t="shared" si="1"/>
        <v>1720</v>
      </c>
      <c r="V181" s="21">
        <f t="shared" si="4"/>
        <v>400</v>
      </c>
    </row>
    <row r="182" ht="14.25" customHeight="1">
      <c r="A182" s="38">
        <v>0.4305555555555556</v>
      </c>
      <c r="B182" s="36">
        <v>205.0</v>
      </c>
      <c r="C182" s="36">
        <v>39.1</v>
      </c>
      <c r="D182" s="36">
        <v>2034.0</v>
      </c>
      <c r="E182" s="36">
        <v>2305.0</v>
      </c>
      <c r="F182" s="36">
        <v>1.13</v>
      </c>
      <c r="G182" s="36">
        <v>37.0</v>
      </c>
      <c r="H182" s="36">
        <v>1.57</v>
      </c>
      <c r="I182" s="36">
        <v>57.8</v>
      </c>
      <c r="J182" s="36">
        <v>41.7</v>
      </c>
      <c r="K182" s="36">
        <v>171.0</v>
      </c>
      <c r="L182" s="36">
        <v>17.6</v>
      </c>
      <c r="M182" s="36">
        <v>108.0</v>
      </c>
      <c r="N182" s="36">
        <v>45.0</v>
      </c>
      <c r="O182" s="36">
        <v>37.0</v>
      </c>
      <c r="P182" s="36">
        <v>99.0</v>
      </c>
      <c r="Q182" s="36">
        <v>0.37</v>
      </c>
      <c r="R182" s="36">
        <v>0.6</v>
      </c>
      <c r="S182" s="36">
        <v>1.03</v>
      </c>
      <c r="T182" s="4">
        <v>1.7</v>
      </c>
      <c r="U182" s="21">
        <f t="shared" si="1"/>
        <v>1700</v>
      </c>
      <c r="V182" s="21">
        <f t="shared" si="4"/>
        <v>32400</v>
      </c>
    </row>
    <row r="183" ht="14.25" customHeight="1">
      <c r="A183" s="38">
        <v>0.43125</v>
      </c>
      <c r="B183" s="36">
        <v>205.0</v>
      </c>
      <c r="C183" s="36">
        <v>38.7</v>
      </c>
      <c r="D183" s="36">
        <v>2012.0</v>
      </c>
      <c r="E183" s="36">
        <v>2309.0</v>
      </c>
      <c r="F183" s="36">
        <v>1.15</v>
      </c>
      <c r="G183" s="36">
        <v>39.0</v>
      </c>
      <c r="H183" s="36">
        <v>1.49</v>
      </c>
      <c r="I183" s="36">
        <v>59.0</v>
      </c>
      <c r="J183" s="36">
        <v>40.6</v>
      </c>
      <c r="K183" s="36">
        <v>171.0</v>
      </c>
      <c r="L183" s="36">
        <v>17.8</v>
      </c>
      <c r="M183" s="36">
        <v>109.0</v>
      </c>
      <c r="N183" s="36">
        <v>44.0</v>
      </c>
      <c r="O183" s="36">
        <v>39.0</v>
      </c>
      <c r="P183" s="36">
        <v>98.0</v>
      </c>
      <c r="Q183" s="36">
        <v>0.36</v>
      </c>
      <c r="R183" s="36">
        <v>0.54</v>
      </c>
      <c r="S183" s="36">
        <v>0.98</v>
      </c>
      <c r="T183" s="36">
        <v>1.52</v>
      </c>
      <c r="U183" s="21">
        <f t="shared" si="1"/>
        <v>1520</v>
      </c>
      <c r="V183" s="21">
        <f t="shared" si="4"/>
        <v>8100</v>
      </c>
    </row>
    <row r="184" ht="14.25" customHeight="1">
      <c r="A184" s="38">
        <v>0.4326388888888889</v>
      </c>
      <c r="B184" s="36">
        <v>206.0</v>
      </c>
      <c r="C184" s="36">
        <v>37.9</v>
      </c>
      <c r="D184" s="36">
        <v>1972.0</v>
      </c>
      <c r="E184" s="36">
        <v>2267.0</v>
      </c>
      <c r="F184" s="36">
        <v>1.15</v>
      </c>
      <c r="G184" s="36">
        <v>37.0</v>
      </c>
      <c r="H184" s="36">
        <v>1.55</v>
      </c>
      <c r="I184" s="36">
        <v>57.7</v>
      </c>
      <c r="J184" s="36">
        <v>41.8</v>
      </c>
      <c r="K184" s="36">
        <v>178.0</v>
      </c>
      <c r="L184" s="36">
        <v>14.4</v>
      </c>
      <c r="M184" s="36">
        <v>109.0</v>
      </c>
      <c r="N184" s="36">
        <v>44.0</v>
      </c>
      <c r="O184" s="36">
        <v>37.0</v>
      </c>
      <c r="P184" s="36">
        <v>96.0</v>
      </c>
      <c r="Q184" s="36">
        <v>0.36</v>
      </c>
      <c r="R184" s="36">
        <v>0.58</v>
      </c>
      <c r="S184" s="36">
        <v>1.03</v>
      </c>
      <c r="T184" s="36">
        <v>1.61</v>
      </c>
      <c r="U184" s="21">
        <f t="shared" si="1"/>
        <v>1610</v>
      </c>
      <c r="V184" s="21">
        <f t="shared" si="4"/>
        <v>3600</v>
      </c>
    </row>
    <row r="185" ht="14.25" customHeight="1">
      <c r="A185" s="38">
        <v>0.4340277777777778</v>
      </c>
      <c r="B185" s="36">
        <v>207.0</v>
      </c>
      <c r="C185" s="36">
        <v>37.7</v>
      </c>
      <c r="D185" s="36">
        <v>1960.0</v>
      </c>
      <c r="E185" s="36">
        <v>2255.0</v>
      </c>
      <c r="F185" s="36">
        <v>1.15</v>
      </c>
      <c r="G185" s="36">
        <v>36.0</v>
      </c>
      <c r="H185" s="36">
        <v>1.59</v>
      </c>
      <c r="I185" s="36">
        <v>56.9</v>
      </c>
      <c r="J185" s="36">
        <v>42.6</v>
      </c>
      <c r="K185" s="36">
        <v>177.0</v>
      </c>
      <c r="L185" s="36">
        <v>14.9</v>
      </c>
      <c r="M185" s="36">
        <v>108.0</v>
      </c>
      <c r="N185" s="36">
        <v>45.0</v>
      </c>
      <c r="O185" s="36">
        <v>36.0</v>
      </c>
      <c r="P185" s="36">
        <v>95.0</v>
      </c>
      <c r="Q185" s="36">
        <v>0.36</v>
      </c>
      <c r="R185" s="36">
        <v>0.61</v>
      </c>
      <c r="S185" s="36">
        <v>1.06</v>
      </c>
      <c r="T185" s="36">
        <v>1.67</v>
      </c>
      <c r="U185" s="21">
        <f t="shared" si="1"/>
        <v>1670</v>
      </c>
      <c r="V185" s="21">
        <f t="shared" si="4"/>
        <v>0</v>
      </c>
    </row>
    <row r="186" ht="14.25" customHeight="1">
      <c r="A186" s="38">
        <v>0.43472222222222223</v>
      </c>
      <c r="B186" s="36">
        <v>208.0</v>
      </c>
      <c r="C186" s="36">
        <v>37.8</v>
      </c>
      <c r="D186" s="36">
        <v>1965.0</v>
      </c>
      <c r="E186" s="36">
        <v>2264.0</v>
      </c>
      <c r="F186" s="36">
        <v>1.15</v>
      </c>
      <c r="G186" s="36">
        <v>36.0</v>
      </c>
      <c r="H186" s="36">
        <v>1.58</v>
      </c>
      <c r="I186" s="36">
        <v>57.0</v>
      </c>
      <c r="J186" s="36">
        <v>42.5</v>
      </c>
      <c r="K186" s="36">
        <v>177.0</v>
      </c>
      <c r="L186" s="36">
        <v>14.9</v>
      </c>
      <c r="M186" s="36">
        <v>108.0</v>
      </c>
      <c r="N186" s="36">
        <v>45.0</v>
      </c>
      <c r="O186" s="36">
        <v>36.0</v>
      </c>
      <c r="P186" s="36">
        <v>96.0</v>
      </c>
      <c r="Q186" s="36">
        <v>0.38</v>
      </c>
      <c r="R186" s="36">
        <v>0.63</v>
      </c>
      <c r="S186" s="36">
        <v>1.04</v>
      </c>
      <c r="T186" s="36">
        <v>1.67</v>
      </c>
      <c r="U186" s="21">
        <f t="shared" si="1"/>
        <v>1670</v>
      </c>
      <c r="V186" s="21">
        <f t="shared" si="4"/>
        <v>100</v>
      </c>
    </row>
    <row r="187" ht="14.25" customHeight="1">
      <c r="A187" s="38">
        <v>0.4361111111111111</v>
      </c>
      <c r="B187" s="36">
        <v>208.0</v>
      </c>
      <c r="C187" s="36">
        <v>37.0</v>
      </c>
      <c r="D187" s="36">
        <v>1925.0</v>
      </c>
      <c r="E187" s="36">
        <v>2227.0</v>
      </c>
      <c r="F187" s="36">
        <v>1.16</v>
      </c>
      <c r="G187" s="36">
        <v>35.0</v>
      </c>
      <c r="H187" s="36">
        <v>1.63</v>
      </c>
      <c r="I187" s="36">
        <v>56.2</v>
      </c>
      <c r="J187" s="36">
        <v>43.4</v>
      </c>
      <c r="K187" s="36">
        <v>176.0</v>
      </c>
      <c r="L187" s="36">
        <v>15.4</v>
      </c>
      <c r="M187" s="36">
        <v>109.0</v>
      </c>
      <c r="N187" s="36">
        <v>44.0</v>
      </c>
      <c r="O187" s="36">
        <v>35.0</v>
      </c>
      <c r="P187" s="36">
        <v>94.0</v>
      </c>
      <c r="Q187" s="36">
        <v>0.39</v>
      </c>
      <c r="R187" s="36">
        <v>0.67</v>
      </c>
      <c r="S187" s="36">
        <v>1.07</v>
      </c>
      <c r="T187" s="4">
        <v>1.66</v>
      </c>
      <c r="U187" s="21">
        <f t="shared" si="1"/>
        <v>1660</v>
      </c>
      <c r="V187" s="21">
        <f t="shared" si="4"/>
        <v>6400</v>
      </c>
    </row>
    <row r="188" ht="14.25" customHeight="1">
      <c r="A188" s="38">
        <v>0.43680555555555556</v>
      </c>
      <c r="B188" s="36">
        <v>208.0</v>
      </c>
      <c r="C188" s="36">
        <v>37.5</v>
      </c>
      <c r="D188" s="36">
        <v>1951.0</v>
      </c>
      <c r="E188" s="36">
        <v>2254.0</v>
      </c>
      <c r="F188" s="36">
        <v>1.16</v>
      </c>
      <c r="G188" s="36">
        <v>38.0</v>
      </c>
      <c r="H188" s="36">
        <v>1.49</v>
      </c>
      <c r="I188" s="36">
        <v>56.8</v>
      </c>
      <c r="J188" s="36">
        <v>42.7</v>
      </c>
      <c r="K188" s="36">
        <v>178.0</v>
      </c>
      <c r="L188" s="36">
        <v>14.6</v>
      </c>
      <c r="M188" s="36">
        <v>109.0</v>
      </c>
      <c r="N188" s="36">
        <v>44.0</v>
      </c>
      <c r="O188" s="36">
        <v>38.0</v>
      </c>
      <c r="P188" s="36">
        <v>95.0</v>
      </c>
      <c r="Q188" s="36">
        <v>0.37</v>
      </c>
      <c r="R188" s="36">
        <v>0.59</v>
      </c>
      <c r="S188" s="36">
        <v>0.99</v>
      </c>
      <c r="T188" s="36">
        <v>1.58</v>
      </c>
      <c r="U188" s="21">
        <f t="shared" si="1"/>
        <v>1580</v>
      </c>
      <c r="V188" s="21">
        <f t="shared" si="4"/>
        <v>900</v>
      </c>
    </row>
    <row r="189" ht="14.25" customHeight="1">
      <c r="A189" s="38">
        <v>0.4388888888888889</v>
      </c>
      <c r="B189" s="36">
        <v>210.0</v>
      </c>
      <c r="C189" s="36">
        <v>36.5</v>
      </c>
      <c r="D189" s="36">
        <v>1897.0</v>
      </c>
      <c r="E189" s="36">
        <v>2202.0</v>
      </c>
      <c r="F189" s="36">
        <v>1.16</v>
      </c>
      <c r="G189" s="36">
        <v>37.0</v>
      </c>
      <c r="H189" s="36">
        <v>1.5</v>
      </c>
      <c r="I189" s="36">
        <v>55.7</v>
      </c>
      <c r="J189" s="36">
        <v>43.9</v>
      </c>
      <c r="K189" s="36">
        <v>181.0</v>
      </c>
      <c r="L189" s="36">
        <v>13.1</v>
      </c>
      <c r="M189" s="36">
        <v>109.0</v>
      </c>
      <c r="N189" s="36">
        <v>45.0</v>
      </c>
      <c r="O189" s="36">
        <v>37.0</v>
      </c>
      <c r="P189" s="36">
        <v>92.0</v>
      </c>
      <c r="Q189" s="36">
        <v>0.36</v>
      </c>
      <c r="R189" s="36">
        <v>0.58</v>
      </c>
      <c r="S189" s="36">
        <v>1.04</v>
      </c>
      <c r="T189" s="36">
        <v>1.61</v>
      </c>
      <c r="U189" s="21">
        <f t="shared" si="1"/>
        <v>1610</v>
      </c>
      <c r="V189" s="21">
        <f t="shared" si="4"/>
        <v>0</v>
      </c>
    </row>
    <row r="190" ht="14.25" customHeight="1">
      <c r="A190" s="38">
        <v>0.4395833333333333</v>
      </c>
      <c r="B190" s="36">
        <v>210.0</v>
      </c>
      <c r="C190" s="36">
        <v>37.1</v>
      </c>
      <c r="D190" s="36">
        <v>1931.0</v>
      </c>
      <c r="E190" s="36">
        <v>2229.0</v>
      </c>
      <c r="F190" s="36">
        <v>1.15</v>
      </c>
      <c r="G190" s="36">
        <v>37.0</v>
      </c>
      <c r="H190" s="36">
        <v>1.5</v>
      </c>
      <c r="I190" s="36">
        <v>56.2</v>
      </c>
      <c r="J190" s="36">
        <v>43.3</v>
      </c>
      <c r="K190" s="36">
        <v>179.0</v>
      </c>
      <c r="L190" s="36">
        <v>14.1</v>
      </c>
      <c r="M190" s="36">
        <v>109.0</v>
      </c>
      <c r="N190" s="36">
        <v>45.0</v>
      </c>
      <c r="O190" s="36">
        <v>37.0</v>
      </c>
      <c r="P190" s="36">
        <v>94.0</v>
      </c>
      <c r="Q190" s="36">
        <v>0.35</v>
      </c>
      <c r="R190" s="36">
        <v>0.57</v>
      </c>
      <c r="S190" s="36">
        <v>1.04</v>
      </c>
      <c r="T190" s="36">
        <v>1.61</v>
      </c>
      <c r="U190" s="21">
        <f t="shared" si="1"/>
        <v>1610</v>
      </c>
      <c r="V190" s="8">
        <v>0.0</v>
      </c>
    </row>
    <row r="191" ht="14.25" customHeight="1">
      <c r="A191" s="36" t="s">
        <v>82</v>
      </c>
      <c r="U191" s="21">
        <f t="shared" si="1"/>
        <v>0</v>
      </c>
    </row>
    <row r="192" ht="14.25" customHeight="1">
      <c r="A192" s="38">
        <v>0.4409722222222222</v>
      </c>
      <c r="B192" s="36">
        <v>211.0</v>
      </c>
      <c r="C192" s="36">
        <v>40.2</v>
      </c>
      <c r="D192" s="36">
        <v>2088.0</v>
      </c>
      <c r="E192" s="36">
        <v>2356.0</v>
      </c>
      <c r="F192" s="36">
        <v>1.13</v>
      </c>
      <c r="G192" s="36">
        <v>39.0</v>
      </c>
      <c r="H192" s="36">
        <v>1.53</v>
      </c>
      <c r="I192" s="36">
        <v>58.9</v>
      </c>
      <c r="J192" s="36">
        <v>40.6</v>
      </c>
      <c r="K192" s="36">
        <v>174.0</v>
      </c>
      <c r="L192" s="36">
        <v>16.1</v>
      </c>
      <c r="M192" s="36">
        <v>108.0</v>
      </c>
      <c r="N192" s="36">
        <v>45.0</v>
      </c>
      <c r="O192" s="36">
        <v>39.0</v>
      </c>
      <c r="P192" s="36">
        <v>102.0</v>
      </c>
      <c r="Q192" s="36">
        <v>0.37</v>
      </c>
      <c r="R192" s="36">
        <v>0.58</v>
      </c>
      <c r="S192" s="36">
        <v>0.97</v>
      </c>
      <c r="T192" s="36">
        <v>1.56</v>
      </c>
      <c r="U192" s="21">
        <f t="shared" si="1"/>
        <v>1560</v>
      </c>
      <c r="V192" s="8">
        <v>0.0</v>
      </c>
    </row>
    <row r="193" ht="14.25" customHeight="1"/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>
      <c r="A333" s="38"/>
    </row>
    <row r="334" ht="14.25" customHeight="1">
      <c r="A334" s="38"/>
    </row>
    <row r="335" ht="14.25" customHeight="1">
      <c r="A335" s="38"/>
    </row>
    <row r="336" ht="14.25" customHeight="1">
      <c r="A336" s="38"/>
    </row>
    <row r="337" ht="14.25" customHeight="1">
      <c r="A337" s="38"/>
    </row>
    <row r="338" ht="14.25" customHeight="1">
      <c r="A338" s="38"/>
    </row>
    <row r="339" ht="14.25" customHeight="1">
      <c r="A339" s="38"/>
    </row>
    <row r="340" ht="14.25" customHeight="1">
      <c r="A340" s="38"/>
    </row>
    <row r="341" ht="14.25" customHeight="1">
      <c r="A341" s="38"/>
    </row>
    <row r="342" ht="14.25" customHeight="1">
      <c r="A342" s="38"/>
    </row>
    <row r="343" ht="14.25" customHeight="1">
      <c r="A343" s="38"/>
    </row>
    <row r="344" ht="14.25" customHeight="1">
      <c r="A344" s="38"/>
    </row>
    <row r="345" ht="14.25" customHeight="1">
      <c r="A345" s="38"/>
    </row>
    <row r="346" ht="14.25" customHeight="1">
      <c r="A346" s="38"/>
    </row>
    <row r="347" ht="14.25" customHeight="1">
      <c r="A347" s="38"/>
    </row>
    <row r="348" ht="14.25" customHeight="1">
      <c r="A348" s="38"/>
    </row>
    <row r="349" ht="14.25" customHeight="1">
      <c r="A349" s="38"/>
    </row>
    <row r="350" ht="14.25" customHeight="1">
      <c r="A350" s="38"/>
    </row>
    <row r="351" ht="14.25" customHeight="1">
      <c r="A351" s="38"/>
    </row>
    <row r="352" ht="14.25" customHeight="1">
      <c r="A352" s="38"/>
    </row>
    <row r="353" ht="14.25" customHeight="1">
      <c r="A353" s="38"/>
    </row>
    <row r="354" ht="14.25" customHeight="1">
      <c r="A354" s="38"/>
    </row>
    <row r="355" ht="14.25" customHeight="1">
      <c r="A355" s="38"/>
    </row>
    <row r="356" ht="14.25" customHeight="1">
      <c r="A356" s="38"/>
    </row>
    <row r="357" ht="14.25" customHeight="1">
      <c r="A357" s="38"/>
    </row>
    <row r="358" ht="14.25" customHeight="1">
      <c r="A358" s="38"/>
    </row>
    <row r="359" ht="14.25" customHeight="1">
      <c r="A359" s="38"/>
    </row>
    <row r="360" ht="14.25" customHeight="1">
      <c r="A360" s="38"/>
    </row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40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8" t="s">
        <v>92</v>
      </c>
      <c r="V2" s="8" t="s">
        <v>85</v>
      </c>
      <c r="W2" s="8" t="s">
        <v>93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0.08888888888888889</v>
      </c>
      <c r="B6" s="36">
        <v>1.0</v>
      </c>
      <c r="C6" s="36">
        <v>7.3</v>
      </c>
      <c r="D6" s="36">
        <v>568.0</v>
      </c>
      <c r="E6" s="36">
        <v>471.0</v>
      </c>
      <c r="F6" s="36">
        <v>0.83</v>
      </c>
      <c r="G6" s="36">
        <v>7.0</v>
      </c>
      <c r="H6" s="36">
        <v>1.69</v>
      </c>
      <c r="I6" s="36">
        <v>12.5</v>
      </c>
      <c r="J6" s="36">
        <v>91.5</v>
      </c>
      <c r="K6" s="36">
        <v>67.0</v>
      </c>
      <c r="L6" s="36">
        <v>59.9</v>
      </c>
      <c r="M6" s="36">
        <v>95.0</v>
      </c>
      <c r="N6" s="36">
        <v>44.0</v>
      </c>
      <c r="O6" s="36">
        <v>7.0</v>
      </c>
      <c r="P6" s="36">
        <v>24.0</v>
      </c>
      <c r="Q6" s="36">
        <v>0.34</v>
      </c>
      <c r="R6" s="36">
        <v>2.72</v>
      </c>
      <c r="S6" s="36">
        <v>5.36</v>
      </c>
      <c r="T6" s="36">
        <v>8.08</v>
      </c>
      <c r="U6" s="21">
        <f t="shared" ref="U6:U87" si="1">T6*1000</f>
        <v>8080</v>
      </c>
      <c r="V6" s="21">
        <f t="shared" ref="V6:V86" si="2">(U6-U7)^2</f>
        <v>240100</v>
      </c>
      <c r="W6" s="21">
        <f>SQRT(AVERAGE(V6:V86))</f>
        <v>312.071929</v>
      </c>
    </row>
    <row r="7" ht="14.25" customHeight="1">
      <c r="A7" s="38">
        <v>0.09375</v>
      </c>
      <c r="B7" s="36">
        <v>4.0</v>
      </c>
      <c r="C7" s="36">
        <v>7.0</v>
      </c>
      <c r="D7" s="36">
        <v>550.0</v>
      </c>
      <c r="E7" s="36">
        <v>460.0</v>
      </c>
      <c r="F7" s="36">
        <v>0.84</v>
      </c>
      <c r="G7" s="36">
        <v>8.0</v>
      </c>
      <c r="H7" s="36">
        <v>1.55</v>
      </c>
      <c r="I7" s="36">
        <v>12.2</v>
      </c>
      <c r="J7" s="36">
        <v>91.7</v>
      </c>
      <c r="K7" s="36">
        <v>66.0</v>
      </c>
      <c r="L7" s="36">
        <v>60.7</v>
      </c>
      <c r="M7" s="36">
        <v>95.0</v>
      </c>
      <c r="N7" s="36">
        <v>44.0</v>
      </c>
      <c r="O7" s="36">
        <v>8.0</v>
      </c>
      <c r="P7" s="36">
        <v>23.0</v>
      </c>
      <c r="Q7" s="36">
        <v>0.32</v>
      </c>
      <c r="R7" s="36">
        <v>2.47</v>
      </c>
      <c r="S7" s="36">
        <v>5.13</v>
      </c>
      <c r="T7" s="36">
        <v>7.59</v>
      </c>
      <c r="U7" s="21">
        <f t="shared" si="1"/>
        <v>7590</v>
      </c>
      <c r="V7" s="21">
        <f t="shared" si="2"/>
        <v>302500</v>
      </c>
    </row>
    <row r="8" ht="14.25" customHeight="1">
      <c r="A8" s="38">
        <v>0.09652777777777778</v>
      </c>
      <c r="B8" s="36">
        <v>6.0</v>
      </c>
      <c r="C8" s="36">
        <v>6.7</v>
      </c>
      <c r="D8" s="36">
        <v>521.0</v>
      </c>
      <c r="E8" s="36">
        <v>447.0</v>
      </c>
      <c r="F8" s="36">
        <v>0.86</v>
      </c>
      <c r="G8" s="36">
        <v>9.0</v>
      </c>
      <c r="H8" s="36">
        <v>1.43</v>
      </c>
      <c r="I8" s="36">
        <v>12.2</v>
      </c>
      <c r="J8" s="36">
        <v>91.7</v>
      </c>
      <c r="K8" s="36">
        <v>67.0</v>
      </c>
      <c r="L8" s="36">
        <v>60.0</v>
      </c>
      <c r="M8" s="36">
        <v>97.0</v>
      </c>
      <c r="N8" s="36">
        <v>44.0</v>
      </c>
      <c r="O8" s="36">
        <v>9.0</v>
      </c>
      <c r="P8" s="36">
        <v>22.0</v>
      </c>
      <c r="Q8" s="36">
        <v>0.32</v>
      </c>
      <c r="R8" s="36">
        <v>2.24</v>
      </c>
      <c r="S8" s="36">
        <v>4.79</v>
      </c>
      <c r="T8" s="36">
        <v>7.04</v>
      </c>
      <c r="U8" s="21">
        <f t="shared" si="1"/>
        <v>7040</v>
      </c>
      <c r="V8" s="21">
        <f t="shared" si="2"/>
        <v>220900</v>
      </c>
    </row>
    <row r="9" ht="14.25" customHeight="1">
      <c r="A9" s="38">
        <v>0.09930555555555555</v>
      </c>
      <c r="B9" s="36">
        <v>8.0</v>
      </c>
      <c r="C9" s="36">
        <v>6.8</v>
      </c>
      <c r="D9" s="36">
        <v>533.0</v>
      </c>
      <c r="E9" s="36">
        <v>460.0</v>
      </c>
      <c r="F9" s="36">
        <v>0.86</v>
      </c>
      <c r="G9" s="36">
        <v>9.0</v>
      </c>
      <c r="H9" s="36">
        <v>1.36</v>
      </c>
      <c r="I9" s="36">
        <v>12.4</v>
      </c>
      <c r="J9" s="36">
        <v>91.5</v>
      </c>
      <c r="K9" s="36">
        <v>68.0</v>
      </c>
      <c r="L9" s="36">
        <v>59.2</v>
      </c>
      <c r="M9" s="36">
        <v>97.0</v>
      </c>
      <c r="N9" s="36">
        <v>44.0</v>
      </c>
      <c r="O9" s="36">
        <v>9.0</v>
      </c>
      <c r="P9" s="36">
        <v>22.0</v>
      </c>
      <c r="Q9" s="36">
        <v>0.3</v>
      </c>
      <c r="R9" s="36">
        <v>1.94</v>
      </c>
      <c r="S9" s="36">
        <v>4.62</v>
      </c>
      <c r="T9" s="36">
        <v>6.57</v>
      </c>
      <c r="U9" s="21">
        <f t="shared" si="1"/>
        <v>6570</v>
      </c>
      <c r="V9" s="21">
        <f t="shared" si="2"/>
        <v>160000</v>
      </c>
    </row>
    <row r="10" ht="14.25" customHeight="1">
      <c r="A10" s="38">
        <v>0.10208333333333333</v>
      </c>
      <c r="B10" s="36">
        <v>11.0</v>
      </c>
      <c r="C10" s="36">
        <v>7.0</v>
      </c>
      <c r="D10" s="36">
        <v>547.0</v>
      </c>
      <c r="E10" s="36">
        <v>470.0</v>
      </c>
      <c r="F10" s="36">
        <v>0.86</v>
      </c>
      <c r="G10" s="36">
        <v>10.0</v>
      </c>
      <c r="H10" s="36">
        <v>1.32</v>
      </c>
      <c r="I10" s="36">
        <v>12.8</v>
      </c>
      <c r="J10" s="36">
        <v>91.3</v>
      </c>
      <c r="K10" s="36">
        <v>68.0</v>
      </c>
      <c r="L10" s="36">
        <v>59.2</v>
      </c>
      <c r="M10" s="36">
        <v>97.0</v>
      </c>
      <c r="N10" s="36">
        <v>44.0</v>
      </c>
      <c r="O10" s="36">
        <v>10.0</v>
      </c>
      <c r="P10" s="36">
        <v>23.0</v>
      </c>
      <c r="Q10" s="36">
        <v>0.3</v>
      </c>
      <c r="R10" s="36">
        <v>1.88</v>
      </c>
      <c r="S10" s="36">
        <v>4.3</v>
      </c>
      <c r="T10" s="36">
        <v>6.17</v>
      </c>
      <c r="U10" s="21">
        <f t="shared" si="1"/>
        <v>6170</v>
      </c>
      <c r="V10" s="21">
        <f t="shared" si="2"/>
        <v>0</v>
      </c>
    </row>
    <row r="11" ht="14.25" customHeight="1">
      <c r="A11" s="38">
        <v>0.10625</v>
      </c>
      <c r="B11" s="36">
        <v>13.0</v>
      </c>
      <c r="C11" s="36">
        <v>7.0</v>
      </c>
      <c r="D11" s="36">
        <v>547.0</v>
      </c>
      <c r="E11" s="36">
        <v>470.0</v>
      </c>
      <c r="F11" s="36">
        <v>0.86</v>
      </c>
      <c r="G11" s="36">
        <v>10.0</v>
      </c>
      <c r="H11" s="36">
        <v>1.32</v>
      </c>
      <c r="I11" s="36">
        <v>12.8</v>
      </c>
      <c r="J11" s="36">
        <v>91.3</v>
      </c>
      <c r="K11" s="36">
        <v>69.0</v>
      </c>
      <c r="L11" s="36">
        <v>58.6</v>
      </c>
      <c r="M11" s="36">
        <v>97.0</v>
      </c>
      <c r="N11" s="36">
        <v>44.0</v>
      </c>
      <c r="O11" s="36">
        <v>10.0</v>
      </c>
      <c r="P11" s="36">
        <v>23.0</v>
      </c>
      <c r="Q11" s="36">
        <v>0.3</v>
      </c>
      <c r="R11" s="36">
        <v>1.88</v>
      </c>
      <c r="S11" s="36">
        <v>4.3</v>
      </c>
      <c r="T11" s="36">
        <v>6.17</v>
      </c>
      <c r="U11" s="21">
        <f t="shared" si="1"/>
        <v>6170</v>
      </c>
      <c r="V11" s="21">
        <f t="shared" si="2"/>
        <v>864900</v>
      </c>
    </row>
    <row r="12" ht="14.25" customHeight="1">
      <c r="A12" s="38">
        <v>0.10972222222222222</v>
      </c>
      <c r="B12" s="36">
        <v>16.0</v>
      </c>
      <c r="C12" s="36">
        <v>6.8</v>
      </c>
      <c r="D12" s="36">
        <v>534.0</v>
      </c>
      <c r="E12" s="36">
        <v>461.0</v>
      </c>
      <c r="F12" s="36">
        <v>0.86</v>
      </c>
      <c r="G12" s="36">
        <v>11.0</v>
      </c>
      <c r="H12" s="36">
        <v>1.13</v>
      </c>
      <c r="I12" s="36">
        <v>13.0</v>
      </c>
      <c r="J12" s="36">
        <v>91.2</v>
      </c>
      <c r="K12" s="36">
        <v>70.0</v>
      </c>
      <c r="L12" s="36">
        <v>58.3</v>
      </c>
      <c r="M12" s="36">
        <v>98.0</v>
      </c>
      <c r="N12" s="36">
        <v>44.0</v>
      </c>
      <c r="O12" s="36">
        <v>11.0</v>
      </c>
      <c r="P12" s="36">
        <v>22.0</v>
      </c>
      <c r="Q12" s="36">
        <v>0.28</v>
      </c>
      <c r="R12" s="36">
        <v>1.49</v>
      </c>
      <c r="S12" s="36">
        <v>3.75</v>
      </c>
      <c r="T12" s="36">
        <v>5.24</v>
      </c>
      <c r="U12" s="21">
        <f t="shared" si="1"/>
        <v>5240</v>
      </c>
      <c r="V12" s="21">
        <f t="shared" si="2"/>
        <v>409600</v>
      </c>
    </row>
    <row r="13" ht="14.25" customHeight="1">
      <c r="A13" s="38">
        <v>0.11319444444444444</v>
      </c>
      <c r="B13" s="36">
        <v>18.0</v>
      </c>
      <c r="C13" s="36">
        <v>7.1</v>
      </c>
      <c r="D13" s="36">
        <v>554.0</v>
      </c>
      <c r="E13" s="36">
        <v>481.0</v>
      </c>
      <c r="F13" s="36">
        <v>0.87</v>
      </c>
      <c r="G13" s="36">
        <v>13.0</v>
      </c>
      <c r="H13" s="36">
        <v>1.05</v>
      </c>
      <c r="I13" s="36">
        <v>13.7</v>
      </c>
      <c r="J13" s="36">
        <v>90.7</v>
      </c>
      <c r="K13" s="36">
        <v>71.0</v>
      </c>
      <c r="L13" s="36">
        <v>57.4</v>
      </c>
      <c r="M13" s="36">
        <v>99.0</v>
      </c>
      <c r="N13" s="36">
        <v>44.0</v>
      </c>
      <c r="O13" s="36">
        <v>13.0</v>
      </c>
      <c r="P13" s="36">
        <v>23.0</v>
      </c>
      <c r="Q13" s="36">
        <v>0.27</v>
      </c>
      <c r="R13" s="36">
        <v>1.26</v>
      </c>
      <c r="S13" s="36">
        <v>3.34</v>
      </c>
      <c r="T13" s="36">
        <v>4.6</v>
      </c>
      <c r="U13" s="21">
        <f t="shared" si="1"/>
        <v>4600</v>
      </c>
      <c r="V13" s="21">
        <f t="shared" si="2"/>
        <v>0</v>
      </c>
    </row>
    <row r="14" ht="14.25" customHeight="1">
      <c r="A14" s="38">
        <v>0.11736111111111111</v>
      </c>
      <c r="B14" s="36">
        <v>21.0</v>
      </c>
      <c r="C14" s="36">
        <v>7.1</v>
      </c>
      <c r="D14" s="36">
        <v>554.0</v>
      </c>
      <c r="E14" s="36">
        <v>481.0</v>
      </c>
      <c r="F14" s="36">
        <v>0.87</v>
      </c>
      <c r="G14" s="36">
        <v>13.0</v>
      </c>
      <c r="H14" s="36">
        <v>1.05</v>
      </c>
      <c r="I14" s="36">
        <v>13.7</v>
      </c>
      <c r="J14" s="36">
        <v>90.7</v>
      </c>
      <c r="K14" s="36">
        <v>73.0</v>
      </c>
      <c r="L14" s="36">
        <v>56.5</v>
      </c>
      <c r="M14" s="36">
        <v>99.0</v>
      </c>
      <c r="N14" s="36">
        <v>44.0</v>
      </c>
      <c r="O14" s="36">
        <v>13.0</v>
      </c>
      <c r="P14" s="36">
        <v>23.0</v>
      </c>
      <c r="Q14" s="36">
        <v>0.27</v>
      </c>
      <c r="R14" s="36">
        <v>1.26</v>
      </c>
      <c r="S14" s="36">
        <v>3.34</v>
      </c>
      <c r="T14" s="36">
        <v>4.6</v>
      </c>
      <c r="U14" s="21">
        <f t="shared" si="1"/>
        <v>4600</v>
      </c>
      <c r="V14" s="21">
        <f t="shared" si="2"/>
        <v>28900</v>
      </c>
    </row>
    <row r="15" ht="14.25" customHeight="1">
      <c r="A15" s="38">
        <v>0.12013888888888889</v>
      </c>
      <c r="B15" s="36">
        <v>24.0</v>
      </c>
      <c r="C15" s="36">
        <v>7.0</v>
      </c>
      <c r="D15" s="36">
        <v>543.0</v>
      </c>
      <c r="E15" s="36">
        <v>476.0</v>
      </c>
      <c r="F15" s="36">
        <v>0.88</v>
      </c>
      <c r="G15" s="36">
        <v>13.0</v>
      </c>
      <c r="H15" s="36">
        <v>1.07</v>
      </c>
      <c r="I15" s="36">
        <v>13.5</v>
      </c>
      <c r="J15" s="36">
        <v>90.8</v>
      </c>
      <c r="K15" s="36">
        <v>73.0</v>
      </c>
      <c r="L15" s="36">
        <v>56.5</v>
      </c>
      <c r="M15" s="36">
        <v>99.0</v>
      </c>
      <c r="N15" s="36">
        <v>44.0</v>
      </c>
      <c r="O15" s="36">
        <v>13.0</v>
      </c>
      <c r="P15" s="36">
        <v>22.0</v>
      </c>
      <c r="Q15" s="36">
        <v>0.28</v>
      </c>
      <c r="R15" s="36">
        <v>1.34</v>
      </c>
      <c r="S15" s="36">
        <v>3.43</v>
      </c>
      <c r="T15" s="36">
        <v>4.77</v>
      </c>
      <c r="U15" s="21">
        <f t="shared" si="1"/>
        <v>4770</v>
      </c>
      <c r="V15" s="21">
        <f t="shared" si="2"/>
        <v>32400</v>
      </c>
    </row>
    <row r="16" ht="14.25" customHeight="1">
      <c r="A16" s="38">
        <v>0.12361111111111112</v>
      </c>
      <c r="B16" s="36">
        <v>26.0</v>
      </c>
      <c r="C16" s="36">
        <v>7.1</v>
      </c>
      <c r="D16" s="36">
        <v>552.0</v>
      </c>
      <c r="E16" s="36">
        <v>487.0</v>
      </c>
      <c r="F16" s="36">
        <v>0.88</v>
      </c>
      <c r="G16" s="36">
        <v>12.0</v>
      </c>
      <c r="H16" s="36">
        <v>1.14</v>
      </c>
      <c r="I16" s="36">
        <v>13.8</v>
      </c>
      <c r="J16" s="36">
        <v>90.6</v>
      </c>
      <c r="K16" s="36">
        <v>73.0</v>
      </c>
      <c r="L16" s="36">
        <v>56.2</v>
      </c>
      <c r="M16" s="36">
        <v>99.0</v>
      </c>
      <c r="N16" s="36">
        <v>44.0</v>
      </c>
      <c r="O16" s="36">
        <v>12.0</v>
      </c>
      <c r="P16" s="36">
        <v>23.0</v>
      </c>
      <c r="Q16" s="36">
        <v>0.29</v>
      </c>
      <c r="R16" s="36">
        <v>1.45</v>
      </c>
      <c r="S16" s="36">
        <v>3.5</v>
      </c>
      <c r="T16" s="36">
        <v>4.95</v>
      </c>
      <c r="U16" s="21">
        <f t="shared" si="1"/>
        <v>4950</v>
      </c>
      <c r="V16" s="21">
        <f t="shared" si="2"/>
        <v>0</v>
      </c>
    </row>
    <row r="17" ht="14.25" customHeight="1">
      <c r="A17" s="38">
        <v>0.12708333333333333</v>
      </c>
      <c r="B17" s="36">
        <v>28.0</v>
      </c>
      <c r="C17" s="36">
        <v>7.2</v>
      </c>
      <c r="D17" s="36">
        <v>560.0</v>
      </c>
      <c r="E17" s="36">
        <v>496.0</v>
      </c>
      <c r="F17" s="36">
        <v>0.89</v>
      </c>
      <c r="G17" s="36">
        <v>12.0</v>
      </c>
      <c r="H17" s="36">
        <v>1.16</v>
      </c>
      <c r="I17" s="36">
        <v>14.1</v>
      </c>
      <c r="J17" s="36">
        <v>90.4</v>
      </c>
      <c r="K17" s="36">
        <v>73.0</v>
      </c>
      <c r="L17" s="36">
        <v>56.3</v>
      </c>
      <c r="M17" s="36">
        <v>99.0</v>
      </c>
      <c r="N17" s="36">
        <v>44.0</v>
      </c>
      <c r="O17" s="36">
        <v>12.0</v>
      </c>
      <c r="P17" s="36">
        <v>23.0</v>
      </c>
      <c r="Q17" s="36">
        <v>0.29</v>
      </c>
      <c r="R17" s="36">
        <v>1.43</v>
      </c>
      <c r="S17" s="36">
        <v>3.52</v>
      </c>
      <c r="T17" s="36">
        <v>4.95</v>
      </c>
      <c r="U17" s="21">
        <f t="shared" si="1"/>
        <v>4950</v>
      </c>
      <c r="V17" s="21">
        <f t="shared" si="2"/>
        <v>22500</v>
      </c>
    </row>
    <row r="18" ht="14.25" customHeight="1">
      <c r="A18" s="38">
        <v>0.12986111111111112</v>
      </c>
      <c r="B18" s="36">
        <v>30.0</v>
      </c>
      <c r="C18" s="36">
        <v>7.2</v>
      </c>
      <c r="D18" s="36">
        <v>559.0</v>
      </c>
      <c r="E18" s="36">
        <v>494.0</v>
      </c>
      <c r="F18" s="36">
        <v>0.88</v>
      </c>
      <c r="G18" s="36">
        <v>12.0</v>
      </c>
      <c r="H18" s="36">
        <v>1.13</v>
      </c>
      <c r="I18" s="36">
        <v>14.1</v>
      </c>
      <c r="J18" s="36">
        <v>90.4</v>
      </c>
      <c r="K18" s="36">
        <v>72.0</v>
      </c>
      <c r="L18" s="36">
        <v>56.9</v>
      </c>
      <c r="M18" s="36">
        <v>99.0</v>
      </c>
      <c r="N18" s="36">
        <v>44.0</v>
      </c>
      <c r="O18" s="36">
        <v>12.0</v>
      </c>
      <c r="P18" s="36">
        <v>23.0</v>
      </c>
      <c r="Q18" s="36">
        <v>0.29</v>
      </c>
      <c r="R18" s="36">
        <v>1.37</v>
      </c>
      <c r="S18" s="36">
        <v>3.43</v>
      </c>
      <c r="T18" s="36">
        <v>4.8</v>
      </c>
      <c r="U18" s="21">
        <f t="shared" si="1"/>
        <v>4800</v>
      </c>
      <c r="V18" s="21">
        <f t="shared" si="2"/>
        <v>1600</v>
      </c>
    </row>
    <row r="19" ht="14.25" customHeight="1">
      <c r="A19" s="38">
        <v>0.1361111111111111</v>
      </c>
      <c r="B19" s="36">
        <v>35.0</v>
      </c>
      <c r="C19" s="36">
        <v>7.4</v>
      </c>
      <c r="D19" s="36">
        <v>579.0</v>
      </c>
      <c r="E19" s="36">
        <v>509.0</v>
      </c>
      <c r="F19" s="36">
        <v>0.88</v>
      </c>
      <c r="G19" s="36">
        <v>13.0</v>
      </c>
      <c r="H19" s="36">
        <v>1.13</v>
      </c>
      <c r="I19" s="36">
        <v>14.3</v>
      </c>
      <c r="J19" s="36">
        <v>90.3</v>
      </c>
      <c r="K19" s="36">
        <v>70.0</v>
      </c>
      <c r="L19" s="36">
        <v>58.1</v>
      </c>
      <c r="M19" s="36">
        <v>98.0</v>
      </c>
      <c r="N19" s="36">
        <v>44.0</v>
      </c>
      <c r="O19" s="36">
        <v>13.0</v>
      </c>
      <c r="P19" s="36">
        <v>24.0</v>
      </c>
      <c r="Q19" s="36">
        <v>0.28</v>
      </c>
      <c r="R19" s="36">
        <v>1.35</v>
      </c>
      <c r="S19" s="36">
        <v>3.4</v>
      </c>
      <c r="T19" s="36">
        <v>4.76</v>
      </c>
      <c r="U19" s="21">
        <f t="shared" si="1"/>
        <v>4760</v>
      </c>
      <c r="V19" s="21">
        <f t="shared" si="2"/>
        <v>230400</v>
      </c>
    </row>
    <row r="20" ht="14.25" customHeight="1">
      <c r="A20" s="38">
        <v>0.14166666666666666</v>
      </c>
      <c r="B20" s="36">
        <v>38.0</v>
      </c>
      <c r="C20" s="36">
        <v>7.2</v>
      </c>
      <c r="D20" s="36">
        <v>565.0</v>
      </c>
      <c r="E20" s="36">
        <v>503.0</v>
      </c>
      <c r="F20" s="36">
        <v>0.89</v>
      </c>
      <c r="G20" s="36">
        <v>11.0</v>
      </c>
      <c r="H20" s="36">
        <v>1.21</v>
      </c>
      <c r="I20" s="36">
        <v>13.9</v>
      </c>
      <c r="J20" s="36">
        <v>90.5</v>
      </c>
      <c r="K20" s="36">
        <v>71.0</v>
      </c>
      <c r="L20" s="36">
        <v>57.7</v>
      </c>
      <c r="M20" s="36">
        <v>98.0</v>
      </c>
      <c r="N20" s="36">
        <v>45.0</v>
      </c>
      <c r="O20" s="36">
        <v>11.0</v>
      </c>
      <c r="P20" s="36">
        <v>23.0</v>
      </c>
      <c r="Q20" s="36">
        <v>0.26</v>
      </c>
      <c r="R20" s="36">
        <v>1.38</v>
      </c>
      <c r="S20" s="36">
        <v>3.86</v>
      </c>
      <c r="T20" s="36">
        <v>5.24</v>
      </c>
      <c r="U20" s="21">
        <f t="shared" si="1"/>
        <v>5240</v>
      </c>
      <c r="V20" s="21">
        <f t="shared" si="2"/>
        <v>78400</v>
      </c>
    </row>
    <row r="21" ht="14.25" customHeight="1">
      <c r="A21" s="38">
        <v>0.14583333333333334</v>
      </c>
      <c r="B21" s="36">
        <v>41.0</v>
      </c>
      <c r="C21" s="36">
        <v>7.4</v>
      </c>
      <c r="D21" s="36">
        <v>578.0</v>
      </c>
      <c r="E21" s="36">
        <v>515.0</v>
      </c>
      <c r="F21" s="36">
        <v>0.89</v>
      </c>
      <c r="G21" s="36">
        <v>11.0</v>
      </c>
      <c r="H21" s="36">
        <v>1.3</v>
      </c>
      <c r="I21" s="36">
        <v>14.1</v>
      </c>
      <c r="J21" s="36">
        <v>90.4</v>
      </c>
      <c r="K21" s="36">
        <v>69.0</v>
      </c>
      <c r="L21" s="36">
        <v>58.6</v>
      </c>
      <c r="M21" s="36">
        <v>98.0</v>
      </c>
      <c r="N21" s="36">
        <v>45.0</v>
      </c>
      <c r="O21" s="36">
        <v>11.0</v>
      </c>
      <c r="P21" s="36">
        <v>24.0</v>
      </c>
      <c r="Q21" s="36">
        <v>0.26</v>
      </c>
      <c r="R21" s="36">
        <v>1.44</v>
      </c>
      <c r="S21" s="36">
        <v>4.08</v>
      </c>
      <c r="T21" s="36">
        <v>5.52</v>
      </c>
      <c r="U21" s="21">
        <f t="shared" si="1"/>
        <v>5520</v>
      </c>
      <c r="V21" s="21">
        <f t="shared" si="2"/>
        <v>193600</v>
      </c>
    </row>
    <row r="22" ht="14.25" customHeight="1">
      <c r="A22" s="38">
        <v>0.14930555555555555</v>
      </c>
      <c r="B22" s="36">
        <v>45.0</v>
      </c>
      <c r="C22" s="36">
        <v>7.6</v>
      </c>
      <c r="D22" s="36">
        <v>595.0</v>
      </c>
      <c r="E22" s="36">
        <v>522.0</v>
      </c>
      <c r="F22" s="36">
        <v>0.88</v>
      </c>
      <c r="G22" s="36">
        <v>12.0</v>
      </c>
      <c r="H22" s="36">
        <v>1.22</v>
      </c>
      <c r="I22" s="36">
        <v>14.4</v>
      </c>
      <c r="J22" s="36">
        <v>90.2</v>
      </c>
      <c r="K22" s="36">
        <v>71.0</v>
      </c>
      <c r="L22" s="36">
        <v>57.6</v>
      </c>
      <c r="M22" s="36">
        <v>97.0</v>
      </c>
      <c r="N22" s="36">
        <v>45.0</v>
      </c>
      <c r="O22" s="36">
        <v>12.0</v>
      </c>
      <c r="P22" s="36">
        <v>25.0</v>
      </c>
      <c r="Q22" s="36">
        <v>0.26</v>
      </c>
      <c r="R22" s="36">
        <v>1.34</v>
      </c>
      <c r="S22" s="36">
        <v>3.73</v>
      </c>
      <c r="T22" s="36">
        <v>5.08</v>
      </c>
      <c r="U22" s="21">
        <f t="shared" si="1"/>
        <v>5080</v>
      </c>
      <c r="V22" s="21">
        <f t="shared" si="2"/>
        <v>302500</v>
      </c>
    </row>
    <row r="23" ht="14.25" customHeight="1">
      <c r="A23" s="38">
        <v>0.1527777777777778</v>
      </c>
      <c r="B23" s="36">
        <v>47.0</v>
      </c>
      <c r="C23" s="36">
        <v>7.3</v>
      </c>
      <c r="D23" s="36">
        <v>568.0</v>
      </c>
      <c r="E23" s="36">
        <v>509.0</v>
      </c>
      <c r="F23" s="36">
        <v>0.89</v>
      </c>
      <c r="G23" s="36">
        <v>11.0</v>
      </c>
      <c r="H23" s="36">
        <v>1.31</v>
      </c>
      <c r="I23" s="36">
        <v>14.0</v>
      </c>
      <c r="J23" s="36">
        <v>90.5</v>
      </c>
      <c r="K23" s="36">
        <v>70.0</v>
      </c>
      <c r="L23" s="36">
        <v>58.3</v>
      </c>
      <c r="M23" s="36">
        <v>98.0</v>
      </c>
      <c r="N23" s="36">
        <v>45.0</v>
      </c>
      <c r="O23" s="36">
        <v>11.0</v>
      </c>
      <c r="P23" s="36">
        <v>24.0</v>
      </c>
      <c r="Q23" s="36">
        <v>0.25</v>
      </c>
      <c r="R23" s="36">
        <v>1.43</v>
      </c>
      <c r="S23" s="36">
        <v>4.2</v>
      </c>
      <c r="T23" s="36">
        <v>5.63</v>
      </c>
      <c r="U23" s="21">
        <f t="shared" si="1"/>
        <v>5630</v>
      </c>
      <c r="V23" s="21">
        <f t="shared" si="2"/>
        <v>6400</v>
      </c>
    </row>
    <row r="24" ht="14.25" customHeight="1">
      <c r="A24" s="38">
        <v>0.15625</v>
      </c>
      <c r="B24" s="36">
        <v>49.0</v>
      </c>
      <c r="C24" s="36">
        <v>7.3</v>
      </c>
      <c r="D24" s="36">
        <v>567.0</v>
      </c>
      <c r="E24" s="36">
        <v>505.0</v>
      </c>
      <c r="F24" s="36">
        <v>0.89</v>
      </c>
      <c r="G24" s="36">
        <v>11.0</v>
      </c>
      <c r="H24" s="36">
        <v>1.3</v>
      </c>
      <c r="I24" s="36">
        <v>13.7</v>
      </c>
      <c r="J24" s="36">
        <v>90.7</v>
      </c>
      <c r="K24" s="36">
        <v>70.0</v>
      </c>
      <c r="L24" s="36">
        <v>58.3</v>
      </c>
      <c r="M24" s="36">
        <v>98.0</v>
      </c>
      <c r="N24" s="36">
        <v>45.0</v>
      </c>
      <c r="O24" s="36">
        <v>11.0</v>
      </c>
      <c r="P24" s="36">
        <v>23.0</v>
      </c>
      <c r="Q24" s="36">
        <v>0.24</v>
      </c>
      <c r="R24" s="36">
        <v>1.4</v>
      </c>
      <c r="S24" s="36">
        <v>4.31</v>
      </c>
      <c r="T24" s="36">
        <v>5.71</v>
      </c>
      <c r="U24" s="21">
        <f t="shared" si="1"/>
        <v>5710</v>
      </c>
      <c r="V24" s="21">
        <f t="shared" si="2"/>
        <v>2500</v>
      </c>
    </row>
    <row r="25" ht="14.25" customHeight="1">
      <c r="A25" s="38">
        <v>0.1597222222222222</v>
      </c>
      <c r="B25" s="36">
        <v>52.0</v>
      </c>
      <c r="C25" s="36">
        <v>7.1</v>
      </c>
      <c r="D25" s="36">
        <v>556.0</v>
      </c>
      <c r="E25" s="36">
        <v>493.0</v>
      </c>
      <c r="F25" s="36">
        <v>0.89</v>
      </c>
      <c r="G25" s="36">
        <v>10.0</v>
      </c>
      <c r="H25" s="36">
        <v>1.27</v>
      </c>
      <c r="I25" s="36">
        <v>13.3</v>
      </c>
      <c r="J25" s="36">
        <v>91.0</v>
      </c>
      <c r="K25" s="36">
        <v>70.0</v>
      </c>
      <c r="L25" s="36">
        <v>58.4</v>
      </c>
      <c r="M25" s="36">
        <v>97.0</v>
      </c>
      <c r="N25" s="36">
        <v>45.0</v>
      </c>
      <c r="O25" s="36">
        <v>10.0</v>
      </c>
      <c r="P25" s="36">
        <v>23.0</v>
      </c>
      <c r="Q25" s="36">
        <v>0.24</v>
      </c>
      <c r="R25" s="36">
        <v>1.37</v>
      </c>
      <c r="S25" s="36">
        <v>4.4</v>
      </c>
      <c r="T25" s="36">
        <v>5.76</v>
      </c>
      <c r="U25" s="21">
        <f t="shared" si="1"/>
        <v>5760</v>
      </c>
      <c r="V25" s="21">
        <f t="shared" si="2"/>
        <v>0</v>
      </c>
    </row>
    <row r="26" ht="14.25" customHeight="1">
      <c r="A26" s="38">
        <v>0.1625</v>
      </c>
      <c r="B26" s="36">
        <v>54.0</v>
      </c>
      <c r="C26" s="36">
        <v>7.1</v>
      </c>
      <c r="D26" s="36">
        <v>555.0</v>
      </c>
      <c r="E26" s="36">
        <v>493.0</v>
      </c>
      <c r="F26" s="36">
        <v>0.89</v>
      </c>
      <c r="G26" s="36">
        <v>10.0</v>
      </c>
      <c r="H26" s="36">
        <v>1.27</v>
      </c>
      <c r="I26" s="36">
        <v>13.3</v>
      </c>
      <c r="J26" s="36">
        <v>91.0</v>
      </c>
      <c r="K26" s="36">
        <v>70.0</v>
      </c>
      <c r="L26" s="36">
        <v>58.0</v>
      </c>
      <c r="M26" s="36">
        <v>97.0</v>
      </c>
      <c r="N26" s="36">
        <v>45.0</v>
      </c>
      <c r="O26" s="36">
        <v>10.0</v>
      </c>
      <c r="P26" s="36">
        <v>23.0</v>
      </c>
      <c r="Q26" s="36">
        <v>0.24</v>
      </c>
      <c r="R26" s="36">
        <v>1.37</v>
      </c>
      <c r="S26" s="36">
        <v>4.4</v>
      </c>
      <c r="T26" s="36">
        <v>5.76</v>
      </c>
      <c r="U26" s="21">
        <f t="shared" si="1"/>
        <v>5760</v>
      </c>
      <c r="V26" s="21">
        <f t="shared" si="2"/>
        <v>476100</v>
      </c>
    </row>
    <row r="27" ht="14.25" customHeight="1">
      <c r="A27" s="38">
        <v>0.16527777777777777</v>
      </c>
      <c r="B27" s="36">
        <v>55.0</v>
      </c>
      <c r="C27" s="36">
        <v>7.7</v>
      </c>
      <c r="D27" s="36">
        <v>603.0</v>
      </c>
      <c r="E27" s="36">
        <v>534.0</v>
      </c>
      <c r="F27" s="36">
        <v>0.89</v>
      </c>
      <c r="G27" s="36">
        <v>12.0</v>
      </c>
      <c r="H27" s="36">
        <v>1.22</v>
      </c>
      <c r="I27" s="36">
        <v>14.5</v>
      </c>
      <c r="J27" s="36">
        <v>90.1</v>
      </c>
      <c r="K27" s="36">
        <v>70.0</v>
      </c>
      <c r="L27" s="36">
        <v>58.0</v>
      </c>
      <c r="M27" s="36">
        <v>98.0</v>
      </c>
      <c r="N27" s="36">
        <v>45.0</v>
      </c>
      <c r="O27" s="36">
        <v>12.0</v>
      </c>
      <c r="P27" s="36">
        <v>25.0</v>
      </c>
      <c r="Q27" s="36">
        <v>0.26</v>
      </c>
      <c r="R27" s="36">
        <v>1.3</v>
      </c>
      <c r="S27" s="36">
        <v>3.78</v>
      </c>
      <c r="T27" s="36">
        <v>5.07</v>
      </c>
      <c r="U27" s="21">
        <f t="shared" si="1"/>
        <v>5070</v>
      </c>
      <c r="V27" s="21">
        <f t="shared" si="2"/>
        <v>184900</v>
      </c>
    </row>
    <row r="28" ht="14.25" customHeight="1">
      <c r="A28" s="38">
        <v>0.16805555555555557</v>
      </c>
      <c r="B28" s="36">
        <v>58.0</v>
      </c>
      <c r="C28" s="36">
        <v>8.2</v>
      </c>
      <c r="D28" s="36">
        <v>642.0</v>
      </c>
      <c r="E28" s="36">
        <v>574.0</v>
      </c>
      <c r="F28" s="36">
        <v>0.9</v>
      </c>
      <c r="G28" s="36">
        <v>13.0</v>
      </c>
      <c r="H28" s="36">
        <v>1.21</v>
      </c>
      <c r="I28" s="36">
        <v>15.7</v>
      </c>
      <c r="J28" s="36">
        <v>89.3</v>
      </c>
      <c r="K28" s="36">
        <v>70.0</v>
      </c>
      <c r="L28" s="36">
        <v>57.8</v>
      </c>
      <c r="M28" s="36">
        <v>98.0</v>
      </c>
      <c r="N28" s="36">
        <v>44.0</v>
      </c>
      <c r="O28" s="36">
        <v>13.0</v>
      </c>
      <c r="P28" s="36">
        <v>27.0</v>
      </c>
      <c r="Q28" s="36">
        <v>0.26</v>
      </c>
      <c r="R28" s="36">
        <v>1.22</v>
      </c>
      <c r="S28" s="36">
        <v>3.42</v>
      </c>
      <c r="T28" s="36">
        <v>4.64</v>
      </c>
      <c r="U28" s="21">
        <f t="shared" si="1"/>
        <v>4640</v>
      </c>
      <c r="V28" s="21">
        <f t="shared" si="2"/>
        <v>4900</v>
      </c>
    </row>
    <row r="29" ht="14.25" customHeight="1">
      <c r="A29" s="38">
        <v>0.1701388888888889</v>
      </c>
      <c r="B29" s="36">
        <v>60.0</v>
      </c>
      <c r="C29" s="36">
        <v>7.5</v>
      </c>
      <c r="D29" s="36">
        <v>587.0</v>
      </c>
      <c r="E29" s="36">
        <v>527.0</v>
      </c>
      <c r="F29" s="36">
        <v>0.9</v>
      </c>
      <c r="G29" s="36">
        <v>13.0</v>
      </c>
      <c r="H29" s="36">
        <v>1.13</v>
      </c>
      <c r="I29" s="36">
        <v>14.8</v>
      </c>
      <c r="J29" s="36">
        <v>89.9</v>
      </c>
      <c r="K29" s="36">
        <v>71.0</v>
      </c>
      <c r="L29" s="36">
        <v>57.6</v>
      </c>
      <c r="M29" s="36">
        <v>100.0</v>
      </c>
      <c r="N29" s="36">
        <v>44.0</v>
      </c>
      <c r="O29" s="36">
        <v>13.0</v>
      </c>
      <c r="P29" s="36">
        <v>24.0</v>
      </c>
      <c r="Q29" s="36">
        <v>0.33</v>
      </c>
      <c r="R29" s="36">
        <v>1.5</v>
      </c>
      <c r="S29" s="36">
        <v>3.07</v>
      </c>
      <c r="T29" s="36">
        <v>4.57</v>
      </c>
      <c r="U29" s="21">
        <f t="shared" si="1"/>
        <v>4570</v>
      </c>
      <c r="V29" s="21">
        <f t="shared" si="2"/>
        <v>44100</v>
      </c>
    </row>
    <row r="30" ht="14.25" customHeight="1">
      <c r="A30" s="38">
        <v>0.17430555555555555</v>
      </c>
      <c r="B30" s="36">
        <v>63.0</v>
      </c>
      <c r="C30" s="36">
        <v>8.1</v>
      </c>
      <c r="D30" s="36">
        <v>634.0</v>
      </c>
      <c r="E30" s="36">
        <v>563.0</v>
      </c>
      <c r="F30" s="36">
        <v>0.89</v>
      </c>
      <c r="G30" s="36">
        <v>13.0</v>
      </c>
      <c r="H30" s="36">
        <v>1.21</v>
      </c>
      <c r="I30" s="36">
        <v>15.1</v>
      </c>
      <c r="J30" s="36">
        <v>89.7</v>
      </c>
      <c r="K30" s="36">
        <v>73.0</v>
      </c>
      <c r="L30" s="36">
        <v>56.4</v>
      </c>
      <c r="M30" s="36">
        <v>98.0</v>
      </c>
      <c r="N30" s="36">
        <v>45.0</v>
      </c>
      <c r="O30" s="36">
        <v>13.0</v>
      </c>
      <c r="P30" s="36">
        <v>26.0</v>
      </c>
      <c r="Q30" s="36">
        <v>0.28</v>
      </c>
      <c r="R30" s="36">
        <v>1.32</v>
      </c>
      <c r="S30" s="36">
        <v>3.46</v>
      </c>
      <c r="T30" s="36">
        <v>4.78</v>
      </c>
      <c r="U30" s="21">
        <f t="shared" si="1"/>
        <v>4780</v>
      </c>
      <c r="V30" s="21">
        <f t="shared" si="2"/>
        <v>100</v>
      </c>
    </row>
    <row r="31" ht="14.25" customHeight="1">
      <c r="A31" s="38">
        <v>0.17708333333333334</v>
      </c>
      <c r="B31" s="36">
        <v>65.0</v>
      </c>
      <c r="C31" s="36">
        <v>8.2</v>
      </c>
      <c r="D31" s="36">
        <v>640.0</v>
      </c>
      <c r="E31" s="36">
        <v>586.0</v>
      </c>
      <c r="F31" s="36">
        <v>0.92</v>
      </c>
      <c r="G31" s="36">
        <v>13.0</v>
      </c>
      <c r="H31" s="36">
        <v>1.27</v>
      </c>
      <c r="I31" s="36">
        <v>15.9</v>
      </c>
      <c r="J31" s="36">
        <v>89.2</v>
      </c>
      <c r="K31" s="36">
        <v>74.0</v>
      </c>
      <c r="L31" s="36">
        <v>55.4</v>
      </c>
      <c r="M31" s="36">
        <v>98.0</v>
      </c>
      <c r="N31" s="36">
        <v>45.0</v>
      </c>
      <c r="O31" s="36">
        <v>13.0</v>
      </c>
      <c r="P31" s="36">
        <v>26.0</v>
      </c>
      <c r="Q31" s="36">
        <v>0.28</v>
      </c>
      <c r="R31" s="36">
        <v>1.35</v>
      </c>
      <c r="S31" s="36">
        <v>3.42</v>
      </c>
      <c r="T31" s="36">
        <v>4.77</v>
      </c>
      <c r="U31" s="21">
        <f t="shared" si="1"/>
        <v>4770</v>
      </c>
      <c r="V31" s="21">
        <f t="shared" si="2"/>
        <v>152100</v>
      </c>
    </row>
    <row r="32" ht="14.25" customHeight="1">
      <c r="A32" s="38">
        <v>0.18194444444444444</v>
      </c>
      <c r="B32" s="36">
        <v>68.0</v>
      </c>
      <c r="C32" s="36">
        <v>8.6</v>
      </c>
      <c r="D32" s="36">
        <v>671.0</v>
      </c>
      <c r="E32" s="36">
        <v>629.0</v>
      </c>
      <c r="F32" s="36">
        <v>0.94</v>
      </c>
      <c r="G32" s="36">
        <v>12.0</v>
      </c>
      <c r="H32" s="36">
        <v>1.42</v>
      </c>
      <c r="I32" s="36">
        <v>16.5</v>
      </c>
      <c r="J32" s="36">
        <v>88.7</v>
      </c>
      <c r="K32" s="36">
        <v>77.0</v>
      </c>
      <c r="L32" s="36">
        <v>53.8</v>
      </c>
      <c r="M32" s="36">
        <v>96.0</v>
      </c>
      <c r="N32" s="36">
        <v>46.0</v>
      </c>
      <c r="O32" s="36">
        <v>12.0</v>
      </c>
      <c r="P32" s="36">
        <v>28.0</v>
      </c>
      <c r="Q32" s="36">
        <v>0.22</v>
      </c>
      <c r="R32" s="36">
        <v>1.16</v>
      </c>
      <c r="S32" s="36">
        <v>4.0</v>
      </c>
      <c r="T32" s="36">
        <v>5.16</v>
      </c>
      <c r="U32" s="21">
        <f t="shared" si="1"/>
        <v>5160</v>
      </c>
      <c r="V32" s="21">
        <f t="shared" si="2"/>
        <v>84100</v>
      </c>
    </row>
    <row r="33" ht="14.25" customHeight="1">
      <c r="A33" s="38">
        <v>0.18611111111111112</v>
      </c>
      <c r="B33" s="36">
        <v>71.0</v>
      </c>
      <c r="C33" s="36">
        <v>8.4</v>
      </c>
      <c r="D33" s="36">
        <v>659.0</v>
      </c>
      <c r="E33" s="36">
        <v>607.0</v>
      </c>
      <c r="F33" s="36">
        <v>0.92</v>
      </c>
      <c r="G33" s="36">
        <v>11.0</v>
      </c>
      <c r="H33" s="36">
        <v>1.45</v>
      </c>
      <c r="I33" s="36">
        <v>15.9</v>
      </c>
      <c r="J33" s="36">
        <v>89.2</v>
      </c>
      <c r="K33" s="36">
        <v>79.0</v>
      </c>
      <c r="L33" s="36">
        <v>52.4</v>
      </c>
      <c r="M33" s="36">
        <v>95.0</v>
      </c>
      <c r="N33" s="36">
        <v>46.0</v>
      </c>
      <c r="O33" s="36">
        <v>11.0</v>
      </c>
      <c r="P33" s="36">
        <v>27.0</v>
      </c>
      <c r="Q33" s="36">
        <v>0.22</v>
      </c>
      <c r="R33" s="36">
        <v>1.18</v>
      </c>
      <c r="S33" s="36">
        <v>4.27</v>
      </c>
      <c r="T33" s="36">
        <v>5.45</v>
      </c>
      <c r="U33" s="21">
        <f t="shared" si="1"/>
        <v>5450</v>
      </c>
      <c r="V33" s="21">
        <f t="shared" si="2"/>
        <v>372100</v>
      </c>
    </row>
    <row r="34" ht="14.25" customHeight="1">
      <c r="A34" s="38">
        <v>0.1909722222222222</v>
      </c>
      <c r="B34" s="36">
        <v>74.0</v>
      </c>
      <c r="C34" s="36">
        <v>8.4</v>
      </c>
      <c r="D34" s="36">
        <v>658.0</v>
      </c>
      <c r="E34" s="36">
        <v>594.0</v>
      </c>
      <c r="F34" s="36">
        <v>0.9</v>
      </c>
      <c r="G34" s="36">
        <v>10.0</v>
      </c>
      <c r="H34" s="36">
        <v>1.54</v>
      </c>
      <c r="I34" s="36">
        <v>15.3</v>
      </c>
      <c r="J34" s="36">
        <v>89.6</v>
      </c>
      <c r="K34" s="36">
        <v>80.0</v>
      </c>
      <c r="L34" s="36">
        <v>52.0</v>
      </c>
      <c r="M34" s="36">
        <v>94.0</v>
      </c>
      <c r="N34" s="36">
        <v>47.0</v>
      </c>
      <c r="O34" s="36">
        <v>10.0</v>
      </c>
      <c r="P34" s="36">
        <v>27.0</v>
      </c>
      <c r="Q34" s="36">
        <v>0.21</v>
      </c>
      <c r="R34" s="36">
        <v>1.27</v>
      </c>
      <c r="S34" s="36">
        <v>4.78</v>
      </c>
      <c r="T34" s="36">
        <v>6.06</v>
      </c>
      <c r="U34" s="21">
        <f t="shared" si="1"/>
        <v>6060</v>
      </c>
      <c r="V34" s="21">
        <f t="shared" si="2"/>
        <v>1600</v>
      </c>
    </row>
    <row r="35" ht="14.25" customHeight="1">
      <c r="A35" s="38">
        <v>0.1951388888888889</v>
      </c>
      <c r="B35" s="36">
        <v>77.0</v>
      </c>
      <c r="C35" s="36">
        <v>8.3</v>
      </c>
      <c r="D35" s="36">
        <v>647.0</v>
      </c>
      <c r="E35" s="36">
        <v>584.0</v>
      </c>
      <c r="F35" s="36">
        <v>0.9</v>
      </c>
      <c r="G35" s="36">
        <v>10.0</v>
      </c>
      <c r="H35" s="36">
        <v>1.53</v>
      </c>
      <c r="I35" s="36">
        <v>15.0</v>
      </c>
      <c r="J35" s="36">
        <v>89.7</v>
      </c>
      <c r="K35" s="36">
        <v>80.0</v>
      </c>
      <c r="L35" s="36">
        <v>52.0</v>
      </c>
      <c r="M35" s="36">
        <v>94.0</v>
      </c>
      <c r="N35" s="36">
        <v>47.0</v>
      </c>
      <c r="O35" s="36">
        <v>10.0</v>
      </c>
      <c r="P35" s="36">
        <v>27.0</v>
      </c>
      <c r="Q35" s="36">
        <v>0.22</v>
      </c>
      <c r="R35" s="36">
        <v>1.34</v>
      </c>
      <c r="S35" s="36">
        <v>4.76</v>
      </c>
      <c r="T35" s="36">
        <v>6.1</v>
      </c>
      <c r="U35" s="21">
        <f t="shared" si="1"/>
        <v>6100</v>
      </c>
      <c r="V35" s="21">
        <f t="shared" si="2"/>
        <v>193600</v>
      </c>
    </row>
    <row r="36" ht="14.25" customHeight="1">
      <c r="A36" s="38">
        <v>0.1986111111111111</v>
      </c>
      <c r="B36" s="36">
        <v>80.0</v>
      </c>
      <c r="C36" s="36">
        <v>8.5</v>
      </c>
      <c r="D36" s="36">
        <v>664.0</v>
      </c>
      <c r="E36" s="36">
        <v>583.0</v>
      </c>
      <c r="F36" s="36">
        <v>0.88</v>
      </c>
      <c r="G36" s="36">
        <v>11.0</v>
      </c>
      <c r="H36" s="36">
        <v>1.43</v>
      </c>
      <c r="I36" s="36">
        <v>15.2</v>
      </c>
      <c r="J36" s="36">
        <v>89.6</v>
      </c>
      <c r="K36" s="36">
        <v>79.0</v>
      </c>
      <c r="L36" s="36">
        <v>53.0</v>
      </c>
      <c r="M36" s="36">
        <v>94.0</v>
      </c>
      <c r="N36" s="36">
        <v>46.0</v>
      </c>
      <c r="O36" s="36">
        <v>11.0</v>
      </c>
      <c r="P36" s="36">
        <v>27.0</v>
      </c>
      <c r="Q36" s="36">
        <v>0.23</v>
      </c>
      <c r="R36" s="36">
        <v>1.29</v>
      </c>
      <c r="S36" s="36">
        <v>4.37</v>
      </c>
      <c r="T36" s="36">
        <v>5.66</v>
      </c>
      <c r="U36" s="21">
        <f t="shared" si="1"/>
        <v>5660</v>
      </c>
      <c r="V36" s="21">
        <f t="shared" si="2"/>
        <v>32400</v>
      </c>
    </row>
    <row r="37" ht="14.25" customHeight="1">
      <c r="A37" s="38">
        <v>0.20208333333333334</v>
      </c>
      <c r="B37" s="36">
        <v>82.0</v>
      </c>
      <c r="C37" s="36">
        <v>8.5</v>
      </c>
      <c r="D37" s="36">
        <v>660.0</v>
      </c>
      <c r="E37" s="36">
        <v>580.0</v>
      </c>
      <c r="F37" s="36">
        <v>0.88</v>
      </c>
      <c r="G37" s="36">
        <v>11.0</v>
      </c>
      <c r="H37" s="36">
        <v>1.41</v>
      </c>
      <c r="I37" s="36">
        <v>15.4</v>
      </c>
      <c r="J37" s="36">
        <v>89.5</v>
      </c>
      <c r="K37" s="36">
        <v>76.0</v>
      </c>
      <c r="L37" s="36">
        <v>54.7</v>
      </c>
      <c r="M37" s="36">
        <v>96.0</v>
      </c>
      <c r="N37" s="36">
        <v>46.0</v>
      </c>
      <c r="O37" s="36">
        <v>11.0</v>
      </c>
      <c r="P37" s="36">
        <v>27.0</v>
      </c>
      <c r="Q37" s="36">
        <v>0.27</v>
      </c>
      <c r="R37" s="36">
        <v>1.46</v>
      </c>
      <c r="S37" s="36">
        <v>4.02</v>
      </c>
      <c r="T37" s="36">
        <v>5.48</v>
      </c>
      <c r="U37" s="21">
        <f t="shared" si="1"/>
        <v>5480</v>
      </c>
      <c r="V37" s="21">
        <f t="shared" si="2"/>
        <v>28900</v>
      </c>
    </row>
    <row r="38" ht="14.25" customHeight="1">
      <c r="A38" s="38">
        <v>0.2048611111111111</v>
      </c>
      <c r="B38" s="36">
        <v>84.0</v>
      </c>
      <c r="C38" s="36">
        <v>8.7</v>
      </c>
      <c r="D38" s="36">
        <v>680.0</v>
      </c>
      <c r="E38" s="36">
        <v>581.0</v>
      </c>
      <c r="F38" s="36">
        <v>0.85</v>
      </c>
      <c r="G38" s="36">
        <v>11.0</v>
      </c>
      <c r="H38" s="36">
        <v>1.44</v>
      </c>
      <c r="I38" s="36">
        <v>15.3</v>
      </c>
      <c r="J38" s="36">
        <v>89.6</v>
      </c>
      <c r="K38" s="36">
        <v>71.0</v>
      </c>
      <c r="L38" s="36">
        <v>57.8</v>
      </c>
      <c r="M38" s="36">
        <v>95.0</v>
      </c>
      <c r="N38" s="36">
        <v>46.0</v>
      </c>
      <c r="O38" s="36">
        <v>11.0</v>
      </c>
      <c r="P38" s="36">
        <v>28.0</v>
      </c>
      <c r="Q38" s="36">
        <v>0.26</v>
      </c>
      <c r="R38" s="36">
        <v>1.47</v>
      </c>
      <c r="S38" s="36">
        <v>4.18</v>
      </c>
      <c r="T38" s="36">
        <v>5.65</v>
      </c>
      <c r="U38" s="21">
        <f t="shared" si="1"/>
        <v>5650</v>
      </c>
      <c r="V38" s="21">
        <f t="shared" si="2"/>
        <v>400</v>
      </c>
    </row>
    <row r="39" ht="14.25" customHeight="1">
      <c r="A39" s="38">
        <v>0.20902777777777778</v>
      </c>
      <c r="B39" s="36">
        <v>87.0</v>
      </c>
      <c r="C39" s="36">
        <v>9.0</v>
      </c>
      <c r="D39" s="36">
        <v>700.0</v>
      </c>
      <c r="E39" s="36">
        <v>595.0</v>
      </c>
      <c r="F39" s="36">
        <v>0.85</v>
      </c>
      <c r="G39" s="36">
        <v>11.0</v>
      </c>
      <c r="H39" s="36">
        <v>1.48</v>
      </c>
      <c r="I39" s="36">
        <v>15.8</v>
      </c>
      <c r="J39" s="36">
        <v>89.3</v>
      </c>
      <c r="K39" s="36">
        <v>69.0</v>
      </c>
      <c r="L39" s="36">
        <v>58.9</v>
      </c>
      <c r="M39" s="36">
        <v>95.0</v>
      </c>
      <c r="N39" s="36">
        <v>46.0</v>
      </c>
      <c r="O39" s="36">
        <v>11.0</v>
      </c>
      <c r="P39" s="36">
        <v>29.0</v>
      </c>
      <c r="Q39" s="36">
        <v>0.27</v>
      </c>
      <c r="R39" s="36">
        <v>1.53</v>
      </c>
      <c r="S39" s="36">
        <v>4.1</v>
      </c>
      <c r="T39" s="36">
        <v>5.63</v>
      </c>
      <c r="U39" s="21">
        <f t="shared" si="1"/>
        <v>5630</v>
      </c>
      <c r="V39" s="21">
        <f t="shared" si="2"/>
        <v>16900</v>
      </c>
    </row>
    <row r="40" ht="14.25" customHeight="1">
      <c r="A40" s="38">
        <v>0.21319444444444444</v>
      </c>
      <c r="B40" s="36">
        <v>90.0</v>
      </c>
      <c r="C40" s="36">
        <v>9.1</v>
      </c>
      <c r="D40" s="36">
        <v>713.0</v>
      </c>
      <c r="E40" s="36">
        <v>614.0</v>
      </c>
      <c r="F40" s="36">
        <v>0.86</v>
      </c>
      <c r="G40" s="36">
        <v>10.0</v>
      </c>
      <c r="H40" s="36">
        <v>1.56</v>
      </c>
      <c r="I40" s="36">
        <v>16.2</v>
      </c>
      <c r="J40" s="36">
        <v>88.9</v>
      </c>
      <c r="K40" s="36">
        <v>69.0</v>
      </c>
      <c r="L40" s="36">
        <v>58.9</v>
      </c>
      <c r="M40" s="36">
        <v>95.0</v>
      </c>
      <c r="N40" s="36">
        <v>46.0</v>
      </c>
      <c r="O40" s="36">
        <v>10.0</v>
      </c>
      <c r="P40" s="36">
        <v>29.0</v>
      </c>
      <c r="Q40" s="36">
        <v>0.28</v>
      </c>
      <c r="R40" s="36">
        <v>1.59</v>
      </c>
      <c r="S40" s="36">
        <v>4.17</v>
      </c>
      <c r="T40" s="36">
        <v>5.76</v>
      </c>
      <c r="U40" s="21">
        <f t="shared" si="1"/>
        <v>5760</v>
      </c>
      <c r="V40" s="21">
        <f t="shared" si="2"/>
        <v>152100</v>
      </c>
    </row>
    <row r="41" ht="14.25" customHeight="1">
      <c r="A41" s="38">
        <v>0.21944444444444444</v>
      </c>
      <c r="B41" s="36">
        <v>95.0</v>
      </c>
      <c r="C41" s="36">
        <v>9.1</v>
      </c>
      <c r="D41" s="36">
        <v>713.0</v>
      </c>
      <c r="E41" s="36">
        <v>612.0</v>
      </c>
      <c r="F41" s="36">
        <v>0.86</v>
      </c>
      <c r="G41" s="36">
        <v>10.0</v>
      </c>
      <c r="H41" s="36">
        <v>1.64</v>
      </c>
      <c r="I41" s="36">
        <v>16.0</v>
      </c>
      <c r="J41" s="36">
        <v>89.1</v>
      </c>
      <c r="K41" s="36">
        <v>69.0</v>
      </c>
      <c r="L41" s="36">
        <v>58.9</v>
      </c>
      <c r="M41" s="36">
        <v>94.0</v>
      </c>
      <c r="N41" s="36">
        <v>47.0</v>
      </c>
      <c r="O41" s="36">
        <v>10.0</v>
      </c>
      <c r="P41" s="36">
        <v>29.0</v>
      </c>
      <c r="Q41" s="36">
        <v>0.26</v>
      </c>
      <c r="R41" s="36">
        <v>1.61</v>
      </c>
      <c r="S41" s="36">
        <v>4.54</v>
      </c>
      <c r="T41" s="36">
        <v>6.15</v>
      </c>
      <c r="U41" s="21">
        <f t="shared" si="1"/>
        <v>6150</v>
      </c>
      <c r="V41" s="21">
        <f t="shared" si="2"/>
        <v>2500</v>
      </c>
    </row>
    <row r="42" ht="14.25" customHeight="1">
      <c r="A42" s="38">
        <v>0.225</v>
      </c>
      <c r="B42" s="36">
        <v>99.0</v>
      </c>
      <c r="C42" s="36">
        <v>9.8</v>
      </c>
      <c r="D42" s="36">
        <v>761.0</v>
      </c>
      <c r="E42" s="36">
        <v>654.0</v>
      </c>
      <c r="F42" s="36">
        <v>0.86</v>
      </c>
      <c r="G42" s="36">
        <v>10.0</v>
      </c>
      <c r="H42" s="36">
        <v>1.72</v>
      </c>
      <c r="I42" s="36">
        <v>16.9</v>
      </c>
      <c r="J42" s="36">
        <v>88.5</v>
      </c>
      <c r="K42" s="36">
        <v>73.0</v>
      </c>
      <c r="L42" s="36">
        <v>56.5</v>
      </c>
      <c r="M42" s="36">
        <v>94.0</v>
      </c>
      <c r="N42" s="36">
        <v>46.0</v>
      </c>
      <c r="O42" s="36">
        <v>10.0</v>
      </c>
      <c r="P42" s="36">
        <v>31.0</v>
      </c>
      <c r="Q42" s="36">
        <v>0.26</v>
      </c>
      <c r="R42" s="36">
        <v>1.61</v>
      </c>
      <c r="S42" s="36">
        <v>4.49</v>
      </c>
      <c r="T42" s="36">
        <v>6.1</v>
      </c>
      <c r="U42" s="21">
        <f t="shared" si="1"/>
        <v>6100</v>
      </c>
      <c r="V42" s="21">
        <f t="shared" si="2"/>
        <v>0</v>
      </c>
    </row>
    <row r="43" ht="14.25" customHeight="1">
      <c r="A43" s="38">
        <v>0.22777777777777777</v>
      </c>
      <c r="B43" s="36">
        <v>101.0</v>
      </c>
      <c r="C43" s="36">
        <v>9.8</v>
      </c>
      <c r="D43" s="36">
        <v>761.0</v>
      </c>
      <c r="E43" s="36">
        <v>655.0</v>
      </c>
      <c r="F43" s="36">
        <v>0.86</v>
      </c>
      <c r="G43" s="36">
        <v>10.0</v>
      </c>
      <c r="H43" s="36">
        <v>1.72</v>
      </c>
      <c r="I43" s="36">
        <v>16.9</v>
      </c>
      <c r="J43" s="36">
        <v>88.5</v>
      </c>
      <c r="K43" s="36">
        <v>80.0</v>
      </c>
      <c r="L43" s="36">
        <v>52.3</v>
      </c>
      <c r="M43" s="36">
        <v>94.0</v>
      </c>
      <c r="N43" s="36">
        <v>46.0</v>
      </c>
      <c r="O43" s="36">
        <v>10.0</v>
      </c>
      <c r="P43" s="36">
        <v>31.0</v>
      </c>
      <c r="Q43" s="36">
        <v>0.26</v>
      </c>
      <c r="R43" s="36">
        <v>1.61</v>
      </c>
      <c r="S43" s="36">
        <v>4.49</v>
      </c>
      <c r="T43" s="36">
        <v>6.1</v>
      </c>
      <c r="U43" s="21">
        <f t="shared" si="1"/>
        <v>6100</v>
      </c>
      <c r="V43" s="21">
        <f t="shared" si="2"/>
        <v>57600</v>
      </c>
    </row>
    <row r="44" ht="14.25" customHeight="1">
      <c r="A44" s="38">
        <v>0.23055555555555557</v>
      </c>
      <c r="B44" s="36">
        <v>103.0</v>
      </c>
      <c r="C44" s="36">
        <v>10.2</v>
      </c>
      <c r="D44" s="36">
        <v>793.0</v>
      </c>
      <c r="E44" s="36">
        <v>684.0</v>
      </c>
      <c r="F44" s="36">
        <v>0.86</v>
      </c>
      <c r="G44" s="36">
        <v>10.0</v>
      </c>
      <c r="H44" s="36">
        <v>1.74</v>
      </c>
      <c r="I44" s="36">
        <v>17.8</v>
      </c>
      <c r="J44" s="36">
        <v>87.9</v>
      </c>
      <c r="K44" s="36">
        <v>88.0</v>
      </c>
      <c r="L44" s="36">
        <v>47.4</v>
      </c>
      <c r="M44" s="36">
        <v>94.0</v>
      </c>
      <c r="N44" s="36">
        <v>46.0</v>
      </c>
      <c r="O44" s="36">
        <v>10.0</v>
      </c>
      <c r="P44" s="36">
        <v>33.0</v>
      </c>
      <c r="Q44" s="36">
        <v>0.27</v>
      </c>
      <c r="R44" s="36">
        <v>1.57</v>
      </c>
      <c r="S44" s="36">
        <v>4.29</v>
      </c>
      <c r="T44" s="36">
        <v>5.86</v>
      </c>
      <c r="U44" s="21">
        <f t="shared" si="1"/>
        <v>5860</v>
      </c>
      <c r="V44" s="21">
        <f t="shared" si="2"/>
        <v>2500</v>
      </c>
    </row>
    <row r="45" ht="14.25" customHeight="1">
      <c r="A45" s="38">
        <v>0.23402777777777778</v>
      </c>
      <c r="B45" s="36">
        <v>105.0</v>
      </c>
      <c r="C45" s="36">
        <v>10.2</v>
      </c>
      <c r="D45" s="36">
        <v>795.0</v>
      </c>
      <c r="E45" s="36">
        <v>683.0</v>
      </c>
      <c r="F45" s="36">
        <v>0.86</v>
      </c>
      <c r="G45" s="36">
        <v>10.0</v>
      </c>
      <c r="H45" s="36">
        <v>1.73</v>
      </c>
      <c r="I45" s="36">
        <v>17.6</v>
      </c>
      <c r="J45" s="36">
        <v>88.0</v>
      </c>
      <c r="K45" s="36">
        <v>86.0</v>
      </c>
      <c r="L45" s="36">
        <v>48.4</v>
      </c>
      <c r="M45" s="36">
        <v>93.0</v>
      </c>
      <c r="N45" s="36">
        <v>47.0</v>
      </c>
      <c r="O45" s="36">
        <v>10.0</v>
      </c>
      <c r="P45" s="36">
        <v>33.0</v>
      </c>
      <c r="Q45" s="36">
        <v>0.26</v>
      </c>
      <c r="R45" s="36">
        <v>1.54</v>
      </c>
      <c r="S45" s="36">
        <v>4.37</v>
      </c>
      <c r="T45" s="36">
        <v>5.91</v>
      </c>
      <c r="U45" s="21">
        <f t="shared" si="1"/>
        <v>5910</v>
      </c>
      <c r="V45" s="21">
        <f t="shared" si="2"/>
        <v>22500</v>
      </c>
    </row>
    <row r="46" ht="14.25" customHeight="1">
      <c r="A46" s="38">
        <v>0.2375</v>
      </c>
      <c r="B46" s="36">
        <v>107.0</v>
      </c>
      <c r="C46" s="36">
        <v>9.8</v>
      </c>
      <c r="D46" s="36">
        <v>761.0</v>
      </c>
      <c r="E46" s="36">
        <v>646.0</v>
      </c>
      <c r="F46" s="36">
        <v>0.85</v>
      </c>
      <c r="G46" s="36">
        <v>10.0</v>
      </c>
      <c r="H46" s="36">
        <v>1.61</v>
      </c>
      <c r="I46" s="36">
        <v>16.7</v>
      </c>
      <c r="J46" s="36">
        <v>88.6</v>
      </c>
      <c r="K46" s="36">
        <v>87.0</v>
      </c>
      <c r="L46" s="36">
        <v>48.1</v>
      </c>
      <c r="M46" s="36">
        <v>92.0</v>
      </c>
      <c r="N46" s="36">
        <v>48.0</v>
      </c>
      <c r="O46" s="36">
        <v>10.0</v>
      </c>
      <c r="P46" s="36">
        <v>31.0</v>
      </c>
      <c r="Q46" s="36">
        <v>0.26</v>
      </c>
      <c r="R46" s="36">
        <v>1.47</v>
      </c>
      <c r="S46" s="36">
        <v>4.29</v>
      </c>
      <c r="T46" s="36">
        <v>5.76</v>
      </c>
      <c r="U46" s="21">
        <f t="shared" si="1"/>
        <v>5760</v>
      </c>
      <c r="V46" s="21">
        <f t="shared" si="2"/>
        <v>152100</v>
      </c>
    </row>
    <row r="47" ht="14.25" customHeight="1">
      <c r="A47" s="38">
        <v>0.24027777777777778</v>
      </c>
      <c r="B47" s="36">
        <v>110.0</v>
      </c>
      <c r="C47" s="36">
        <v>10.0</v>
      </c>
      <c r="D47" s="36">
        <v>783.0</v>
      </c>
      <c r="E47" s="36">
        <v>647.0</v>
      </c>
      <c r="F47" s="36">
        <v>0.83</v>
      </c>
      <c r="G47" s="36">
        <v>11.0</v>
      </c>
      <c r="H47" s="36">
        <v>1.49</v>
      </c>
      <c r="I47" s="36">
        <v>16.6</v>
      </c>
      <c r="J47" s="36">
        <v>88.7</v>
      </c>
      <c r="K47" s="36">
        <v>86.0</v>
      </c>
      <c r="L47" s="36">
        <v>48.2</v>
      </c>
      <c r="M47" s="36">
        <v>91.0</v>
      </c>
      <c r="N47" s="36">
        <v>48.0</v>
      </c>
      <c r="O47" s="36">
        <v>11.0</v>
      </c>
      <c r="P47" s="36">
        <v>32.0</v>
      </c>
      <c r="Q47" s="36">
        <v>0.26</v>
      </c>
      <c r="R47" s="36">
        <v>1.41</v>
      </c>
      <c r="S47" s="36">
        <v>3.96</v>
      </c>
      <c r="T47" s="36">
        <v>5.37</v>
      </c>
      <c r="U47" s="21">
        <f t="shared" si="1"/>
        <v>5370</v>
      </c>
      <c r="V47" s="21">
        <f t="shared" si="2"/>
        <v>40000</v>
      </c>
    </row>
    <row r="48" ht="14.25" customHeight="1">
      <c r="A48" s="38">
        <v>0.24513888888888888</v>
      </c>
      <c r="B48" s="36">
        <v>113.0</v>
      </c>
      <c r="C48" s="36">
        <v>11.1</v>
      </c>
      <c r="D48" s="36">
        <v>863.0</v>
      </c>
      <c r="E48" s="36">
        <v>733.0</v>
      </c>
      <c r="F48" s="36">
        <v>0.85</v>
      </c>
      <c r="G48" s="36">
        <v>12.0</v>
      </c>
      <c r="H48" s="36">
        <v>1.67</v>
      </c>
      <c r="I48" s="36">
        <v>19.3</v>
      </c>
      <c r="J48" s="36">
        <v>86.8</v>
      </c>
      <c r="K48" s="36">
        <v>86.0</v>
      </c>
      <c r="L48" s="36">
        <v>48.3</v>
      </c>
      <c r="M48" s="36">
        <v>93.0</v>
      </c>
      <c r="N48" s="36">
        <v>47.0</v>
      </c>
      <c r="O48" s="36">
        <v>12.0</v>
      </c>
      <c r="P48" s="36">
        <v>36.0</v>
      </c>
      <c r="Q48" s="36">
        <v>0.3</v>
      </c>
      <c r="R48" s="36">
        <v>1.54</v>
      </c>
      <c r="S48" s="36">
        <v>3.63</v>
      </c>
      <c r="T48" s="36">
        <v>5.17</v>
      </c>
      <c r="U48" s="21">
        <f t="shared" si="1"/>
        <v>5170</v>
      </c>
      <c r="V48" s="21">
        <f t="shared" si="2"/>
        <v>518400</v>
      </c>
    </row>
    <row r="49" ht="14.25" customHeight="1">
      <c r="A49" s="38">
        <v>0.24791666666666667</v>
      </c>
      <c r="B49" s="36">
        <v>115.0</v>
      </c>
      <c r="C49" s="36">
        <v>11.0</v>
      </c>
      <c r="D49" s="36">
        <v>854.0</v>
      </c>
      <c r="E49" s="36">
        <v>692.0</v>
      </c>
      <c r="F49" s="36">
        <v>0.81</v>
      </c>
      <c r="G49" s="36">
        <v>13.0</v>
      </c>
      <c r="H49" s="36">
        <v>1.33</v>
      </c>
      <c r="I49" s="36">
        <v>17.9</v>
      </c>
      <c r="J49" s="36">
        <v>87.8</v>
      </c>
      <c r="K49" s="36">
        <v>86.0</v>
      </c>
      <c r="L49" s="36">
        <v>48.3</v>
      </c>
      <c r="M49" s="36">
        <v>92.0</v>
      </c>
      <c r="N49" s="36">
        <v>47.0</v>
      </c>
      <c r="O49" s="36">
        <v>13.0</v>
      </c>
      <c r="P49" s="36">
        <v>35.0</v>
      </c>
      <c r="Q49" s="36">
        <v>0.29</v>
      </c>
      <c r="R49" s="36">
        <v>1.3</v>
      </c>
      <c r="S49" s="36">
        <v>3.16</v>
      </c>
      <c r="T49" s="36">
        <v>4.45</v>
      </c>
      <c r="U49" s="21">
        <f t="shared" si="1"/>
        <v>4450</v>
      </c>
      <c r="V49" s="21">
        <f t="shared" si="2"/>
        <v>90000</v>
      </c>
    </row>
    <row r="50" ht="14.25" customHeight="1">
      <c r="A50" s="38">
        <v>0.2520833333333333</v>
      </c>
      <c r="B50" s="36">
        <v>118.0</v>
      </c>
      <c r="C50" s="36">
        <v>12.3</v>
      </c>
      <c r="D50" s="36">
        <v>956.0</v>
      </c>
      <c r="E50" s="36">
        <v>786.0</v>
      </c>
      <c r="F50" s="36">
        <v>0.82</v>
      </c>
      <c r="G50" s="36">
        <v>13.0</v>
      </c>
      <c r="H50" s="36">
        <v>1.6</v>
      </c>
      <c r="I50" s="36">
        <v>20.2</v>
      </c>
      <c r="J50" s="36">
        <v>86.2</v>
      </c>
      <c r="K50" s="36">
        <v>88.0</v>
      </c>
      <c r="L50" s="36">
        <v>47.1</v>
      </c>
      <c r="M50" s="36">
        <v>93.0</v>
      </c>
      <c r="N50" s="36">
        <v>47.0</v>
      </c>
      <c r="O50" s="36">
        <v>13.0</v>
      </c>
      <c r="P50" s="36">
        <v>40.0</v>
      </c>
      <c r="Q50" s="36">
        <v>0.3</v>
      </c>
      <c r="R50" s="36">
        <v>1.44</v>
      </c>
      <c r="S50" s="36">
        <v>3.32</v>
      </c>
      <c r="T50" s="36">
        <v>4.75</v>
      </c>
      <c r="U50" s="21">
        <f t="shared" si="1"/>
        <v>4750</v>
      </c>
      <c r="V50" s="21">
        <f t="shared" si="2"/>
        <v>792100</v>
      </c>
    </row>
    <row r="51" ht="14.25" customHeight="1">
      <c r="A51" s="38">
        <v>0.25833333333333336</v>
      </c>
      <c r="B51" s="36">
        <v>122.0</v>
      </c>
      <c r="C51" s="36">
        <v>12.4</v>
      </c>
      <c r="D51" s="36">
        <v>967.0</v>
      </c>
      <c r="E51" s="36">
        <v>803.0</v>
      </c>
      <c r="F51" s="36">
        <v>0.83</v>
      </c>
      <c r="G51" s="36">
        <v>11.0</v>
      </c>
      <c r="H51" s="36">
        <v>1.89</v>
      </c>
      <c r="I51" s="36">
        <v>20.1</v>
      </c>
      <c r="J51" s="36">
        <v>86.3</v>
      </c>
      <c r="K51" s="36">
        <v>90.0</v>
      </c>
      <c r="L51" s="36">
        <v>46.0</v>
      </c>
      <c r="M51" s="36">
        <v>91.0</v>
      </c>
      <c r="N51" s="36">
        <v>48.0</v>
      </c>
      <c r="O51" s="36">
        <v>11.0</v>
      </c>
      <c r="P51" s="36">
        <v>40.0</v>
      </c>
      <c r="Q51" s="36">
        <v>0.29</v>
      </c>
      <c r="R51" s="36">
        <v>1.65</v>
      </c>
      <c r="S51" s="36">
        <v>3.99</v>
      </c>
      <c r="T51" s="36">
        <v>5.64</v>
      </c>
      <c r="U51" s="21">
        <f t="shared" si="1"/>
        <v>5640</v>
      </c>
      <c r="V51" s="21">
        <f t="shared" si="2"/>
        <v>108900</v>
      </c>
    </row>
    <row r="52" ht="14.25" customHeight="1">
      <c r="A52" s="38">
        <v>0.26666666666666666</v>
      </c>
      <c r="B52" s="36">
        <v>129.0</v>
      </c>
      <c r="C52" s="36">
        <v>13.5</v>
      </c>
      <c r="D52" s="36">
        <v>1053.0</v>
      </c>
      <c r="E52" s="36">
        <v>880.0</v>
      </c>
      <c r="F52" s="36">
        <v>0.84</v>
      </c>
      <c r="G52" s="36">
        <v>10.0</v>
      </c>
      <c r="H52" s="36">
        <v>2.17</v>
      </c>
      <c r="I52" s="36">
        <v>21.8</v>
      </c>
      <c r="J52" s="36">
        <v>85.2</v>
      </c>
      <c r="K52" s="36">
        <v>92.0</v>
      </c>
      <c r="L52" s="36">
        <v>44.6</v>
      </c>
      <c r="M52" s="36">
        <v>91.0</v>
      </c>
      <c r="N52" s="36">
        <v>48.0</v>
      </c>
      <c r="O52" s="36">
        <v>10.0</v>
      </c>
      <c r="P52" s="36">
        <v>44.0</v>
      </c>
      <c r="Q52" s="36">
        <v>0.3</v>
      </c>
      <c r="R52" s="36">
        <v>1.77</v>
      </c>
      <c r="S52" s="36">
        <v>4.2</v>
      </c>
      <c r="T52" s="36">
        <v>5.97</v>
      </c>
      <c r="U52" s="21">
        <f t="shared" si="1"/>
        <v>5970</v>
      </c>
      <c r="V52" s="21">
        <f t="shared" si="2"/>
        <v>25600</v>
      </c>
    </row>
    <row r="53" ht="14.25" customHeight="1">
      <c r="A53" s="38">
        <v>0.2708333333333333</v>
      </c>
      <c r="B53" s="36">
        <v>132.0</v>
      </c>
      <c r="C53" s="36">
        <v>14.3</v>
      </c>
      <c r="D53" s="36">
        <v>1114.0</v>
      </c>
      <c r="E53" s="36">
        <v>933.0</v>
      </c>
      <c r="F53" s="36">
        <v>0.84</v>
      </c>
      <c r="G53" s="36">
        <v>10.0</v>
      </c>
      <c r="H53" s="36">
        <v>2.32</v>
      </c>
      <c r="I53" s="36">
        <v>22.7</v>
      </c>
      <c r="J53" s="36">
        <v>84.5</v>
      </c>
      <c r="K53" s="36">
        <v>95.0</v>
      </c>
      <c r="L53" s="36">
        <v>43.0</v>
      </c>
      <c r="M53" s="36">
        <v>91.0</v>
      </c>
      <c r="N53" s="36">
        <v>48.0</v>
      </c>
      <c r="O53" s="36">
        <v>10.0</v>
      </c>
      <c r="P53" s="36">
        <v>46.0</v>
      </c>
      <c r="Q53" s="36">
        <v>0.3</v>
      </c>
      <c r="R53" s="36">
        <v>1.85</v>
      </c>
      <c r="S53" s="36">
        <v>4.29</v>
      </c>
      <c r="T53" s="36">
        <v>6.13</v>
      </c>
      <c r="U53" s="21">
        <f t="shared" si="1"/>
        <v>6130</v>
      </c>
      <c r="V53" s="21">
        <f t="shared" si="2"/>
        <v>136900</v>
      </c>
    </row>
    <row r="54" ht="14.25" customHeight="1">
      <c r="A54" s="38">
        <v>0.275</v>
      </c>
      <c r="B54" s="36">
        <v>135.0</v>
      </c>
      <c r="C54" s="36">
        <v>14.9</v>
      </c>
      <c r="D54" s="36">
        <v>1160.0</v>
      </c>
      <c r="E54" s="36">
        <v>992.0</v>
      </c>
      <c r="F54" s="36">
        <v>0.86</v>
      </c>
      <c r="G54" s="36">
        <v>9.0</v>
      </c>
      <c r="H54" s="36">
        <v>2.61</v>
      </c>
      <c r="I54" s="36">
        <v>24.1</v>
      </c>
      <c r="J54" s="36">
        <v>83.6</v>
      </c>
      <c r="K54" s="36">
        <v>98.0</v>
      </c>
      <c r="L54" s="36">
        <v>41.1</v>
      </c>
      <c r="M54" s="36">
        <v>92.0</v>
      </c>
      <c r="N54" s="36">
        <v>48.0</v>
      </c>
      <c r="O54" s="36">
        <v>9.0</v>
      </c>
      <c r="P54" s="36">
        <v>48.0</v>
      </c>
      <c r="Q54" s="36">
        <v>0.31</v>
      </c>
      <c r="R54" s="36">
        <v>2.03</v>
      </c>
      <c r="S54" s="36">
        <v>4.47</v>
      </c>
      <c r="T54" s="36">
        <v>6.5</v>
      </c>
      <c r="U54" s="21">
        <f t="shared" si="1"/>
        <v>6500</v>
      </c>
      <c r="V54" s="21">
        <f t="shared" si="2"/>
        <v>3600</v>
      </c>
    </row>
    <row r="55" ht="14.25" customHeight="1">
      <c r="A55" s="38">
        <v>0.2798611111111111</v>
      </c>
      <c r="B55" s="36">
        <v>138.0</v>
      </c>
      <c r="C55" s="36">
        <v>15.2</v>
      </c>
      <c r="D55" s="36">
        <v>1185.0</v>
      </c>
      <c r="E55" s="36">
        <v>1043.0</v>
      </c>
      <c r="F55" s="36">
        <v>0.88</v>
      </c>
      <c r="G55" s="36">
        <v>9.0</v>
      </c>
      <c r="H55" s="36">
        <v>2.78</v>
      </c>
      <c r="I55" s="36">
        <v>25.4</v>
      </c>
      <c r="J55" s="36">
        <v>82.7</v>
      </c>
      <c r="K55" s="36">
        <v>101.0</v>
      </c>
      <c r="L55" s="36">
        <v>39.3</v>
      </c>
      <c r="M55" s="36">
        <v>92.0</v>
      </c>
      <c r="N55" s="36">
        <v>48.0</v>
      </c>
      <c r="O55" s="36">
        <v>9.0</v>
      </c>
      <c r="P55" s="36">
        <v>49.0</v>
      </c>
      <c r="Q55" s="36">
        <v>0.31</v>
      </c>
      <c r="R55" s="36">
        <v>2.0</v>
      </c>
      <c r="S55" s="36">
        <v>4.56</v>
      </c>
      <c r="T55" s="36">
        <v>6.56</v>
      </c>
      <c r="U55" s="21">
        <f t="shared" si="1"/>
        <v>6560</v>
      </c>
      <c r="V55" s="21">
        <f t="shared" si="2"/>
        <v>108900</v>
      </c>
    </row>
    <row r="56" ht="14.25" customHeight="1">
      <c r="A56" s="38">
        <v>0.2847222222222222</v>
      </c>
      <c r="B56" s="36">
        <v>142.0</v>
      </c>
      <c r="C56" s="36">
        <v>15.9</v>
      </c>
      <c r="D56" s="36">
        <v>1241.0</v>
      </c>
      <c r="E56" s="36">
        <v>1107.0</v>
      </c>
      <c r="F56" s="36">
        <v>0.89</v>
      </c>
      <c r="G56" s="36">
        <v>10.0</v>
      </c>
      <c r="H56" s="36">
        <v>2.79</v>
      </c>
      <c r="I56" s="36">
        <v>26.8</v>
      </c>
      <c r="J56" s="36">
        <v>81.7</v>
      </c>
      <c r="K56" s="36">
        <v>104.0</v>
      </c>
      <c r="L56" s="36">
        <v>37.6</v>
      </c>
      <c r="M56" s="36">
        <v>94.0</v>
      </c>
      <c r="N56" s="36">
        <v>48.0</v>
      </c>
      <c r="O56" s="36">
        <v>10.0</v>
      </c>
      <c r="P56" s="36">
        <v>51.0</v>
      </c>
      <c r="Q56" s="36">
        <v>0.32</v>
      </c>
      <c r="R56" s="36">
        <v>2.02</v>
      </c>
      <c r="S56" s="36">
        <v>4.21</v>
      </c>
      <c r="T56" s="36">
        <v>6.23</v>
      </c>
      <c r="U56" s="21">
        <f t="shared" si="1"/>
        <v>6230</v>
      </c>
      <c r="V56" s="21">
        <f t="shared" si="2"/>
        <v>10000</v>
      </c>
    </row>
    <row r="57" ht="14.25" customHeight="1">
      <c r="A57" s="38">
        <v>0.28888888888888886</v>
      </c>
      <c r="B57" s="36">
        <v>145.0</v>
      </c>
      <c r="C57" s="36">
        <v>15.8</v>
      </c>
      <c r="D57" s="36">
        <v>1233.0</v>
      </c>
      <c r="E57" s="36">
        <v>1112.0</v>
      </c>
      <c r="F57" s="36">
        <v>0.9</v>
      </c>
      <c r="G57" s="36">
        <v>10.0</v>
      </c>
      <c r="H57" s="36">
        <v>2.74</v>
      </c>
      <c r="I57" s="36">
        <v>26.8</v>
      </c>
      <c r="J57" s="36">
        <v>81.7</v>
      </c>
      <c r="K57" s="36">
        <v>108.0</v>
      </c>
      <c r="L57" s="36">
        <v>35.1</v>
      </c>
      <c r="M57" s="36">
        <v>94.0</v>
      </c>
      <c r="N57" s="36">
        <v>48.0</v>
      </c>
      <c r="O57" s="36">
        <v>10.0</v>
      </c>
      <c r="P57" s="36">
        <v>51.0</v>
      </c>
      <c r="Q57" s="36">
        <v>0.34</v>
      </c>
      <c r="R57" s="36">
        <v>2.07</v>
      </c>
      <c r="S57" s="36">
        <v>4.06</v>
      </c>
      <c r="T57" s="36">
        <v>6.13</v>
      </c>
      <c r="U57" s="21">
        <f t="shared" si="1"/>
        <v>6130</v>
      </c>
      <c r="V57" s="21">
        <f t="shared" si="2"/>
        <v>19600</v>
      </c>
    </row>
    <row r="58" ht="14.25" customHeight="1">
      <c r="A58" s="38">
        <v>0.2923611111111111</v>
      </c>
      <c r="B58" s="36">
        <v>147.0</v>
      </c>
      <c r="C58" s="36">
        <v>16.2</v>
      </c>
      <c r="D58" s="36">
        <v>1264.0</v>
      </c>
      <c r="E58" s="36">
        <v>1127.0</v>
      </c>
      <c r="F58" s="36">
        <v>0.89</v>
      </c>
      <c r="G58" s="36">
        <v>10.0</v>
      </c>
      <c r="H58" s="36">
        <v>2.68</v>
      </c>
      <c r="I58" s="36">
        <v>26.9</v>
      </c>
      <c r="J58" s="36">
        <v>81.7</v>
      </c>
      <c r="K58" s="36">
        <v>109.0</v>
      </c>
      <c r="L58" s="36">
        <v>34.9</v>
      </c>
      <c r="M58" s="36">
        <v>93.0</v>
      </c>
      <c r="N58" s="36">
        <v>49.0</v>
      </c>
      <c r="O58" s="36">
        <v>10.0</v>
      </c>
      <c r="P58" s="36">
        <v>52.0</v>
      </c>
      <c r="Q58" s="36">
        <v>0.32</v>
      </c>
      <c r="R58" s="36">
        <v>1.92</v>
      </c>
      <c r="S58" s="36">
        <v>4.07</v>
      </c>
      <c r="T58" s="36">
        <v>5.99</v>
      </c>
      <c r="U58" s="21">
        <f t="shared" si="1"/>
        <v>5990</v>
      </c>
      <c r="V58" s="21">
        <f t="shared" si="2"/>
        <v>100</v>
      </c>
    </row>
    <row r="59" ht="14.25" customHeight="1">
      <c r="A59" s="38">
        <v>0.29583333333333334</v>
      </c>
      <c r="B59" s="36">
        <v>150.0</v>
      </c>
      <c r="C59" s="36">
        <v>16.1</v>
      </c>
      <c r="D59" s="36">
        <v>1254.0</v>
      </c>
      <c r="E59" s="36">
        <v>1130.0</v>
      </c>
      <c r="F59" s="36">
        <v>0.9</v>
      </c>
      <c r="G59" s="36">
        <v>10.0</v>
      </c>
      <c r="H59" s="36">
        <v>2.72</v>
      </c>
      <c r="I59" s="36">
        <v>27.2</v>
      </c>
      <c r="J59" s="36">
        <v>81.5</v>
      </c>
      <c r="K59" s="36">
        <v>108.0</v>
      </c>
      <c r="L59" s="36">
        <v>35.3</v>
      </c>
      <c r="M59" s="36">
        <v>94.0</v>
      </c>
      <c r="N59" s="36">
        <v>49.0</v>
      </c>
      <c r="O59" s="36">
        <v>10.0</v>
      </c>
      <c r="P59" s="36">
        <v>52.0</v>
      </c>
      <c r="Q59" s="36">
        <v>0.32</v>
      </c>
      <c r="R59" s="36">
        <v>1.91</v>
      </c>
      <c r="S59" s="36">
        <v>4.09</v>
      </c>
      <c r="T59" s="36">
        <v>6.0</v>
      </c>
      <c r="U59" s="21">
        <f t="shared" si="1"/>
        <v>6000</v>
      </c>
      <c r="V59" s="21">
        <f t="shared" si="2"/>
        <v>10000</v>
      </c>
    </row>
    <row r="60" ht="14.25" customHeight="1">
      <c r="A60" s="38">
        <v>0.2986111111111111</v>
      </c>
      <c r="B60" s="36">
        <v>151.0</v>
      </c>
      <c r="C60" s="36">
        <v>15.7</v>
      </c>
      <c r="D60" s="36">
        <v>1225.0</v>
      </c>
      <c r="E60" s="36">
        <v>1087.0</v>
      </c>
      <c r="F60" s="36">
        <v>0.89</v>
      </c>
      <c r="G60" s="36">
        <v>10.0</v>
      </c>
      <c r="H60" s="36">
        <v>2.52</v>
      </c>
      <c r="I60" s="36">
        <v>25.6</v>
      </c>
      <c r="J60" s="36">
        <v>82.5</v>
      </c>
      <c r="K60" s="36">
        <v>108.0</v>
      </c>
      <c r="L60" s="36">
        <v>35.3</v>
      </c>
      <c r="M60" s="36">
        <v>93.0</v>
      </c>
      <c r="N60" s="36">
        <v>49.0</v>
      </c>
      <c r="O60" s="36">
        <v>10.0</v>
      </c>
      <c r="P60" s="36">
        <v>51.0</v>
      </c>
      <c r="Q60" s="36">
        <v>0.33</v>
      </c>
      <c r="R60" s="36">
        <v>1.97</v>
      </c>
      <c r="S60" s="36">
        <v>3.93</v>
      </c>
      <c r="T60" s="36">
        <v>5.9</v>
      </c>
      <c r="U60" s="21">
        <f t="shared" si="1"/>
        <v>5900</v>
      </c>
      <c r="V60" s="21">
        <f t="shared" si="2"/>
        <v>372100</v>
      </c>
    </row>
    <row r="61" ht="14.25" customHeight="1">
      <c r="A61" s="38">
        <v>0.30069444444444443</v>
      </c>
      <c r="B61" s="36">
        <v>153.0</v>
      </c>
      <c r="C61" s="36">
        <v>15.5</v>
      </c>
      <c r="D61" s="36">
        <v>1212.0</v>
      </c>
      <c r="E61" s="36">
        <v>1067.0</v>
      </c>
      <c r="F61" s="36">
        <v>0.88</v>
      </c>
      <c r="G61" s="36">
        <v>11.0</v>
      </c>
      <c r="H61" s="36">
        <v>2.22</v>
      </c>
      <c r="I61" s="36">
        <v>25.2</v>
      </c>
      <c r="J61" s="36">
        <v>82.8</v>
      </c>
      <c r="K61" s="36">
        <v>108.0</v>
      </c>
      <c r="L61" s="36">
        <v>35.4</v>
      </c>
      <c r="M61" s="36">
        <v>92.0</v>
      </c>
      <c r="N61" s="36">
        <v>50.0</v>
      </c>
      <c r="O61" s="36">
        <v>11.0</v>
      </c>
      <c r="P61" s="36">
        <v>50.0</v>
      </c>
      <c r="Q61" s="36">
        <v>0.3</v>
      </c>
      <c r="R61" s="36">
        <v>1.6</v>
      </c>
      <c r="S61" s="36">
        <v>3.69</v>
      </c>
      <c r="T61" s="36">
        <v>5.29</v>
      </c>
      <c r="U61" s="21">
        <f t="shared" si="1"/>
        <v>5290</v>
      </c>
      <c r="V61" s="21">
        <f t="shared" si="2"/>
        <v>0</v>
      </c>
    </row>
    <row r="62" ht="14.25" customHeight="1">
      <c r="A62" s="38">
        <v>0.30277777777777776</v>
      </c>
      <c r="B62" s="36">
        <v>154.0</v>
      </c>
      <c r="C62" s="36">
        <v>15.5</v>
      </c>
      <c r="D62" s="36">
        <v>1212.0</v>
      </c>
      <c r="E62" s="36">
        <v>1067.0</v>
      </c>
      <c r="F62" s="36">
        <v>0.88</v>
      </c>
      <c r="G62" s="36">
        <v>11.0</v>
      </c>
      <c r="H62" s="36">
        <v>2.22</v>
      </c>
      <c r="I62" s="36">
        <v>25.2</v>
      </c>
      <c r="J62" s="36">
        <v>82.8</v>
      </c>
      <c r="K62" s="36">
        <v>108.0</v>
      </c>
      <c r="L62" s="36">
        <v>35.6</v>
      </c>
      <c r="M62" s="36">
        <v>92.0</v>
      </c>
      <c r="N62" s="36">
        <v>50.0</v>
      </c>
      <c r="O62" s="36">
        <v>11.0</v>
      </c>
      <c r="P62" s="36">
        <v>50.0</v>
      </c>
      <c r="Q62" s="36">
        <v>0.3</v>
      </c>
      <c r="R62" s="36">
        <v>1.6</v>
      </c>
      <c r="S62" s="36">
        <v>3.69</v>
      </c>
      <c r="T62" s="36">
        <v>5.29</v>
      </c>
      <c r="U62" s="21">
        <f t="shared" si="1"/>
        <v>5290</v>
      </c>
      <c r="V62" s="21">
        <f t="shared" si="2"/>
        <v>78400</v>
      </c>
    </row>
    <row r="63" ht="14.25" customHeight="1">
      <c r="A63" s="38">
        <v>0.30625</v>
      </c>
      <c r="B63" s="36">
        <v>157.0</v>
      </c>
      <c r="C63" s="36">
        <v>16.5</v>
      </c>
      <c r="D63" s="36">
        <v>1287.0</v>
      </c>
      <c r="E63" s="36">
        <v>1130.0</v>
      </c>
      <c r="F63" s="36">
        <v>0.88</v>
      </c>
      <c r="G63" s="36">
        <v>12.0</v>
      </c>
      <c r="H63" s="36">
        <v>2.26</v>
      </c>
      <c r="I63" s="36">
        <v>27.0</v>
      </c>
      <c r="J63" s="36">
        <v>81.6</v>
      </c>
      <c r="K63" s="36">
        <v>108.0</v>
      </c>
      <c r="L63" s="36">
        <v>35.6</v>
      </c>
      <c r="M63" s="36">
        <v>92.0</v>
      </c>
      <c r="N63" s="36">
        <v>49.0</v>
      </c>
      <c r="O63" s="36">
        <v>12.0</v>
      </c>
      <c r="P63" s="36">
        <v>53.0</v>
      </c>
      <c r="Q63" s="36">
        <v>0.31</v>
      </c>
      <c r="R63" s="36">
        <v>1.55</v>
      </c>
      <c r="S63" s="36">
        <v>3.46</v>
      </c>
      <c r="T63" s="36">
        <v>5.01</v>
      </c>
      <c r="U63" s="21">
        <f t="shared" si="1"/>
        <v>5010</v>
      </c>
      <c r="V63" s="21">
        <f t="shared" si="2"/>
        <v>78400</v>
      </c>
    </row>
    <row r="64" ht="14.25" customHeight="1">
      <c r="A64" s="38">
        <v>0.30972222222222223</v>
      </c>
      <c r="B64" s="36">
        <v>160.0</v>
      </c>
      <c r="C64" s="36">
        <v>17.3</v>
      </c>
      <c r="D64" s="36">
        <v>1352.0</v>
      </c>
      <c r="E64" s="36">
        <v>1178.0</v>
      </c>
      <c r="F64" s="36">
        <v>0.87</v>
      </c>
      <c r="G64" s="36">
        <v>13.0</v>
      </c>
      <c r="H64" s="36">
        <v>2.2</v>
      </c>
      <c r="I64" s="36">
        <v>28.0</v>
      </c>
      <c r="J64" s="36">
        <v>81.0</v>
      </c>
      <c r="K64" s="36">
        <v>108.0</v>
      </c>
      <c r="L64" s="36">
        <v>35.6</v>
      </c>
      <c r="M64" s="36">
        <v>91.0</v>
      </c>
      <c r="N64" s="36">
        <v>49.0</v>
      </c>
      <c r="O64" s="36">
        <v>13.0</v>
      </c>
      <c r="P64" s="36">
        <v>56.0</v>
      </c>
      <c r="Q64" s="36">
        <v>0.3</v>
      </c>
      <c r="R64" s="36">
        <v>1.41</v>
      </c>
      <c r="S64" s="36">
        <v>3.32</v>
      </c>
      <c r="T64" s="36">
        <v>4.73</v>
      </c>
      <c r="U64" s="21">
        <f t="shared" si="1"/>
        <v>4730</v>
      </c>
      <c r="V64" s="21">
        <f t="shared" si="2"/>
        <v>48400</v>
      </c>
    </row>
    <row r="65" ht="14.25" customHeight="1">
      <c r="A65" s="38">
        <v>0.3125</v>
      </c>
      <c r="B65" s="36">
        <v>162.0</v>
      </c>
      <c r="C65" s="36">
        <v>18.5</v>
      </c>
      <c r="D65" s="36">
        <v>1440.0</v>
      </c>
      <c r="E65" s="36">
        <v>1273.0</v>
      </c>
      <c r="F65" s="36">
        <v>0.88</v>
      </c>
      <c r="G65" s="36">
        <v>13.0</v>
      </c>
      <c r="H65" s="36">
        <v>2.31</v>
      </c>
      <c r="I65" s="36">
        <v>30.8</v>
      </c>
      <c r="J65" s="36">
        <v>79.0</v>
      </c>
      <c r="K65" s="36">
        <v>108.0</v>
      </c>
      <c r="L65" s="36">
        <v>35.3</v>
      </c>
      <c r="M65" s="36">
        <v>93.0</v>
      </c>
      <c r="N65" s="36">
        <v>49.0</v>
      </c>
      <c r="O65" s="36">
        <v>13.0</v>
      </c>
      <c r="P65" s="36">
        <v>60.0</v>
      </c>
      <c r="Q65" s="36">
        <v>0.31</v>
      </c>
      <c r="R65" s="36">
        <v>1.38</v>
      </c>
      <c r="S65" s="36">
        <v>3.13</v>
      </c>
      <c r="T65" s="36">
        <v>4.51</v>
      </c>
      <c r="U65" s="21">
        <f t="shared" si="1"/>
        <v>4510</v>
      </c>
      <c r="V65" s="21">
        <f t="shared" si="2"/>
        <v>900</v>
      </c>
    </row>
    <row r="66" ht="14.25" customHeight="1">
      <c r="A66" s="38">
        <v>0.3159722222222222</v>
      </c>
      <c r="B66" s="36">
        <v>165.0</v>
      </c>
      <c r="C66" s="36">
        <v>18.5</v>
      </c>
      <c r="D66" s="36">
        <v>1442.0</v>
      </c>
      <c r="E66" s="36">
        <v>1284.0</v>
      </c>
      <c r="F66" s="36">
        <v>0.89</v>
      </c>
      <c r="G66" s="36">
        <v>13.0</v>
      </c>
      <c r="H66" s="36">
        <v>2.29</v>
      </c>
      <c r="I66" s="36">
        <v>30.7</v>
      </c>
      <c r="J66" s="36">
        <v>79.1</v>
      </c>
      <c r="K66" s="36">
        <v>109.0</v>
      </c>
      <c r="L66" s="36">
        <v>34.5</v>
      </c>
      <c r="M66" s="36">
        <v>93.0</v>
      </c>
      <c r="N66" s="36">
        <v>49.0</v>
      </c>
      <c r="O66" s="36">
        <v>13.0</v>
      </c>
      <c r="P66" s="36">
        <v>60.0</v>
      </c>
      <c r="Q66" s="36">
        <v>0.3</v>
      </c>
      <c r="R66" s="36">
        <v>1.35</v>
      </c>
      <c r="S66" s="36">
        <v>3.13</v>
      </c>
      <c r="T66" s="36">
        <v>4.48</v>
      </c>
      <c r="U66" s="21">
        <f t="shared" si="1"/>
        <v>4480</v>
      </c>
      <c r="V66" s="21">
        <f t="shared" si="2"/>
        <v>28900</v>
      </c>
    </row>
    <row r="67" ht="14.25" customHeight="1">
      <c r="A67" s="38">
        <v>0.31875</v>
      </c>
      <c r="B67" s="36">
        <v>167.0</v>
      </c>
      <c r="C67" s="36">
        <v>20.3</v>
      </c>
      <c r="D67" s="36">
        <v>1581.0</v>
      </c>
      <c r="E67" s="36">
        <v>1408.0</v>
      </c>
      <c r="F67" s="36">
        <v>0.89</v>
      </c>
      <c r="G67" s="36">
        <v>14.0</v>
      </c>
      <c r="H67" s="36">
        <v>2.42</v>
      </c>
      <c r="I67" s="36">
        <v>33.7</v>
      </c>
      <c r="J67" s="36">
        <v>77.1</v>
      </c>
      <c r="K67" s="36">
        <v>109.0</v>
      </c>
      <c r="L67" s="36">
        <v>34.8</v>
      </c>
      <c r="M67" s="36">
        <v>92.0</v>
      </c>
      <c r="N67" s="36">
        <v>49.0</v>
      </c>
      <c r="O67" s="36">
        <v>14.0</v>
      </c>
      <c r="P67" s="36">
        <v>65.0</v>
      </c>
      <c r="Q67" s="36">
        <v>0.31</v>
      </c>
      <c r="R67" s="36">
        <v>1.32</v>
      </c>
      <c r="S67" s="36">
        <v>2.99</v>
      </c>
      <c r="T67" s="36">
        <v>4.31</v>
      </c>
      <c r="U67" s="21">
        <f t="shared" si="1"/>
        <v>4310</v>
      </c>
      <c r="V67" s="21">
        <f t="shared" si="2"/>
        <v>57600</v>
      </c>
    </row>
    <row r="68" ht="14.25" customHeight="1">
      <c r="A68" s="38">
        <v>0.3215277777777778</v>
      </c>
      <c r="B68" s="36">
        <v>169.0</v>
      </c>
      <c r="C68" s="36">
        <v>21.1</v>
      </c>
      <c r="D68" s="36">
        <v>1645.0</v>
      </c>
      <c r="E68" s="36">
        <v>1491.0</v>
      </c>
      <c r="F68" s="36">
        <v>0.91</v>
      </c>
      <c r="G68" s="36">
        <v>13.0</v>
      </c>
      <c r="H68" s="36">
        <v>2.69</v>
      </c>
      <c r="I68" s="36">
        <v>35.5</v>
      </c>
      <c r="J68" s="36">
        <v>75.8</v>
      </c>
      <c r="K68" s="36">
        <v>111.0</v>
      </c>
      <c r="L68" s="36">
        <v>33.3</v>
      </c>
      <c r="M68" s="36">
        <v>94.0</v>
      </c>
      <c r="N68" s="36">
        <v>49.0</v>
      </c>
      <c r="O68" s="36">
        <v>13.0</v>
      </c>
      <c r="P68" s="36">
        <v>68.0</v>
      </c>
      <c r="Q68" s="36">
        <v>0.33</v>
      </c>
      <c r="R68" s="36">
        <v>1.5</v>
      </c>
      <c r="S68" s="36">
        <v>3.05</v>
      </c>
      <c r="T68" s="36">
        <v>4.55</v>
      </c>
      <c r="U68" s="21">
        <f t="shared" si="1"/>
        <v>4550</v>
      </c>
      <c r="V68" s="21">
        <f t="shared" si="2"/>
        <v>102400</v>
      </c>
    </row>
    <row r="69" ht="14.25" customHeight="1">
      <c r="A69" s="38">
        <v>0.32569444444444445</v>
      </c>
      <c r="B69" s="36">
        <v>171.0</v>
      </c>
      <c r="C69" s="36">
        <v>20.1</v>
      </c>
      <c r="D69" s="36">
        <v>1571.0</v>
      </c>
      <c r="E69" s="36">
        <v>1438.0</v>
      </c>
      <c r="F69" s="36">
        <v>0.92</v>
      </c>
      <c r="G69" s="36">
        <v>12.0</v>
      </c>
      <c r="H69" s="36">
        <v>2.78</v>
      </c>
      <c r="I69" s="36">
        <v>34.3</v>
      </c>
      <c r="J69" s="36">
        <v>76.6</v>
      </c>
      <c r="K69" s="36">
        <v>112.0</v>
      </c>
      <c r="L69" s="36">
        <v>32.8</v>
      </c>
      <c r="M69" s="36">
        <v>94.0</v>
      </c>
      <c r="N69" s="36">
        <v>49.0</v>
      </c>
      <c r="O69" s="36">
        <v>12.0</v>
      </c>
      <c r="P69" s="36">
        <v>65.0</v>
      </c>
      <c r="Q69" s="36">
        <v>0.34</v>
      </c>
      <c r="R69" s="36">
        <v>1.66</v>
      </c>
      <c r="S69" s="36">
        <v>3.2</v>
      </c>
      <c r="T69" s="36">
        <v>4.87</v>
      </c>
      <c r="U69" s="21">
        <f t="shared" si="1"/>
        <v>4870</v>
      </c>
      <c r="V69" s="21">
        <f t="shared" si="2"/>
        <v>4900</v>
      </c>
    </row>
    <row r="70" ht="14.25" customHeight="1">
      <c r="A70" s="38">
        <v>0.32916666666666666</v>
      </c>
      <c r="B70" s="36">
        <v>174.0</v>
      </c>
      <c r="C70" s="36">
        <v>20.2</v>
      </c>
      <c r="D70" s="36">
        <v>1574.0</v>
      </c>
      <c r="E70" s="36">
        <v>1451.0</v>
      </c>
      <c r="F70" s="36">
        <v>0.92</v>
      </c>
      <c r="G70" s="36">
        <v>12.0</v>
      </c>
      <c r="H70" s="36">
        <v>2.76</v>
      </c>
      <c r="I70" s="36">
        <v>34.4</v>
      </c>
      <c r="J70" s="36">
        <v>76.5</v>
      </c>
      <c r="K70" s="36">
        <v>113.0</v>
      </c>
      <c r="L70" s="36">
        <v>32.3</v>
      </c>
      <c r="M70" s="36">
        <v>95.0</v>
      </c>
      <c r="N70" s="36">
        <v>49.0</v>
      </c>
      <c r="O70" s="36">
        <v>12.0</v>
      </c>
      <c r="P70" s="36">
        <v>65.0</v>
      </c>
      <c r="Q70" s="36">
        <v>0.35</v>
      </c>
      <c r="R70" s="36">
        <v>1.67</v>
      </c>
      <c r="S70" s="36">
        <v>3.13</v>
      </c>
      <c r="T70" s="36">
        <v>4.8</v>
      </c>
      <c r="U70" s="21">
        <f t="shared" si="1"/>
        <v>4800</v>
      </c>
      <c r="V70" s="21">
        <f t="shared" si="2"/>
        <v>0</v>
      </c>
    </row>
    <row r="71" ht="14.25" customHeight="1">
      <c r="A71" s="38">
        <v>0.3326388888888889</v>
      </c>
      <c r="B71" s="36">
        <v>176.0</v>
      </c>
      <c r="C71" s="36">
        <v>20.8</v>
      </c>
      <c r="D71" s="36">
        <v>1625.0</v>
      </c>
      <c r="E71" s="36">
        <v>1516.0</v>
      </c>
      <c r="F71" s="36">
        <v>0.93</v>
      </c>
      <c r="G71" s="36">
        <v>13.0</v>
      </c>
      <c r="H71" s="36">
        <v>2.87</v>
      </c>
      <c r="I71" s="36">
        <v>35.9</v>
      </c>
      <c r="J71" s="36">
        <v>75.5</v>
      </c>
      <c r="K71" s="36">
        <v>113.0</v>
      </c>
      <c r="L71" s="36">
        <v>32.3</v>
      </c>
      <c r="M71" s="36">
        <v>95.0</v>
      </c>
      <c r="N71" s="36">
        <v>49.0</v>
      </c>
      <c r="O71" s="36">
        <v>13.0</v>
      </c>
      <c r="P71" s="36">
        <v>67.0</v>
      </c>
      <c r="Q71" s="36">
        <v>0.35</v>
      </c>
      <c r="R71" s="36">
        <v>1.69</v>
      </c>
      <c r="S71" s="36">
        <v>3.11</v>
      </c>
      <c r="T71" s="36">
        <v>4.8</v>
      </c>
      <c r="U71" s="21">
        <f t="shared" si="1"/>
        <v>4800</v>
      </c>
      <c r="V71" s="21">
        <f t="shared" si="2"/>
        <v>900</v>
      </c>
    </row>
    <row r="72" ht="14.25" customHeight="1">
      <c r="A72" s="38">
        <v>0.33541666666666664</v>
      </c>
      <c r="B72" s="36">
        <v>179.0</v>
      </c>
      <c r="C72" s="36">
        <v>21.2</v>
      </c>
      <c r="D72" s="36">
        <v>1656.0</v>
      </c>
      <c r="E72" s="36">
        <v>1545.0</v>
      </c>
      <c r="F72" s="36">
        <v>0.93</v>
      </c>
      <c r="G72" s="36">
        <v>13.0</v>
      </c>
      <c r="H72" s="36">
        <v>2.89</v>
      </c>
      <c r="I72" s="36">
        <v>36.3</v>
      </c>
      <c r="J72" s="36">
        <v>75.3</v>
      </c>
      <c r="K72" s="36">
        <v>117.0</v>
      </c>
      <c r="L72" s="36">
        <v>30.2</v>
      </c>
      <c r="M72" s="36">
        <v>95.0</v>
      </c>
      <c r="N72" s="36">
        <v>49.0</v>
      </c>
      <c r="O72" s="36">
        <v>13.0</v>
      </c>
      <c r="P72" s="36">
        <v>68.0</v>
      </c>
      <c r="Q72" s="36">
        <v>0.36</v>
      </c>
      <c r="R72" s="36">
        <v>1.7</v>
      </c>
      <c r="S72" s="36">
        <v>3.08</v>
      </c>
      <c r="T72" s="36">
        <v>4.77</v>
      </c>
      <c r="U72" s="21">
        <f t="shared" si="1"/>
        <v>4770</v>
      </c>
      <c r="V72" s="21">
        <f t="shared" si="2"/>
        <v>67600</v>
      </c>
    </row>
    <row r="73" ht="14.25" customHeight="1">
      <c r="A73" s="38">
        <v>0.3388888888888889</v>
      </c>
      <c r="B73" s="36">
        <v>181.0</v>
      </c>
      <c r="C73" s="36">
        <v>21.9</v>
      </c>
      <c r="D73" s="36">
        <v>1709.0</v>
      </c>
      <c r="E73" s="36">
        <v>1601.0</v>
      </c>
      <c r="F73" s="36">
        <v>0.94</v>
      </c>
      <c r="G73" s="36">
        <v>13.0</v>
      </c>
      <c r="H73" s="36">
        <v>2.83</v>
      </c>
      <c r="I73" s="36">
        <v>37.7</v>
      </c>
      <c r="J73" s="36">
        <v>74.3</v>
      </c>
      <c r="K73" s="36">
        <v>119.0</v>
      </c>
      <c r="L73" s="36">
        <v>28.8</v>
      </c>
      <c r="M73" s="36">
        <v>95.0</v>
      </c>
      <c r="N73" s="36">
        <v>49.0</v>
      </c>
      <c r="O73" s="36">
        <v>13.0</v>
      </c>
      <c r="P73" s="36">
        <v>71.0</v>
      </c>
      <c r="Q73" s="36">
        <v>0.33</v>
      </c>
      <c r="R73" s="36">
        <v>1.51</v>
      </c>
      <c r="S73" s="36">
        <v>3.0</v>
      </c>
      <c r="T73" s="36">
        <v>4.51</v>
      </c>
      <c r="U73" s="21">
        <f t="shared" si="1"/>
        <v>4510</v>
      </c>
      <c r="V73" s="21">
        <f t="shared" si="2"/>
        <v>4900</v>
      </c>
    </row>
    <row r="74" ht="14.25" customHeight="1">
      <c r="A74" s="38">
        <v>0.3416666666666667</v>
      </c>
      <c r="B74" s="36">
        <v>182.0</v>
      </c>
      <c r="C74" s="36">
        <v>21.8</v>
      </c>
      <c r="D74" s="36">
        <v>1704.0</v>
      </c>
      <c r="E74" s="36">
        <v>1612.0</v>
      </c>
      <c r="F74" s="36">
        <v>0.95</v>
      </c>
      <c r="G74" s="36">
        <v>13.0</v>
      </c>
      <c r="H74" s="36">
        <v>2.91</v>
      </c>
      <c r="I74" s="36">
        <v>38.1</v>
      </c>
      <c r="J74" s="36">
        <v>74.1</v>
      </c>
      <c r="K74" s="36">
        <v>123.0</v>
      </c>
      <c r="L74" s="36">
        <v>26.1</v>
      </c>
      <c r="M74" s="36">
        <v>96.0</v>
      </c>
      <c r="N74" s="36">
        <v>49.0</v>
      </c>
      <c r="O74" s="36">
        <v>13.0</v>
      </c>
      <c r="P74" s="36">
        <v>70.0</v>
      </c>
      <c r="Q74" s="36">
        <v>0.33</v>
      </c>
      <c r="R74" s="36">
        <v>1.53</v>
      </c>
      <c r="S74" s="36">
        <v>3.06</v>
      </c>
      <c r="T74" s="36">
        <v>4.58</v>
      </c>
      <c r="U74" s="21">
        <f t="shared" si="1"/>
        <v>4580</v>
      </c>
      <c r="V74" s="21">
        <f t="shared" si="2"/>
        <v>4900</v>
      </c>
    </row>
    <row r="75" ht="14.25" customHeight="1">
      <c r="A75" s="38">
        <v>0.34444444444444444</v>
      </c>
      <c r="B75" s="36">
        <v>185.0</v>
      </c>
      <c r="C75" s="36">
        <v>22.2</v>
      </c>
      <c r="D75" s="36">
        <v>1732.0</v>
      </c>
      <c r="E75" s="36">
        <v>1665.0</v>
      </c>
      <c r="F75" s="36">
        <v>0.96</v>
      </c>
      <c r="G75" s="36">
        <v>13.0</v>
      </c>
      <c r="H75" s="36">
        <v>3.06</v>
      </c>
      <c r="I75" s="36">
        <v>39.4</v>
      </c>
      <c r="J75" s="36">
        <v>73.1</v>
      </c>
      <c r="K75" s="36">
        <v>123.0</v>
      </c>
      <c r="L75" s="36">
        <v>26.1</v>
      </c>
      <c r="M75" s="36">
        <v>96.0</v>
      </c>
      <c r="N75" s="36">
        <v>49.0</v>
      </c>
      <c r="O75" s="36">
        <v>13.0</v>
      </c>
      <c r="P75" s="36">
        <v>72.0</v>
      </c>
      <c r="Q75" s="36">
        <v>0.34</v>
      </c>
      <c r="R75" s="36">
        <v>1.6</v>
      </c>
      <c r="S75" s="36">
        <v>3.05</v>
      </c>
      <c r="T75" s="36">
        <v>4.65</v>
      </c>
      <c r="U75" s="21">
        <f t="shared" si="1"/>
        <v>4650</v>
      </c>
      <c r="V75" s="21">
        <f t="shared" si="2"/>
        <v>12100</v>
      </c>
    </row>
    <row r="76" ht="14.25" customHeight="1">
      <c r="A76" s="38">
        <v>0.34791666666666665</v>
      </c>
      <c r="B76" s="36">
        <v>187.0</v>
      </c>
      <c r="C76" s="36">
        <v>23.1</v>
      </c>
      <c r="D76" s="36">
        <v>1805.0</v>
      </c>
      <c r="E76" s="36">
        <v>1751.0</v>
      </c>
      <c r="F76" s="36">
        <v>0.97</v>
      </c>
      <c r="G76" s="36">
        <v>13.0</v>
      </c>
      <c r="H76" s="36">
        <v>3.13</v>
      </c>
      <c r="I76" s="36">
        <v>41.4</v>
      </c>
      <c r="J76" s="36">
        <v>71.8</v>
      </c>
      <c r="K76" s="36">
        <v>125.0</v>
      </c>
      <c r="L76" s="36">
        <v>25.3</v>
      </c>
      <c r="M76" s="36">
        <v>96.0</v>
      </c>
      <c r="N76" s="36">
        <v>49.0</v>
      </c>
      <c r="O76" s="36">
        <v>13.0</v>
      </c>
      <c r="P76" s="36">
        <v>75.0</v>
      </c>
      <c r="Q76" s="36">
        <v>0.34</v>
      </c>
      <c r="R76" s="36">
        <v>1.56</v>
      </c>
      <c r="S76" s="36">
        <v>2.99</v>
      </c>
      <c r="T76" s="36">
        <v>4.54</v>
      </c>
      <c r="U76" s="21">
        <f t="shared" si="1"/>
        <v>4540</v>
      </c>
      <c r="V76" s="21">
        <f t="shared" si="2"/>
        <v>100</v>
      </c>
    </row>
    <row r="77" ht="14.25" customHeight="1">
      <c r="A77" s="38">
        <v>0.3506944444444444</v>
      </c>
      <c r="B77" s="36">
        <v>190.0</v>
      </c>
      <c r="C77" s="36">
        <v>23.2</v>
      </c>
      <c r="D77" s="36">
        <v>1806.0</v>
      </c>
      <c r="E77" s="36">
        <v>1773.0</v>
      </c>
      <c r="F77" s="36">
        <v>0.98</v>
      </c>
      <c r="G77" s="36">
        <v>13.0</v>
      </c>
      <c r="H77" s="36">
        <v>3.17</v>
      </c>
      <c r="I77" s="36">
        <v>42.0</v>
      </c>
      <c r="J77" s="36">
        <v>71.4</v>
      </c>
      <c r="K77" s="36">
        <v>126.0</v>
      </c>
      <c r="L77" s="36">
        <v>24.7</v>
      </c>
      <c r="M77" s="36">
        <v>96.0</v>
      </c>
      <c r="N77" s="36">
        <v>50.0</v>
      </c>
      <c r="O77" s="36">
        <v>13.0</v>
      </c>
      <c r="P77" s="36">
        <v>75.0</v>
      </c>
      <c r="Q77" s="36">
        <v>0.34</v>
      </c>
      <c r="R77" s="36">
        <v>1.52</v>
      </c>
      <c r="S77" s="36">
        <v>3.0</v>
      </c>
      <c r="T77" s="36">
        <v>4.53</v>
      </c>
      <c r="U77" s="21">
        <f t="shared" si="1"/>
        <v>4530</v>
      </c>
      <c r="V77" s="21">
        <f t="shared" si="2"/>
        <v>900</v>
      </c>
    </row>
    <row r="78" ht="14.25" customHeight="1">
      <c r="A78" s="38">
        <v>0.3541666666666667</v>
      </c>
      <c r="B78" s="36">
        <v>192.0</v>
      </c>
      <c r="C78" s="36">
        <v>23.5</v>
      </c>
      <c r="D78" s="36">
        <v>1837.0</v>
      </c>
      <c r="E78" s="36">
        <v>1793.0</v>
      </c>
      <c r="F78" s="36">
        <v>0.98</v>
      </c>
      <c r="G78" s="36">
        <v>13.0</v>
      </c>
      <c r="H78" s="36">
        <v>3.17</v>
      </c>
      <c r="I78" s="36">
        <v>42.3</v>
      </c>
      <c r="J78" s="36">
        <v>71.2</v>
      </c>
      <c r="K78" s="36">
        <v>126.0</v>
      </c>
      <c r="L78" s="36">
        <v>24.7</v>
      </c>
      <c r="M78" s="36">
        <v>96.0</v>
      </c>
      <c r="N78" s="36">
        <v>50.0</v>
      </c>
      <c r="O78" s="36">
        <v>13.0</v>
      </c>
      <c r="P78" s="36">
        <v>76.0</v>
      </c>
      <c r="Q78" s="36">
        <v>0.34</v>
      </c>
      <c r="R78" s="36">
        <v>1.53</v>
      </c>
      <c r="S78" s="36">
        <v>2.96</v>
      </c>
      <c r="T78" s="36">
        <v>4.5</v>
      </c>
      <c r="U78" s="21">
        <f t="shared" si="1"/>
        <v>4500</v>
      </c>
      <c r="V78" s="21">
        <f t="shared" si="2"/>
        <v>10000</v>
      </c>
    </row>
    <row r="79" ht="14.25" customHeight="1">
      <c r="A79" s="38">
        <v>0.35694444444444445</v>
      </c>
      <c r="B79" s="36">
        <v>193.0</v>
      </c>
      <c r="C79" s="36">
        <v>24.3</v>
      </c>
      <c r="D79" s="36">
        <v>1896.0</v>
      </c>
      <c r="E79" s="36">
        <v>1854.0</v>
      </c>
      <c r="F79" s="36">
        <v>0.98</v>
      </c>
      <c r="G79" s="36">
        <v>14.0</v>
      </c>
      <c r="H79" s="36">
        <v>3.2</v>
      </c>
      <c r="I79" s="36">
        <v>43.7</v>
      </c>
      <c r="J79" s="36">
        <v>70.3</v>
      </c>
      <c r="K79" s="36">
        <v>128.0</v>
      </c>
      <c r="L79" s="36">
        <v>23.6</v>
      </c>
      <c r="M79" s="36">
        <v>95.0</v>
      </c>
      <c r="N79" s="36">
        <v>50.0</v>
      </c>
      <c r="O79" s="36">
        <v>14.0</v>
      </c>
      <c r="P79" s="36">
        <v>78.0</v>
      </c>
      <c r="Q79" s="36">
        <v>0.34</v>
      </c>
      <c r="R79" s="36">
        <v>1.48</v>
      </c>
      <c r="S79" s="36">
        <v>2.92</v>
      </c>
      <c r="T79" s="36">
        <v>4.4</v>
      </c>
      <c r="U79" s="21">
        <f t="shared" si="1"/>
        <v>4400</v>
      </c>
      <c r="V79" s="21">
        <f t="shared" si="2"/>
        <v>6400</v>
      </c>
    </row>
    <row r="80" ht="14.25" customHeight="1">
      <c r="A80" s="38">
        <v>0.3597222222222222</v>
      </c>
      <c r="B80" s="36">
        <v>196.0</v>
      </c>
      <c r="C80" s="36">
        <v>24.3</v>
      </c>
      <c r="D80" s="36">
        <v>1895.0</v>
      </c>
      <c r="E80" s="36">
        <v>1863.0</v>
      </c>
      <c r="F80" s="36">
        <v>0.98</v>
      </c>
      <c r="G80" s="36">
        <v>14.0</v>
      </c>
      <c r="H80" s="36">
        <v>3.17</v>
      </c>
      <c r="I80" s="36">
        <v>44.1</v>
      </c>
      <c r="J80" s="36">
        <v>70.0</v>
      </c>
      <c r="K80" s="36">
        <v>128.0</v>
      </c>
      <c r="L80" s="36">
        <v>23.2</v>
      </c>
      <c r="M80" s="36">
        <v>96.0</v>
      </c>
      <c r="N80" s="36">
        <v>50.0</v>
      </c>
      <c r="O80" s="36">
        <v>14.0</v>
      </c>
      <c r="P80" s="36">
        <v>78.0</v>
      </c>
      <c r="Q80" s="36">
        <v>0.33</v>
      </c>
      <c r="R80" s="36">
        <v>1.45</v>
      </c>
      <c r="S80" s="36">
        <v>2.87</v>
      </c>
      <c r="T80" s="36">
        <v>4.32</v>
      </c>
      <c r="U80" s="21">
        <f t="shared" si="1"/>
        <v>4320</v>
      </c>
      <c r="V80" s="21">
        <f t="shared" si="2"/>
        <v>10000</v>
      </c>
    </row>
    <row r="81" ht="14.25" customHeight="1">
      <c r="A81" s="38">
        <v>0.36180555555555555</v>
      </c>
      <c r="B81" s="36">
        <v>198.0</v>
      </c>
      <c r="C81" s="36">
        <v>23.0</v>
      </c>
      <c r="D81" s="36">
        <v>1792.0</v>
      </c>
      <c r="E81" s="36">
        <v>1777.0</v>
      </c>
      <c r="F81" s="36">
        <v>0.99</v>
      </c>
      <c r="G81" s="36">
        <v>14.0</v>
      </c>
      <c r="H81" s="36">
        <v>3.1</v>
      </c>
      <c r="I81" s="36">
        <v>42.0</v>
      </c>
      <c r="J81" s="36">
        <v>71.4</v>
      </c>
      <c r="K81" s="36">
        <v>129.0</v>
      </c>
      <c r="L81" s="36">
        <v>22.6</v>
      </c>
      <c r="M81" s="36">
        <v>96.0</v>
      </c>
      <c r="N81" s="36">
        <v>50.0</v>
      </c>
      <c r="O81" s="36">
        <v>14.0</v>
      </c>
      <c r="P81" s="36">
        <v>74.0</v>
      </c>
      <c r="Q81" s="36">
        <v>0.34</v>
      </c>
      <c r="R81" s="36">
        <v>1.49</v>
      </c>
      <c r="S81" s="36">
        <v>2.93</v>
      </c>
      <c r="T81" s="36">
        <v>4.42</v>
      </c>
      <c r="U81" s="21">
        <f t="shared" si="1"/>
        <v>4420</v>
      </c>
      <c r="V81" s="21">
        <f t="shared" si="2"/>
        <v>40000</v>
      </c>
    </row>
    <row r="82" ht="14.25" customHeight="1">
      <c r="A82" s="38">
        <v>0.3645833333333333</v>
      </c>
      <c r="B82" s="36">
        <v>199.0</v>
      </c>
      <c r="C82" s="36">
        <v>23.5</v>
      </c>
      <c r="D82" s="36">
        <v>1835.0</v>
      </c>
      <c r="E82" s="36">
        <v>1801.0</v>
      </c>
      <c r="F82" s="36">
        <v>0.98</v>
      </c>
      <c r="G82" s="36">
        <v>14.0</v>
      </c>
      <c r="H82" s="36">
        <v>2.98</v>
      </c>
      <c r="I82" s="36">
        <v>42.3</v>
      </c>
      <c r="J82" s="36">
        <v>71.2</v>
      </c>
      <c r="K82" s="36">
        <v>130.0</v>
      </c>
      <c r="L82" s="36">
        <v>22.1</v>
      </c>
      <c r="M82" s="36">
        <v>96.0</v>
      </c>
      <c r="N82" s="36">
        <v>50.0</v>
      </c>
      <c r="O82" s="36">
        <v>14.0</v>
      </c>
      <c r="P82" s="36">
        <v>76.0</v>
      </c>
      <c r="Q82" s="36">
        <v>0.33</v>
      </c>
      <c r="R82" s="36">
        <v>1.39</v>
      </c>
      <c r="S82" s="36">
        <v>2.84</v>
      </c>
      <c r="T82" s="36">
        <v>4.22</v>
      </c>
      <c r="U82" s="21">
        <f t="shared" si="1"/>
        <v>4220</v>
      </c>
      <c r="V82" s="21">
        <f t="shared" si="2"/>
        <v>3600</v>
      </c>
    </row>
    <row r="83" ht="14.25" customHeight="1">
      <c r="A83" s="38">
        <v>0.36736111111111114</v>
      </c>
      <c r="B83" s="36">
        <v>201.0</v>
      </c>
      <c r="C83" s="36">
        <v>23.2</v>
      </c>
      <c r="D83" s="36">
        <v>1810.0</v>
      </c>
      <c r="E83" s="36">
        <v>1779.0</v>
      </c>
      <c r="F83" s="36">
        <v>0.98</v>
      </c>
      <c r="G83" s="36">
        <v>14.0</v>
      </c>
      <c r="H83" s="36">
        <v>2.89</v>
      </c>
      <c r="I83" s="36">
        <v>41.7</v>
      </c>
      <c r="J83" s="36">
        <v>71.6</v>
      </c>
      <c r="K83" s="36">
        <v>131.0</v>
      </c>
      <c r="L83" s="36">
        <v>21.4</v>
      </c>
      <c r="M83" s="36">
        <v>96.0</v>
      </c>
      <c r="N83" s="36">
        <v>50.0</v>
      </c>
      <c r="O83" s="36">
        <v>14.0</v>
      </c>
      <c r="P83" s="36">
        <v>75.0</v>
      </c>
      <c r="Q83" s="36">
        <v>0.32</v>
      </c>
      <c r="R83" s="36">
        <v>1.32</v>
      </c>
      <c r="S83" s="36">
        <v>2.84</v>
      </c>
      <c r="T83" s="36">
        <v>4.16</v>
      </c>
      <c r="U83" s="21">
        <f t="shared" si="1"/>
        <v>4160</v>
      </c>
      <c r="V83" s="21">
        <f t="shared" si="2"/>
        <v>4900</v>
      </c>
    </row>
    <row r="84" ht="14.25" customHeight="1">
      <c r="A84" s="38">
        <v>0.3701388888888889</v>
      </c>
      <c r="B84" s="36">
        <v>203.0</v>
      </c>
      <c r="C84" s="36">
        <v>23.9</v>
      </c>
      <c r="D84" s="36">
        <v>1866.0</v>
      </c>
      <c r="E84" s="36">
        <v>1816.0</v>
      </c>
      <c r="F84" s="36">
        <v>0.97</v>
      </c>
      <c r="G84" s="36">
        <v>15.0</v>
      </c>
      <c r="H84" s="36">
        <v>2.85</v>
      </c>
      <c r="I84" s="36">
        <v>41.8</v>
      </c>
      <c r="J84" s="36">
        <v>71.5</v>
      </c>
      <c r="K84" s="36">
        <v>132.0</v>
      </c>
      <c r="L84" s="36">
        <v>21.1</v>
      </c>
      <c r="M84" s="36">
        <v>95.0</v>
      </c>
      <c r="N84" s="36">
        <v>51.0</v>
      </c>
      <c r="O84" s="36">
        <v>15.0</v>
      </c>
      <c r="P84" s="36">
        <v>77.0</v>
      </c>
      <c r="Q84" s="36">
        <v>0.31</v>
      </c>
      <c r="R84" s="36">
        <v>1.29</v>
      </c>
      <c r="S84" s="36">
        <v>2.81</v>
      </c>
      <c r="T84" s="36">
        <v>4.09</v>
      </c>
      <c r="U84" s="21">
        <f t="shared" si="1"/>
        <v>4090</v>
      </c>
      <c r="V84" s="21">
        <f t="shared" si="2"/>
        <v>4900</v>
      </c>
    </row>
    <row r="85" ht="14.25" customHeight="1">
      <c r="A85" s="38">
        <v>0.3729166666666667</v>
      </c>
      <c r="B85" s="36">
        <v>206.0</v>
      </c>
      <c r="C85" s="36">
        <v>24.9</v>
      </c>
      <c r="D85" s="36">
        <v>1943.0</v>
      </c>
      <c r="E85" s="36">
        <v>1886.0</v>
      </c>
      <c r="F85" s="36">
        <v>0.97</v>
      </c>
      <c r="G85" s="36">
        <v>15.0</v>
      </c>
      <c r="H85" s="36">
        <v>2.92</v>
      </c>
      <c r="I85" s="36">
        <v>43.6</v>
      </c>
      <c r="J85" s="36">
        <v>70.3</v>
      </c>
      <c r="K85" s="36">
        <v>132.0</v>
      </c>
      <c r="L85" s="36">
        <v>20.9</v>
      </c>
      <c r="M85" s="36">
        <v>95.0</v>
      </c>
      <c r="N85" s="36">
        <v>51.0</v>
      </c>
      <c r="O85" s="36">
        <v>15.0</v>
      </c>
      <c r="P85" s="36">
        <v>80.0</v>
      </c>
      <c r="Q85" s="36">
        <v>0.31</v>
      </c>
      <c r="R85" s="36">
        <v>1.23</v>
      </c>
      <c r="S85" s="36">
        <v>2.79</v>
      </c>
      <c r="T85" s="36">
        <v>4.02</v>
      </c>
      <c r="U85" s="21">
        <f t="shared" si="1"/>
        <v>4020</v>
      </c>
      <c r="V85" s="21">
        <f t="shared" si="2"/>
        <v>900</v>
      </c>
    </row>
    <row r="86" ht="14.25" customHeight="1">
      <c r="A86" s="38">
        <v>0.37569444444444444</v>
      </c>
      <c r="B86" s="36">
        <v>207.0</v>
      </c>
      <c r="C86" s="36">
        <v>24.7</v>
      </c>
      <c r="D86" s="36">
        <v>1925.0</v>
      </c>
      <c r="E86" s="36">
        <v>1897.0</v>
      </c>
      <c r="F86" s="36">
        <v>0.99</v>
      </c>
      <c r="G86" s="36">
        <v>15.0</v>
      </c>
      <c r="H86" s="36">
        <v>2.94</v>
      </c>
      <c r="I86" s="36">
        <v>44.2</v>
      </c>
      <c r="J86" s="36">
        <v>69.9</v>
      </c>
      <c r="K86" s="36">
        <v>134.0</v>
      </c>
      <c r="L86" s="36">
        <v>20.0</v>
      </c>
      <c r="M86" s="36">
        <v>96.0</v>
      </c>
      <c r="N86" s="36">
        <v>50.0</v>
      </c>
      <c r="O86" s="36">
        <v>15.0</v>
      </c>
      <c r="P86" s="36">
        <v>80.0</v>
      </c>
      <c r="Q86" s="36">
        <v>0.31</v>
      </c>
      <c r="R86" s="36">
        <v>1.25</v>
      </c>
      <c r="S86" s="36">
        <v>2.74</v>
      </c>
      <c r="T86" s="36">
        <v>3.99</v>
      </c>
      <c r="U86" s="21">
        <f t="shared" si="1"/>
        <v>3990</v>
      </c>
      <c r="V86" s="21">
        <f t="shared" si="2"/>
        <v>1600</v>
      </c>
    </row>
    <row r="87" ht="14.25" customHeight="1">
      <c r="A87" s="38">
        <v>0.3784722222222222</v>
      </c>
      <c r="B87" s="36">
        <v>209.0</v>
      </c>
      <c r="C87" s="36">
        <v>25.1</v>
      </c>
      <c r="D87" s="36">
        <v>1956.0</v>
      </c>
      <c r="E87" s="36">
        <v>1945.0</v>
      </c>
      <c r="F87" s="36">
        <v>0.99</v>
      </c>
      <c r="G87" s="36">
        <v>15.0</v>
      </c>
      <c r="H87" s="36">
        <v>2.98</v>
      </c>
      <c r="I87" s="36">
        <v>45.3</v>
      </c>
      <c r="J87" s="36">
        <v>69.2</v>
      </c>
      <c r="K87" s="36">
        <v>135.0</v>
      </c>
      <c r="L87" s="36">
        <v>19.5</v>
      </c>
      <c r="M87" s="36">
        <v>96.0</v>
      </c>
      <c r="N87" s="36">
        <v>50.0</v>
      </c>
      <c r="O87" s="36">
        <v>15.0</v>
      </c>
      <c r="P87" s="36">
        <v>81.0</v>
      </c>
      <c r="Q87" s="36">
        <v>0.32</v>
      </c>
      <c r="R87" s="36">
        <v>1.27</v>
      </c>
      <c r="S87" s="36">
        <v>2.68</v>
      </c>
      <c r="T87" s="36">
        <v>3.95</v>
      </c>
      <c r="U87" s="21">
        <f t="shared" si="1"/>
        <v>3950</v>
      </c>
      <c r="V87" s="8">
        <v>0.0</v>
      </c>
    </row>
    <row r="88" ht="14.25" customHeight="1">
      <c r="A88" s="36" t="s">
        <v>80</v>
      </c>
    </row>
    <row r="89" ht="14.25" customHeight="1">
      <c r="A89" s="38">
        <v>0.38125</v>
      </c>
      <c r="B89" s="36">
        <v>211.0</v>
      </c>
      <c r="C89" s="36">
        <v>26.2</v>
      </c>
      <c r="D89" s="36">
        <v>2042.0</v>
      </c>
      <c r="E89" s="36">
        <v>2039.0</v>
      </c>
      <c r="F89" s="36">
        <v>1.0</v>
      </c>
      <c r="G89" s="36">
        <v>16.0</v>
      </c>
      <c r="H89" s="36">
        <v>3.04</v>
      </c>
      <c r="I89" s="36">
        <v>47.2</v>
      </c>
      <c r="J89" s="36">
        <v>67.9</v>
      </c>
      <c r="K89" s="36">
        <v>135.0</v>
      </c>
      <c r="L89" s="36">
        <v>18.9</v>
      </c>
      <c r="M89" s="36">
        <v>96.0</v>
      </c>
      <c r="N89" s="36">
        <v>51.0</v>
      </c>
      <c r="O89" s="36">
        <v>16.0</v>
      </c>
      <c r="P89" s="36">
        <v>84.0</v>
      </c>
      <c r="Q89" s="36">
        <v>0.32</v>
      </c>
      <c r="R89" s="36">
        <v>1.24</v>
      </c>
      <c r="S89" s="36">
        <v>2.63</v>
      </c>
      <c r="T89" s="36">
        <v>3.87</v>
      </c>
      <c r="U89" s="21">
        <f t="shared" ref="U89:U95" si="3">T89*1000</f>
        <v>3870</v>
      </c>
      <c r="V89" s="21">
        <f t="shared" ref="V89:V94" si="4">(U89-U90)^2</f>
        <v>900</v>
      </c>
      <c r="W89" s="21">
        <f>SQRT(AVERAGE(V89:V95))</f>
        <v>37.60699023</v>
      </c>
    </row>
    <row r="90" ht="14.25" customHeight="1">
      <c r="A90" s="38">
        <v>0.38333333333333336</v>
      </c>
      <c r="B90" s="36">
        <v>213.0</v>
      </c>
      <c r="C90" s="36">
        <v>26.3</v>
      </c>
      <c r="D90" s="36">
        <v>2051.0</v>
      </c>
      <c r="E90" s="36">
        <v>2093.0</v>
      </c>
      <c r="F90" s="36">
        <v>1.02</v>
      </c>
      <c r="G90" s="36">
        <v>16.0</v>
      </c>
      <c r="H90" s="36">
        <v>3.1</v>
      </c>
      <c r="I90" s="36">
        <v>48.4</v>
      </c>
      <c r="J90" s="36">
        <v>67.0</v>
      </c>
      <c r="K90" s="36">
        <v>137.0</v>
      </c>
      <c r="L90" s="36">
        <v>18.0</v>
      </c>
      <c r="M90" s="36">
        <v>96.0</v>
      </c>
      <c r="N90" s="36">
        <v>51.0</v>
      </c>
      <c r="O90" s="36">
        <v>16.0</v>
      </c>
      <c r="P90" s="36">
        <v>85.0</v>
      </c>
      <c r="Q90" s="36">
        <v>0.33</v>
      </c>
      <c r="R90" s="36">
        <v>1.25</v>
      </c>
      <c r="S90" s="36">
        <v>2.59</v>
      </c>
      <c r="T90" s="36">
        <v>3.84</v>
      </c>
      <c r="U90" s="21">
        <f t="shared" si="3"/>
        <v>3840</v>
      </c>
      <c r="V90" s="21">
        <f t="shared" si="4"/>
        <v>0</v>
      </c>
    </row>
    <row r="91" ht="14.25" customHeight="1">
      <c r="A91" s="38">
        <v>0.3861111111111111</v>
      </c>
      <c r="B91" s="36">
        <v>214.0</v>
      </c>
      <c r="C91" s="36">
        <v>26.1</v>
      </c>
      <c r="D91" s="36">
        <v>2037.0</v>
      </c>
      <c r="E91" s="36">
        <v>2126.0</v>
      </c>
      <c r="F91" s="36">
        <v>1.04</v>
      </c>
      <c r="G91" s="36">
        <v>16.0</v>
      </c>
      <c r="H91" s="36">
        <v>3.2</v>
      </c>
      <c r="I91" s="36">
        <v>50.0</v>
      </c>
      <c r="J91" s="36">
        <v>65.9</v>
      </c>
      <c r="K91" s="36">
        <v>138.0</v>
      </c>
      <c r="L91" s="36">
        <v>17.2</v>
      </c>
      <c r="M91" s="36">
        <v>97.0</v>
      </c>
      <c r="N91" s="36">
        <v>50.0</v>
      </c>
      <c r="O91" s="36">
        <v>16.0</v>
      </c>
      <c r="P91" s="36">
        <v>84.0</v>
      </c>
      <c r="Q91" s="36">
        <v>0.34</v>
      </c>
      <c r="R91" s="36">
        <v>1.3</v>
      </c>
      <c r="S91" s="36">
        <v>2.55</v>
      </c>
      <c r="T91" s="36">
        <v>3.84</v>
      </c>
      <c r="U91" s="21">
        <f t="shared" si="3"/>
        <v>3840</v>
      </c>
      <c r="V91" s="21">
        <f t="shared" si="4"/>
        <v>400</v>
      </c>
    </row>
    <row r="92" ht="14.25" customHeight="1">
      <c r="A92" s="38">
        <v>0.3888888888888889</v>
      </c>
      <c r="B92" s="36">
        <v>217.0</v>
      </c>
      <c r="C92" s="36">
        <v>26.5</v>
      </c>
      <c r="D92" s="36">
        <v>2068.0</v>
      </c>
      <c r="E92" s="36">
        <v>2143.0</v>
      </c>
      <c r="F92" s="36">
        <v>1.04</v>
      </c>
      <c r="G92" s="36">
        <v>16.0</v>
      </c>
      <c r="H92" s="36">
        <v>3.17</v>
      </c>
      <c r="I92" s="36">
        <v>49.8</v>
      </c>
      <c r="J92" s="36">
        <v>66.1</v>
      </c>
      <c r="K92" s="36">
        <v>140.0</v>
      </c>
      <c r="L92" s="36">
        <v>16.1</v>
      </c>
      <c r="M92" s="36">
        <v>97.0</v>
      </c>
      <c r="N92" s="36">
        <v>51.0</v>
      </c>
      <c r="O92" s="36">
        <v>16.0</v>
      </c>
      <c r="P92" s="36">
        <v>86.0</v>
      </c>
      <c r="Q92" s="36">
        <v>0.34</v>
      </c>
      <c r="R92" s="36">
        <v>1.32</v>
      </c>
      <c r="S92" s="36">
        <v>2.51</v>
      </c>
      <c r="T92" s="36">
        <v>3.82</v>
      </c>
      <c r="U92" s="21">
        <f t="shared" si="3"/>
        <v>3820</v>
      </c>
      <c r="V92" s="21">
        <f t="shared" si="4"/>
        <v>0</v>
      </c>
    </row>
    <row r="93" ht="14.25" customHeight="1">
      <c r="A93" s="38">
        <v>0.39166666666666666</v>
      </c>
      <c r="B93" s="36">
        <v>218.0</v>
      </c>
      <c r="C93" s="36">
        <v>26.5</v>
      </c>
      <c r="D93" s="36">
        <v>2068.0</v>
      </c>
      <c r="E93" s="36">
        <v>2143.0</v>
      </c>
      <c r="F93" s="36">
        <v>1.04</v>
      </c>
      <c r="G93" s="36">
        <v>16.0</v>
      </c>
      <c r="H93" s="36">
        <v>3.17</v>
      </c>
      <c r="I93" s="36">
        <v>49.8</v>
      </c>
      <c r="J93" s="36">
        <v>66.1</v>
      </c>
      <c r="K93" s="36">
        <v>141.0</v>
      </c>
      <c r="L93" s="36">
        <v>15.5</v>
      </c>
      <c r="M93" s="36">
        <v>97.0</v>
      </c>
      <c r="N93" s="36">
        <v>51.0</v>
      </c>
      <c r="O93" s="36">
        <v>16.0</v>
      </c>
      <c r="P93" s="36">
        <v>86.0</v>
      </c>
      <c r="Q93" s="36">
        <v>0.34</v>
      </c>
      <c r="R93" s="36">
        <v>1.32</v>
      </c>
      <c r="S93" s="36">
        <v>2.51</v>
      </c>
      <c r="T93" s="36">
        <v>3.82</v>
      </c>
      <c r="U93" s="21">
        <f t="shared" si="3"/>
        <v>3820</v>
      </c>
      <c r="V93" s="21">
        <f t="shared" si="4"/>
        <v>2500</v>
      </c>
    </row>
    <row r="94" ht="14.25" customHeight="1">
      <c r="A94" s="38">
        <v>0.39375</v>
      </c>
      <c r="B94" s="36">
        <v>220.0</v>
      </c>
      <c r="C94" s="36">
        <v>26.4</v>
      </c>
      <c r="D94" s="36">
        <v>2062.0</v>
      </c>
      <c r="E94" s="36">
        <v>2152.0</v>
      </c>
      <c r="F94" s="36">
        <v>1.04</v>
      </c>
      <c r="G94" s="36">
        <v>16.0</v>
      </c>
      <c r="H94" s="36">
        <v>3.13</v>
      </c>
      <c r="I94" s="36">
        <v>49.8</v>
      </c>
      <c r="J94" s="36">
        <v>66.1</v>
      </c>
      <c r="K94" s="36">
        <v>141.0</v>
      </c>
      <c r="L94" s="36">
        <v>15.3</v>
      </c>
      <c r="M94" s="36">
        <v>97.0</v>
      </c>
      <c r="N94" s="36">
        <v>51.0</v>
      </c>
      <c r="O94" s="36">
        <v>16.0</v>
      </c>
      <c r="P94" s="36">
        <v>85.0</v>
      </c>
      <c r="Q94" s="36">
        <v>0.35</v>
      </c>
      <c r="R94" s="36">
        <v>1.31</v>
      </c>
      <c r="S94" s="36">
        <v>2.46</v>
      </c>
      <c r="T94" s="36">
        <v>3.77</v>
      </c>
      <c r="U94" s="21">
        <f t="shared" si="3"/>
        <v>3770</v>
      </c>
      <c r="V94" s="21">
        <f t="shared" si="4"/>
        <v>3600</v>
      </c>
    </row>
    <row r="95" ht="14.25" customHeight="1">
      <c r="A95" s="38">
        <v>0.39652777777777776</v>
      </c>
      <c r="B95" s="36">
        <v>222.0</v>
      </c>
      <c r="C95" s="36">
        <v>27.3</v>
      </c>
      <c r="D95" s="36">
        <v>2130.0</v>
      </c>
      <c r="E95" s="36">
        <v>2244.0</v>
      </c>
      <c r="F95" s="36">
        <v>1.05</v>
      </c>
      <c r="G95" s="36">
        <v>16.0</v>
      </c>
      <c r="H95" s="36">
        <v>3.21</v>
      </c>
      <c r="I95" s="36">
        <v>51.9</v>
      </c>
      <c r="J95" s="36">
        <v>64.6</v>
      </c>
      <c r="K95" s="36">
        <v>142.0</v>
      </c>
      <c r="L95" s="36">
        <v>15.1</v>
      </c>
      <c r="M95" s="36">
        <v>96.0</v>
      </c>
      <c r="N95" s="36">
        <v>51.0</v>
      </c>
      <c r="O95" s="36">
        <v>16.0</v>
      </c>
      <c r="P95" s="36">
        <v>88.0</v>
      </c>
      <c r="Q95" s="36">
        <v>0.35</v>
      </c>
      <c r="R95" s="36">
        <v>1.3</v>
      </c>
      <c r="S95" s="36">
        <v>2.41</v>
      </c>
      <c r="T95" s="36">
        <v>3.71</v>
      </c>
      <c r="U95" s="21">
        <f t="shared" si="3"/>
        <v>3710</v>
      </c>
      <c r="V95" s="21">
        <f>(U95-U97)^2</f>
        <v>2500</v>
      </c>
    </row>
    <row r="96" ht="14.25" customHeight="1">
      <c r="A96" s="36" t="s">
        <v>81</v>
      </c>
    </row>
    <row r="97" ht="14.25" customHeight="1">
      <c r="A97" s="38">
        <v>0.3993055555555556</v>
      </c>
      <c r="B97" s="36">
        <v>224.0</v>
      </c>
      <c r="C97" s="36">
        <v>27.2</v>
      </c>
      <c r="D97" s="36">
        <v>2123.0</v>
      </c>
      <c r="E97" s="36">
        <v>2257.0</v>
      </c>
      <c r="F97" s="36">
        <v>1.06</v>
      </c>
      <c r="G97" s="36">
        <v>16.0</v>
      </c>
      <c r="H97" s="36">
        <v>3.27</v>
      </c>
      <c r="I97" s="36">
        <v>52.1</v>
      </c>
      <c r="J97" s="36">
        <v>64.5</v>
      </c>
      <c r="K97" s="36">
        <v>142.0</v>
      </c>
      <c r="L97" s="36">
        <v>14.9</v>
      </c>
      <c r="M97" s="36">
        <v>97.0</v>
      </c>
      <c r="N97" s="36">
        <v>52.0</v>
      </c>
      <c r="O97" s="36">
        <v>16.0</v>
      </c>
      <c r="P97" s="36">
        <v>88.0</v>
      </c>
      <c r="Q97" s="36">
        <v>0.37</v>
      </c>
      <c r="R97" s="36">
        <v>1.38</v>
      </c>
      <c r="S97" s="36">
        <v>2.38</v>
      </c>
      <c r="T97" s="36">
        <v>3.76</v>
      </c>
      <c r="U97" s="21">
        <f t="shared" ref="U97:U99" si="5">T97*1000</f>
        <v>3760</v>
      </c>
      <c r="V97" s="21">
        <f t="shared" ref="V97:V98" si="6">(U97-U98)^2</f>
        <v>900</v>
      </c>
      <c r="W97" s="21">
        <f>SQRT(AVERAGE(V97:V102))</f>
        <v>24.8997992</v>
      </c>
    </row>
    <row r="98" ht="14.25" customHeight="1">
      <c r="A98" s="38">
        <v>0.4013888888888889</v>
      </c>
      <c r="B98" s="36">
        <v>226.0</v>
      </c>
      <c r="C98" s="36">
        <v>28.0</v>
      </c>
      <c r="D98" s="36">
        <v>2182.0</v>
      </c>
      <c r="E98" s="36">
        <v>2318.0</v>
      </c>
      <c r="F98" s="36">
        <v>1.06</v>
      </c>
      <c r="G98" s="36">
        <v>16.0</v>
      </c>
      <c r="H98" s="36">
        <v>3.3</v>
      </c>
      <c r="I98" s="36">
        <v>53.7</v>
      </c>
      <c r="J98" s="36">
        <v>63.4</v>
      </c>
      <c r="K98" s="36">
        <v>142.0</v>
      </c>
      <c r="L98" s="36">
        <v>14.7</v>
      </c>
      <c r="M98" s="36">
        <v>97.0</v>
      </c>
      <c r="N98" s="36">
        <v>51.0</v>
      </c>
      <c r="O98" s="36">
        <v>16.0</v>
      </c>
      <c r="P98" s="36">
        <v>90.0</v>
      </c>
      <c r="Q98" s="36">
        <v>0.37</v>
      </c>
      <c r="R98" s="36">
        <v>1.36</v>
      </c>
      <c r="S98" s="36">
        <v>2.34</v>
      </c>
      <c r="T98" s="4">
        <v>3.73</v>
      </c>
      <c r="U98" s="21">
        <f t="shared" si="5"/>
        <v>3730</v>
      </c>
      <c r="V98" s="21">
        <f t="shared" si="6"/>
        <v>900</v>
      </c>
    </row>
    <row r="99" ht="14.25" customHeight="1">
      <c r="A99" s="38">
        <v>0.4041666666666667</v>
      </c>
      <c r="B99" s="36">
        <v>227.0</v>
      </c>
      <c r="C99" s="36">
        <v>28.9</v>
      </c>
      <c r="D99" s="36">
        <v>2254.0</v>
      </c>
      <c r="E99" s="36">
        <v>2433.0</v>
      </c>
      <c r="F99" s="36">
        <v>1.08</v>
      </c>
      <c r="G99" s="36">
        <v>17.0</v>
      </c>
      <c r="H99" s="36">
        <v>3.39</v>
      </c>
      <c r="I99" s="36">
        <v>57.1</v>
      </c>
      <c r="J99" s="36">
        <v>61.1</v>
      </c>
      <c r="K99" s="36">
        <v>142.0</v>
      </c>
      <c r="L99" s="36">
        <v>14.7</v>
      </c>
      <c r="M99" s="36">
        <v>98.0</v>
      </c>
      <c r="N99" s="36">
        <v>51.0</v>
      </c>
      <c r="O99" s="36">
        <v>17.0</v>
      </c>
      <c r="P99" s="36">
        <v>93.0</v>
      </c>
      <c r="Q99" s="36">
        <v>0.36</v>
      </c>
      <c r="R99" s="36">
        <v>1.29</v>
      </c>
      <c r="S99" s="36">
        <v>2.27</v>
      </c>
      <c r="T99" s="4">
        <v>3.76</v>
      </c>
      <c r="U99" s="21">
        <f t="shared" si="5"/>
        <v>3760</v>
      </c>
      <c r="V99" s="21">
        <f>(U99-U101)^2</f>
        <v>900</v>
      </c>
    </row>
    <row r="100" ht="14.25" customHeight="1">
      <c r="A100" s="36" t="s">
        <v>82</v>
      </c>
    </row>
    <row r="101" ht="14.25" customHeight="1">
      <c r="A101" s="38">
        <v>0.40625</v>
      </c>
      <c r="B101" s="36">
        <v>229.0</v>
      </c>
      <c r="C101" s="36">
        <v>28.9</v>
      </c>
      <c r="D101" s="36">
        <v>2254.0</v>
      </c>
      <c r="E101" s="36">
        <v>2433.0</v>
      </c>
      <c r="F101" s="36">
        <v>1.08</v>
      </c>
      <c r="G101" s="36">
        <v>17.0</v>
      </c>
      <c r="H101" s="36">
        <v>3.39</v>
      </c>
      <c r="I101" s="36">
        <v>57.1</v>
      </c>
      <c r="J101" s="36">
        <v>61.1</v>
      </c>
      <c r="K101" s="36">
        <v>143.0</v>
      </c>
      <c r="L101" s="36">
        <v>14.3</v>
      </c>
      <c r="M101" s="36">
        <v>98.0</v>
      </c>
      <c r="N101" s="36">
        <v>51.0</v>
      </c>
      <c r="O101" s="36">
        <v>17.0</v>
      </c>
      <c r="P101" s="36">
        <v>93.0</v>
      </c>
      <c r="Q101" s="36">
        <v>0.36</v>
      </c>
      <c r="R101" s="36">
        <v>1.29</v>
      </c>
      <c r="S101" s="36">
        <v>2.27</v>
      </c>
      <c r="T101" s="4">
        <v>3.73</v>
      </c>
      <c r="U101" s="21">
        <f t="shared" ref="U101:U102" si="7">T101*1000</f>
        <v>3730</v>
      </c>
      <c r="V101" s="21">
        <f>(U101-U102)^2</f>
        <v>400</v>
      </c>
    </row>
    <row r="102" ht="14.25" customHeight="1">
      <c r="A102" s="38">
        <v>0.40902777777777777</v>
      </c>
      <c r="B102" s="36">
        <v>231.0</v>
      </c>
      <c r="C102" s="36">
        <v>28.5</v>
      </c>
      <c r="D102" s="36">
        <v>2226.0</v>
      </c>
      <c r="E102" s="36">
        <v>2412.0</v>
      </c>
      <c r="F102" s="36">
        <v>1.08</v>
      </c>
      <c r="G102" s="36">
        <v>16.0</v>
      </c>
      <c r="H102" s="36">
        <v>3.46</v>
      </c>
      <c r="I102" s="36">
        <v>56.0</v>
      </c>
      <c r="J102" s="36">
        <v>61.8</v>
      </c>
      <c r="K102" s="36">
        <v>145.0</v>
      </c>
      <c r="L102" s="36">
        <v>13.4</v>
      </c>
      <c r="M102" s="36">
        <v>98.0</v>
      </c>
      <c r="N102" s="36">
        <v>52.0</v>
      </c>
      <c r="O102" s="36">
        <v>16.0</v>
      </c>
      <c r="P102" s="36">
        <v>92.0</v>
      </c>
      <c r="Q102" s="36">
        <v>0.36</v>
      </c>
      <c r="R102" s="36">
        <v>1.35</v>
      </c>
      <c r="S102" s="36">
        <v>2.36</v>
      </c>
      <c r="T102" s="4">
        <v>3.75</v>
      </c>
      <c r="U102" s="21">
        <f t="shared" si="7"/>
        <v>3750</v>
      </c>
      <c r="V102" s="8">
        <v>0.0</v>
      </c>
    </row>
    <row r="103" ht="14.25" customHeight="1"/>
    <row r="104" ht="14.25" customHeight="1">
      <c r="A104" s="38"/>
    </row>
    <row r="105" ht="14.25" customHeight="1">
      <c r="A105" s="38"/>
    </row>
    <row r="106" ht="14.25" customHeight="1">
      <c r="A106" s="38"/>
    </row>
    <row r="107" ht="14.25" customHeight="1">
      <c r="A107" s="38"/>
    </row>
    <row r="108" ht="14.25" customHeight="1">
      <c r="A108" s="38"/>
    </row>
    <row r="109" ht="14.25" customHeight="1">
      <c r="A109" s="38"/>
    </row>
    <row r="110" ht="14.25" customHeight="1">
      <c r="A110" s="38"/>
    </row>
    <row r="111" ht="14.25" customHeight="1">
      <c r="A111" s="38"/>
    </row>
    <row r="112" ht="14.25" customHeight="1">
      <c r="A112" s="38"/>
    </row>
    <row r="113" ht="14.25" customHeight="1">
      <c r="A113" s="38"/>
    </row>
    <row r="114" ht="14.25" customHeight="1">
      <c r="A114" s="38"/>
    </row>
    <row r="115" ht="14.25" customHeight="1">
      <c r="A115" s="38"/>
    </row>
    <row r="116" ht="14.25" customHeight="1">
      <c r="A116" s="38"/>
    </row>
    <row r="117" ht="14.25" customHeight="1">
      <c r="A117" s="38"/>
    </row>
    <row r="118" ht="14.25" customHeight="1">
      <c r="A118" s="38"/>
    </row>
    <row r="119" ht="14.25" customHeight="1">
      <c r="A119" s="38"/>
    </row>
    <row r="120" ht="14.25" customHeight="1">
      <c r="A120" s="38"/>
    </row>
    <row r="121" ht="14.25" customHeight="1">
      <c r="A121" s="38"/>
    </row>
    <row r="122" ht="14.25" customHeight="1">
      <c r="A122" s="38"/>
    </row>
    <row r="123" ht="14.25" customHeight="1">
      <c r="A123" s="38"/>
    </row>
    <row r="124" ht="14.25" customHeight="1">
      <c r="A124" s="38"/>
    </row>
    <row r="125" ht="14.25" customHeight="1">
      <c r="A125" s="38"/>
    </row>
    <row r="126" ht="14.25" customHeight="1">
      <c r="A126" s="38"/>
    </row>
    <row r="127" ht="14.25" customHeight="1">
      <c r="A127" s="38"/>
    </row>
    <row r="128" ht="14.25" customHeight="1">
      <c r="A128" s="38"/>
    </row>
    <row r="129" ht="14.25" customHeight="1">
      <c r="A129" s="38"/>
    </row>
    <row r="130" ht="14.25" customHeight="1">
      <c r="A130" s="38"/>
    </row>
    <row r="131" ht="14.25" customHeight="1">
      <c r="A131" s="38"/>
    </row>
    <row r="132" ht="14.25" customHeight="1">
      <c r="A132" s="38"/>
    </row>
    <row r="133" ht="14.25" customHeight="1">
      <c r="A133" s="38"/>
    </row>
    <row r="134" ht="14.25" customHeight="1">
      <c r="A134" s="38"/>
    </row>
    <row r="135" ht="14.25" customHeight="1">
      <c r="A135" s="38"/>
    </row>
    <row r="136" ht="14.25" customHeight="1">
      <c r="A136" s="38"/>
    </row>
    <row r="137" ht="14.25" customHeight="1">
      <c r="A137" s="38"/>
    </row>
    <row r="138" ht="14.25" customHeight="1">
      <c r="A138" s="38"/>
    </row>
    <row r="139" ht="14.25" customHeight="1">
      <c r="A139" s="38"/>
    </row>
    <row r="140" ht="14.25" customHeight="1">
      <c r="A140" s="38"/>
    </row>
    <row r="141" ht="14.25" customHeight="1">
      <c r="A141" s="38"/>
    </row>
    <row r="142" ht="14.25" customHeight="1">
      <c r="A142" s="38"/>
    </row>
    <row r="143" ht="14.25" customHeight="1">
      <c r="A143" s="38"/>
    </row>
    <row r="144" ht="14.25" customHeight="1">
      <c r="A144" s="38"/>
    </row>
    <row r="145" ht="14.25" customHeight="1">
      <c r="A145" s="38"/>
    </row>
    <row r="146" ht="14.25" customHeight="1">
      <c r="A146" s="38"/>
    </row>
    <row r="147" ht="14.25" customHeight="1">
      <c r="A147" s="38"/>
    </row>
    <row r="148" ht="14.25" customHeight="1">
      <c r="A148" s="38"/>
    </row>
    <row r="149" ht="14.25" customHeight="1">
      <c r="A149" s="38"/>
    </row>
    <row r="150" ht="14.25" customHeight="1">
      <c r="A150" s="38"/>
    </row>
    <row r="151" ht="14.25" customHeight="1">
      <c r="A151" s="38"/>
    </row>
    <row r="152" ht="14.25" customHeight="1">
      <c r="A152" s="38"/>
    </row>
    <row r="153" ht="14.25" customHeight="1">
      <c r="A153" s="38"/>
    </row>
    <row r="154" ht="14.25" customHeight="1">
      <c r="A154" s="38"/>
    </row>
    <row r="155" ht="14.25" customHeight="1">
      <c r="A155" s="38"/>
    </row>
    <row r="156" ht="14.25" customHeight="1">
      <c r="A156" s="38"/>
    </row>
    <row r="157" ht="14.25" customHeight="1">
      <c r="A157" s="38"/>
    </row>
    <row r="158" ht="14.25" customHeight="1">
      <c r="A158" s="38"/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63"/>
    <col customWidth="1" min="23" max="36" width="6.63"/>
  </cols>
  <sheetData>
    <row r="1" ht="14.25" customHeight="1">
      <c r="A1" s="36" t="s">
        <v>33</v>
      </c>
      <c r="B1" s="36" t="s">
        <v>34</v>
      </c>
      <c r="C1" s="36" t="s">
        <v>35</v>
      </c>
      <c r="D1" s="36" t="s">
        <v>36</v>
      </c>
      <c r="E1" s="36" t="s">
        <v>37</v>
      </c>
      <c r="F1" s="36" t="s">
        <v>38</v>
      </c>
      <c r="G1" s="36" t="s">
        <v>39</v>
      </c>
      <c r="H1" s="36" t="s">
        <v>40</v>
      </c>
      <c r="I1" s="36" t="s">
        <v>41</v>
      </c>
      <c r="J1" s="36" t="s">
        <v>42</v>
      </c>
      <c r="K1" s="36" t="s">
        <v>43</v>
      </c>
      <c r="L1" s="36" t="s">
        <v>44</v>
      </c>
      <c r="M1" s="36" t="s">
        <v>45</v>
      </c>
      <c r="N1" s="36" t="s">
        <v>46</v>
      </c>
      <c r="O1" s="36" t="s">
        <v>39</v>
      </c>
      <c r="P1" s="36" t="s">
        <v>47</v>
      </c>
      <c r="Q1" s="36" t="s">
        <v>48</v>
      </c>
      <c r="R1" s="36" t="s">
        <v>49</v>
      </c>
      <c r="S1" s="36" t="s">
        <v>50</v>
      </c>
      <c r="T1" s="36" t="s">
        <v>51</v>
      </c>
      <c r="U1" s="8" t="s">
        <v>92</v>
      </c>
      <c r="V1" s="8" t="s">
        <v>94</v>
      </c>
      <c r="W1" s="8" t="s">
        <v>52</v>
      </c>
      <c r="AA1" s="37">
        <v>22544.0</v>
      </c>
    </row>
    <row r="2" ht="14.25" customHeight="1">
      <c r="A2" s="36" t="s">
        <v>53</v>
      </c>
      <c r="B2" s="36" t="s">
        <v>54</v>
      </c>
      <c r="C2" s="36" t="s">
        <v>55</v>
      </c>
      <c r="D2" s="36" t="s">
        <v>55</v>
      </c>
      <c r="E2" s="36" t="s">
        <v>56</v>
      </c>
      <c r="F2" s="36" t="s">
        <v>38</v>
      </c>
      <c r="G2" s="36" t="s">
        <v>57</v>
      </c>
      <c r="H2" s="36" t="s">
        <v>58</v>
      </c>
      <c r="I2" s="36" t="s">
        <v>59</v>
      </c>
      <c r="J2" s="36" t="s">
        <v>60</v>
      </c>
      <c r="K2" s="36" t="s">
        <v>61</v>
      </c>
      <c r="L2" s="36" t="s">
        <v>62</v>
      </c>
      <c r="M2" s="36" t="s">
        <v>63</v>
      </c>
      <c r="N2" s="36" t="s">
        <v>64</v>
      </c>
      <c r="O2" s="36" t="s">
        <v>57</v>
      </c>
      <c r="P2" s="36" t="s">
        <v>65</v>
      </c>
      <c r="Q2" s="36" t="s">
        <v>48</v>
      </c>
      <c r="R2" s="36" t="s">
        <v>66</v>
      </c>
      <c r="S2" s="36" t="s">
        <v>67</v>
      </c>
      <c r="T2" s="36" t="s">
        <v>68</v>
      </c>
    </row>
    <row r="3" ht="14.25" customHeight="1">
      <c r="A3" s="36" t="s">
        <v>69</v>
      </c>
      <c r="B3" s="36" t="s">
        <v>70</v>
      </c>
      <c r="C3" s="36" t="s">
        <v>71</v>
      </c>
      <c r="D3" s="36" t="s">
        <v>72</v>
      </c>
      <c r="E3" s="36" t="s">
        <v>72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77</v>
      </c>
      <c r="L3" s="36" t="s">
        <v>76</v>
      </c>
      <c r="M3" s="36" t="s">
        <v>78</v>
      </c>
      <c r="N3" s="36" t="s">
        <v>78</v>
      </c>
      <c r="O3" s="36" t="s">
        <v>73</v>
      </c>
      <c r="P3" s="36" t="s">
        <v>76</v>
      </c>
      <c r="R3" s="36" t="s">
        <v>79</v>
      </c>
      <c r="S3" s="36" t="s">
        <v>79</v>
      </c>
      <c r="T3" s="36" t="s">
        <v>79</v>
      </c>
    </row>
    <row r="4" ht="14.25" customHeight="1">
      <c r="A4" s="36" t="s">
        <v>87</v>
      </c>
    </row>
    <row r="5" ht="14.25" customHeight="1">
      <c r="A5" s="38">
        <v>0.10069444444444445</v>
      </c>
      <c r="B5" s="36">
        <v>2.0</v>
      </c>
      <c r="C5" s="36">
        <v>4.2</v>
      </c>
      <c r="D5" s="36">
        <v>358.0</v>
      </c>
      <c r="E5" s="36">
        <v>327.0</v>
      </c>
      <c r="F5" s="36">
        <v>0.91</v>
      </c>
      <c r="G5" s="36">
        <v>9.0</v>
      </c>
      <c r="H5" s="36">
        <v>0.93</v>
      </c>
      <c r="I5" s="36">
        <v>8.1</v>
      </c>
      <c r="J5" s="36">
        <v>94.1</v>
      </c>
      <c r="K5" s="36">
        <v>76.0</v>
      </c>
      <c r="L5" s="36">
        <v>55.8</v>
      </c>
      <c r="M5" s="36">
        <v>95.0</v>
      </c>
      <c r="N5" s="36">
        <v>58.0</v>
      </c>
      <c r="O5" s="36">
        <v>9.0</v>
      </c>
      <c r="P5" s="36">
        <v>15.0</v>
      </c>
      <c r="Q5" s="36">
        <v>0.37</v>
      </c>
      <c r="R5" s="36">
        <v>2.54</v>
      </c>
      <c r="S5" s="36">
        <v>4.36</v>
      </c>
      <c r="T5" s="36">
        <v>6.9</v>
      </c>
      <c r="U5" s="21">
        <f t="shared" ref="U5:U151" si="1">(T5*1000)</f>
        <v>6900</v>
      </c>
      <c r="V5" s="21">
        <f t="shared" ref="V5:V113" si="2">(U5-U6)^2</f>
        <v>48400</v>
      </c>
      <c r="W5" s="21">
        <f>SQRT(AVERAGE(V5:V114))</f>
        <v>403.7393399</v>
      </c>
    </row>
    <row r="6" ht="14.25" customHeight="1">
      <c r="A6" s="38">
        <v>0.10416666666666667</v>
      </c>
      <c r="B6" s="36">
        <v>4.0</v>
      </c>
      <c r="C6" s="36">
        <v>4.4</v>
      </c>
      <c r="D6" s="36">
        <v>371.0</v>
      </c>
      <c r="E6" s="36">
        <v>336.0</v>
      </c>
      <c r="F6" s="36">
        <v>0.91</v>
      </c>
      <c r="G6" s="36">
        <v>9.0</v>
      </c>
      <c r="H6" s="36">
        <v>0.92</v>
      </c>
      <c r="I6" s="36">
        <v>8.3</v>
      </c>
      <c r="J6" s="36">
        <v>93.9</v>
      </c>
      <c r="K6" s="36">
        <v>78.0</v>
      </c>
      <c r="L6" s="36">
        <v>54.5</v>
      </c>
      <c r="M6" s="36">
        <v>95.0</v>
      </c>
      <c r="N6" s="36">
        <v>59.0</v>
      </c>
      <c r="O6" s="36">
        <v>9.0</v>
      </c>
      <c r="P6" s="36">
        <v>15.0</v>
      </c>
      <c r="Q6" s="36">
        <v>0.36</v>
      </c>
      <c r="R6" s="36">
        <v>2.41</v>
      </c>
      <c r="S6" s="36">
        <v>4.28</v>
      </c>
      <c r="T6" s="36">
        <v>6.68</v>
      </c>
      <c r="U6" s="21">
        <f t="shared" si="1"/>
        <v>6680</v>
      </c>
      <c r="V6" s="21">
        <f t="shared" si="2"/>
        <v>756900</v>
      </c>
    </row>
    <row r="7" ht="14.25" customHeight="1">
      <c r="A7" s="38">
        <v>0.10625</v>
      </c>
      <c r="B7" s="36">
        <v>5.0</v>
      </c>
      <c r="C7" s="36">
        <v>4.2</v>
      </c>
      <c r="D7" s="36">
        <v>360.0</v>
      </c>
      <c r="E7" s="36">
        <v>324.0</v>
      </c>
      <c r="F7" s="36">
        <v>0.9</v>
      </c>
      <c r="G7" s="36">
        <v>10.0</v>
      </c>
      <c r="H7" s="36">
        <v>0.81</v>
      </c>
      <c r="I7" s="36">
        <v>8.3</v>
      </c>
      <c r="J7" s="36">
        <v>93.9</v>
      </c>
      <c r="K7" s="36">
        <v>81.0</v>
      </c>
      <c r="L7" s="36">
        <v>52.9</v>
      </c>
      <c r="M7" s="36">
        <v>96.0</v>
      </c>
      <c r="N7" s="36">
        <v>58.0</v>
      </c>
      <c r="O7" s="36">
        <v>10.0</v>
      </c>
      <c r="P7" s="36">
        <v>15.0</v>
      </c>
      <c r="Q7" s="36">
        <v>0.36</v>
      </c>
      <c r="R7" s="36">
        <v>2.11</v>
      </c>
      <c r="S7" s="36">
        <v>3.7</v>
      </c>
      <c r="T7" s="36">
        <v>5.81</v>
      </c>
      <c r="U7" s="21">
        <f t="shared" si="1"/>
        <v>5810</v>
      </c>
      <c r="V7" s="21">
        <f t="shared" si="2"/>
        <v>900</v>
      </c>
    </row>
    <row r="8" ht="14.25" customHeight="1">
      <c r="A8" s="38">
        <v>0.10833333333333334</v>
      </c>
      <c r="B8" s="36">
        <v>6.0</v>
      </c>
      <c r="C8" s="36">
        <v>4.7</v>
      </c>
      <c r="D8" s="36">
        <v>401.0</v>
      </c>
      <c r="E8" s="36">
        <v>365.0</v>
      </c>
      <c r="F8" s="36">
        <v>0.91</v>
      </c>
      <c r="G8" s="36">
        <v>10.0</v>
      </c>
      <c r="H8" s="36">
        <v>0.89</v>
      </c>
      <c r="I8" s="36">
        <v>9.3</v>
      </c>
      <c r="J8" s="36">
        <v>93.2</v>
      </c>
      <c r="K8" s="36">
        <v>84.0</v>
      </c>
      <c r="L8" s="36">
        <v>51.4</v>
      </c>
      <c r="M8" s="36">
        <v>96.0</v>
      </c>
      <c r="N8" s="36">
        <v>58.0</v>
      </c>
      <c r="O8" s="36">
        <v>10.0</v>
      </c>
      <c r="P8" s="36">
        <v>17.0</v>
      </c>
      <c r="Q8" s="36">
        <v>0.34</v>
      </c>
      <c r="R8" s="36">
        <v>1.95</v>
      </c>
      <c r="S8" s="36">
        <v>3.83</v>
      </c>
      <c r="T8" s="36">
        <v>5.78</v>
      </c>
      <c r="U8" s="21">
        <f t="shared" si="1"/>
        <v>5780</v>
      </c>
      <c r="V8" s="21">
        <f t="shared" si="2"/>
        <v>348100</v>
      </c>
    </row>
    <row r="9" ht="14.25" customHeight="1">
      <c r="A9" s="38">
        <v>0.1111111111111111</v>
      </c>
      <c r="B9" s="36">
        <v>7.0</v>
      </c>
      <c r="C9" s="36">
        <v>5.0</v>
      </c>
      <c r="D9" s="36">
        <v>428.0</v>
      </c>
      <c r="E9" s="36">
        <v>391.0</v>
      </c>
      <c r="F9" s="36">
        <v>0.91</v>
      </c>
      <c r="G9" s="36">
        <v>12.0</v>
      </c>
      <c r="H9" s="36">
        <v>0.88</v>
      </c>
      <c r="I9" s="36">
        <v>10.1</v>
      </c>
      <c r="J9" s="36">
        <v>92.6</v>
      </c>
      <c r="K9" s="36">
        <v>89.0</v>
      </c>
      <c r="L9" s="36">
        <v>48.4</v>
      </c>
      <c r="M9" s="36">
        <v>97.0</v>
      </c>
      <c r="N9" s="36">
        <v>57.0</v>
      </c>
      <c r="O9" s="36">
        <v>12.0</v>
      </c>
      <c r="P9" s="36">
        <v>18.0</v>
      </c>
      <c r="Q9" s="36">
        <v>0.32</v>
      </c>
      <c r="R9" s="36">
        <v>1.68</v>
      </c>
      <c r="S9" s="36">
        <v>3.51</v>
      </c>
      <c r="T9" s="36">
        <v>5.19</v>
      </c>
      <c r="U9" s="21">
        <f t="shared" si="1"/>
        <v>5190</v>
      </c>
      <c r="V9" s="21">
        <f t="shared" si="2"/>
        <v>1299600</v>
      </c>
    </row>
    <row r="10" ht="14.25" customHeight="1">
      <c r="A10" s="38">
        <v>0.1125</v>
      </c>
      <c r="B10" s="36">
        <v>7.0</v>
      </c>
      <c r="C10" s="36">
        <v>5.6</v>
      </c>
      <c r="D10" s="36">
        <v>480.0</v>
      </c>
      <c r="E10" s="36">
        <v>437.0</v>
      </c>
      <c r="F10" s="36">
        <v>0.91</v>
      </c>
      <c r="G10" s="36">
        <v>15.0</v>
      </c>
      <c r="H10" s="36">
        <v>0.79</v>
      </c>
      <c r="I10" s="36">
        <v>11.7</v>
      </c>
      <c r="J10" s="36">
        <v>91.4</v>
      </c>
      <c r="K10" s="36">
        <v>88.0</v>
      </c>
      <c r="L10" s="36">
        <v>49.1</v>
      </c>
      <c r="M10" s="36">
        <v>97.0</v>
      </c>
      <c r="N10" s="36">
        <v>57.0</v>
      </c>
      <c r="O10" s="36">
        <v>15.0</v>
      </c>
      <c r="P10" s="36">
        <v>20.0</v>
      </c>
      <c r="Q10" s="36">
        <v>0.33</v>
      </c>
      <c r="R10" s="36">
        <v>1.33</v>
      </c>
      <c r="S10" s="36">
        <v>2.72</v>
      </c>
      <c r="T10" s="36">
        <v>4.05</v>
      </c>
      <c r="U10" s="21">
        <f t="shared" si="1"/>
        <v>4050</v>
      </c>
      <c r="V10" s="21">
        <f t="shared" si="2"/>
        <v>336400</v>
      </c>
    </row>
    <row r="11" ht="14.25" customHeight="1">
      <c r="A11" s="38">
        <v>0.11458333333333333</v>
      </c>
      <c r="B11" s="36">
        <v>8.0</v>
      </c>
      <c r="C11" s="36">
        <v>5.9</v>
      </c>
      <c r="D11" s="36">
        <v>499.0</v>
      </c>
      <c r="E11" s="36">
        <v>454.0</v>
      </c>
      <c r="F11" s="36">
        <v>0.91</v>
      </c>
      <c r="G11" s="36">
        <v>17.0</v>
      </c>
      <c r="H11" s="36">
        <v>0.73</v>
      </c>
      <c r="I11" s="36">
        <v>12.6</v>
      </c>
      <c r="J11" s="36">
        <v>90.8</v>
      </c>
      <c r="K11" s="36">
        <v>88.0</v>
      </c>
      <c r="L11" s="36">
        <v>48.8</v>
      </c>
      <c r="M11" s="36">
        <v>97.0</v>
      </c>
      <c r="N11" s="36">
        <v>57.0</v>
      </c>
      <c r="O11" s="36">
        <v>17.0</v>
      </c>
      <c r="P11" s="36">
        <v>21.0</v>
      </c>
      <c r="Q11" s="36">
        <v>0.31</v>
      </c>
      <c r="R11" s="36">
        <v>1.07</v>
      </c>
      <c r="S11" s="36">
        <v>2.4</v>
      </c>
      <c r="T11" s="36">
        <v>3.47</v>
      </c>
      <c r="U11" s="21">
        <f t="shared" si="1"/>
        <v>3470</v>
      </c>
      <c r="V11" s="21">
        <f t="shared" si="2"/>
        <v>2500</v>
      </c>
    </row>
    <row r="12" ht="14.25" customHeight="1">
      <c r="A12" s="38">
        <v>0.11666666666666667</v>
      </c>
      <c r="B12" s="36">
        <v>10.0</v>
      </c>
      <c r="C12" s="36">
        <v>6.7</v>
      </c>
      <c r="D12" s="36">
        <v>569.0</v>
      </c>
      <c r="E12" s="36">
        <v>513.0</v>
      </c>
      <c r="F12" s="36">
        <v>0.9</v>
      </c>
      <c r="G12" s="36">
        <v>18.0</v>
      </c>
      <c r="H12" s="36">
        <v>0.78</v>
      </c>
      <c r="I12" s="36">
        <v>13.8</v>
      </c>
      <c r="J12" s="36">
        <v>89.9</v>
      </c>
      <c r="K12" s="36">
        <v>89.0</v>
      </c>
      <c r="L12" s="36">
        <v>48.5</v>
      </c>
      <c r="M12" s="36">
        <v>96.0</v>
      </c>
      <c r="N12" s="36">
        <v>58.0</v>
      </c>
      <c r="O12" s="36">
        <v>18.0</v>
      </c>
      <c r="P12" s="36">
        <v>24.0</v>
      </c>
      <c r="Q12" s="36">
        <v>0.3</v>
      </c>
      <c r="R12" s="36">
        <v>1.01</v>
      </c>
      <c r="S12" s="36">
        <v>2.4</v>
      </c>
      <c r="T12" s="36">
        <v>3.42</v>
      </c>
      <c r="U12" s="21">
        <f t="shared" si="1"/>
        <v>3420</v>
      </c>
      <c r="V12" s="21">
        <f t="shared" si="2"/>
        <v>67600</v>
      </c>
    </row>
    <row r="13" ht="14.25" customHeight="1">
      <c r="A13" s="38">
        <v>0.12013888888888889</v>
      </c>
      <c r="B13" s="36">
        <v>11.0</v>
      </c>
      <c r="C13" s="36">
        <v>7.2</v>
      </c>
      <c r="D13" s="36">
        <v>614.0</v>
      </c>
      <c r="E13" s="36">
        <v>530.0</v>
      </c>
      <c r="F13" s="36">
        <v>0.86</v>
      </c>
      <c r="G13" s="36">
        <v>19.0</v>
      </c>
      <c r="H13" s="36">
        <v>0.74</v>
      </c>
      <c r="I13" s="36">
        <v>14.1</v>
      </c>
      <c r="J13" s="36">
        <v>89.7</v>
      </c>
      <c r="K13" s="36">
        <v>88.0</v>
      </c>
      <c r="L13" s="36">
        <v>48.8</v>
      </c>
      <c r="M13" s="36">
        <v>95.0</v>
      </c>
      <c r="N13" s="36">
        <v>58.0</v>
      </c>
      <c r="O13" s="36">
        <v>19.0</v>
      </c>
      <c r="P13" s="36">
        <v>26.0</v>
      </c>
      <c r="Q13" s="36">
        <v>0.33</v>
      </c>
      <c r="R13" s="36">
        <v>1.03</v>
      </c>
      <c r="S13" s="36">
        <v>2.13</v>
      </c>
      <c r="T13" s="36">
        <v>3.16</v>
      </c>
      <c r="U13" s="21">
        <f t="shared" si="1"/>
        <v>3160</v>
      </c>
      <c r="V13" s="21">
        <f t="shared" si="2"/>
        <v>25600</v>
      </c>
    </row>
    <row r="14" ht="14.25" customHeight="1">
      <c r="A14" s="38">
        <v>0.12222222222222222</v>
      </c>
      <c r="B14" s="36">
        <v>12.0</v>
      </c>
      <c r="C14" s="36">
        <v>8.2</v>
      </c>
      <c r="D14" s="36">
        <v>698.0</v>
      </c>
      <c r="E14" s="36">
        <v>596.0</v>
      </c>
      <c r="F14" s="36">
        <v>0.85</v>
      </c>
      <c r="G14" s="36">
        <v>18.0</v>
      </c>
      <c r="H14" s="36">
        <v>0.83</v>
      </c>
      <c r="I14" s="36">
        <v>15.0</v>
      </c>
      <c r="J14" s="36">
        <v>89.1</v>
      </c>
      <c r="K14" s="36">
        <v>88.0</v>
      </c>
      <c r="L14" s="36">
        <v>49.1</v>
      </c>
      <c r="M14" s="36">
        <v>93.0</v>
      </c>
      <c r="N14" s="36">
        <v>59.0</v>
      </c>
      <c r="O14" s="36">
        <v>18.0</v>
      </c>
      <c r="P14" s="36">
        <v>29.0</v>
      </c>
      <c r="Q14" s="36">
        <v>0.3</v>
      </c>
      <c r="R14" s="36">
        <v>0.99</v>
      </c>
      <c r="S14" s="36">
        <v>2.34</v>
      </c>
      <c r="T14" s="36">
        <v>3.32</v>
      </c>
      <c r="U14" s="21">
        <f t="shared" si="1"/>
        <v>3320</v>
      </c>
      <c r="V14" s="21">
        <f t="shared" si="2"/>
        <v>19600</v>
      </c>
    </row>
    <row r="15" ht="14.25" customHeight="1">
      <c r="A15" s="38">
        <v>0.125</v>
      </c>
      <c r="B15" s="36">
        <v>14.0</v>
      </c>
      <c r="C15" s="36">
        <v>8.4</v>
      </c>
      <c r="D15" s="36">
        <v>713.0</v>
      </c>
      <c r="E15" s="36">
        <v>606.0</v>
      </c>
      <c r="F15" s="36">
        <v>0.85</v>
      </c>
      <c r="G15" s="36">
        <v>17.0</v>
      </c>
      <c r="H15" s="36">
        <v>0.88</v>
      </c>
      <c r="I15" s="36">
        <v>15.2</v>
      </c>
      <c r="J15" s="36">
        <v>88.9</v>
      </c>
      <c r="K15" s="36">
        <v>87.0</v>
      </c>
      <c r="L15" s="36">
        <v>49.5</v>
      </c>
      <c r="M15" s="36">
        <v>93.0</v>
      </c>
      <c r="N15" s="36">
        <v>59.0</v>
      </c>
      <c r="O15" s="36">
        <v>17.0</v>
      </c>
      <c r="P15" s="36">
        <v>30.0</v>
      </c>
      <c r="Q15" s="36">
        <v>0.32</v>
      </c>
      <c r="R15" s="36">
        <v>1.12</v>
      </c>
      <c r="S15" s="36">
        <v>2.34</v>
      </c>
      <c r="T15" s="36">
        <v>3.46</v>
      </c>
      <c r="U15" s="21">
        <f t="shared" si="1"/>
        <v>3460</v>
      </c>
      <c r="V15" s="21">
        <f t="shared" si="2"/>
        <v>476100</v>
      </c>
    </row>
    <row r="16" ht="14.25" customHeight="1">
      <c r="A16" s="38">
        <v>0.13055555555555556</v>
      </c>
      <c r="B16" s="36">
        <v>16.0</v>
      </c>
      <c r="C16" s="36">
        <v>8.1</v>
      </c>
      <c r="D16" s="36">
        <v>688.0</v>
      </c>
      <c r="E16" s="36">
        <v>595.0</v>
      </c>
      <c r="F16" s="36">
        <v>0.87</v>
      </c>
      <c r="G16" s="36">
        <v>14.0</v>
      </c>
      <c r="H16" s="36">
        <v>0.99</v>
      </c>
      <c r="I16" s="36">
        <v>14.4</v>
      </c>
      <c r="J16" s="36">
        <v>89.5</v>
      </c>
      <c r="K16" s="36">
        <v>87.0</v>
      </c>
      <c r="L16" s="36">
        <v>49.7</v>
      </c>
      <c r="M16" s="36">
        <v>92.0</v>
      </c>
      <c r="N16" s="36">
        <v>60.0</v>
      </c>
      <c r="O16" s="36">
        <v>14.0</v>
      </c>
      <c r="P16" s="36">
        <v>29.0</v>
      </c>
      <c r="Q16" s="36">
        <v>0.3</v>
      </c>
      <c r="R16" s="36">
        <v>1.23</v>
      </c>
      <c r="S16" s="36">
        <v>2.91</v>
      </c>
      <c r="T16" s="36">
        <v>4.15</v>
      </c>
      <c r="U16" s="21">
        <f t="shared" si="1"/>
        <v>4150</v>
      </c>
      <c r="V16" s="21">
        <f t="shared" si="2"/>
        <v>336400</v>
      </c>
    </row>
    <row r="17" ht="14.25" customHeight="1">
      <c r="A17" s="38">
        <v>0.13333333333333333</v>
      </c>
      <c r="B17" s="36">
        <v>18.0</v>
      </c>
      <c r="C17" s="36">
        <v>8.3</v>
      </c>
      <c r="D17" s="36">
        <v>702.0</v>
      </c>
      <c r="E17" s="36">
        <v>614.0</v>
      </c>
      <c r="F17" s="36">
        <v>0.88</v>
      </c>
      <c r="G17" s="36">
        <v>13.0</v>
      </c>
      <c r="H17" s="36">
        <v>1.14</v>
      </c>
      <c r="I17" s="36">
        <v>14.5</v>
      </c>
      <c r="J17" s="36">
        <v>89.4</v>
      </c>
      <c r="K17" s="36">
        <v>86.0</v>
      </c>
      <c r="L17" s="36">
        <v>49.7</v>
      </c>
      <c r="M17" s="36">
        <v>91.0</v>
      </c>
      <c r="N17" s="36">
        <v>60.0</v>
      </c>
      <c r="O17" s="36">
        <v>13.0</v>
      </c>
      <c r="P17" s="36">
        <v>29.0</v>
      </c>
      <c r="Q17" s="36">
        <v>0.3</v>
      </c>
      <c r="R17" s="36">
        <v>1.43</v>
      </c>
      <c r="S17" s="36">
        <v>3.3</v>
      </c>
      <c r="T17" s="36">
        <v>4.73</v>
      </c>
      <c r="U17" s="21">
        <f t="shared" si="1"/>
        <v>4730</v>
      </c>
      <c r="V17" s="21">
        <f t="shared" si="2"/>
        <v>532900</v>
      </c>
    </row>
    <row r="18" ht="14.25" customHeight="1">
      <c r="A18" s="38">
        <v>0.1361111111111111</v>
      </c>
      <c r="B18" s="36">
        <v>19.0</v>
      </c>
      <c r="C18" s="36">
        <v>9.0</v>
      </c>
      <c r="D18" s="36">
        <v>761.0</v>
      </c>
      <c r="E18" s="36">
        <v>660.0</v>
      </c>
      <c r="F18" s="36">
        <v>0.87</v>
      </c>
      <c r="G18" s="36">
        <v>15.0</v>
      </c>
      <c r="H18" s="36">
        <v>1.06</v>
      </c>
      <c r="I18" s="36">
        <v>15.8</v>
      </c>
      <c r="J18" s="36">
        <v>88.4</v>
      </c>
      <c r="K18" s="36">
        <v>86.0</v>
      </c>
      <c r="L18" s="36">
        <v>50.2</v>
      </c>
      <c r="M18" s="36">
        <v>93.0</v>
      </c>
      <c r="N18" s="36">
        <v>59.0</v>
      </c>
      <c r="O18" s="36">
        <v>15.0</v>
      </c>
      <c r="P18" s="36">
        <v>32.0</v>
      </c>
      <c r="Q18" s="36">
        <v>0.33</v>
      </c>
      <c r="R18" s="36">
        <v>1.33</v>
      </c>
      <c r="S18" s="36">
        <v>2.67</v>
      </c>
      <c r="T18" s="36">
        <v>4.0</v>
      </c>
      <c r="U18" s="21">
        <f t="shared" si="1"/>
        <v>4000</v>
      </c>
      <c r="V18" s="21">
        <f t="shared" si="2"/>
        <v>6400</v>
      </c>
    </row>
    <row r="19" ht="14.25" customHeight="1">
      <c r="A19" s="38">
        <v>0.13819444444444445</v>
      </c>
      <c r="B19" s="36">
        <v>20.0</v>
      </c>
      <c r="C19" s="36">
        <v>8.6</v>
      </c>
      <c r="D19" s="36">
        <v>733.0</v>
      </c>
      <c r="E19" s="36">
        <v>653.0</v>
      </c>
      <c r="F19" s="36">
        <v>0.89</v>
      </c>
      <c r="G19" s="36">
        <v>15.0</v>
      </c>
      <c r="H19" s="36">
        <v>1.05</v>
      </c>
      <c r="I19" s="36">
        <v>16.0</v>
      </c>
      <c r="J19" s="36">
        <v>88.3</v>
      </c>
      <c r="K19" s="36">
        <v>86.0</v>
      </c>
      <c r="L19" s="36">
        <v>50.2</v>
      </c>
      <c r="M19" s="36">
        <v>96.0</v>
      </c>
      <c r="N19" s="36">
        <v>58.0</v>
      </c>
      <c r="O19" s="36">
        <v>15.0</v>
      </c>
      <c r="P19" s="36">
        <v>31.0</v>
      </c>
      <c r="Q19" s="36">
        <v>0.37</v>
      </c>
      <c r="R19" s="36">
        <v>1.43</v>
      </c>
      <c r="S19" s="36">
        <v>2.48</v>
      </c>
      <c r="T19" s="36">
        <v>3.92</v>
      </c>
      <c r="U19" s="21">
        <f t="shared" si="1"/>
        <v>3920</v>
      </c>
      <c r="V19" s="21">
        <f t="shared" si="2"/>
        <v>44100</v>
      </c>
    </row>
    <row r="20" ht="14.25" customHeight="1">
      <c r="A20" s="38">
        <v>0.14097222222222222</v>
      </c>
      <c r="B20" s="36">
        <v>21.0</v>
      </c>
      <c r="C20" s="36">
        <v>8.7</v>
      </c>
      <c r="D20" s="36">
        <v>741.0</v>
      </c>
      <c r="E20" s="36">
        <v>682.0</v>
      </c>
      <c r="F20" s="36">
        <v>0.92</v>
      </c>
      <c r="G20" s="36">
        <v>16.0</v>
      </c>
      <c r="H20" s="36">
        <v>1.05</v>
      </c>
      <c r="I20" s="36">
        <v>17.1</v>
      </c>
      <c r="J20" s="36">
        <v>87.5</v>
      </c>
      <c r="K20" s="36">
        <v>85.0</v>
      </c>
      <c r="L20" s="36">
        <v>50.5</v>
      </c>
      <c r="M20" s="36">
        <v>98.0</v>
      </c>
      <c r="N20" s="36">
        <v>57.0</v>
      </c>
      <c r="O20" s="36">
        <v>16.0</v>
      </c>
      <c r="P20" s="36">
        <v>31.0</v>
      </c>
      <c r="Q20" s="36">
        <v>0.39</v>
      </c>
      <c r="R20" s="36">
        <v>1.44</v>
      </c>
      <c r="S20" s="36">
        <v>2.27</v>
      </c>
      <c r="T20" s="36">
        <v>3.71</v>
      </c>
      <c r="U20" s="21">
        <f t="shared" si="1"/>
        <v>3710</v>
      </c>
      <c r="V20" s="21">
        <f t="shared" si="2"/>
        <v>302500</v>
      </c>
    </row>
    <row r="21" ht="14.25" customHeight="1">
      <c r="A21" s="38">
        <v>0.1451388888888889</v>
      </c>
      <c r="B21" s="36">
        <v>23.0</v>
      </c>
      <c r="C21" s="36">
        <v>7.9</v>
      </c>
      <c r="D21" s="36">
        <v>669.0</v>
      </c>
      <c r="E21" s="36">
        <v>629.0</v>
      </c>
      <c r="F21" s="36">
        <v>0.94</v>
      </c>
      <c r="G21" s="36">
        <v>14.0</v>
      </c>
      <c r="H21" s="36">
        <v>1.1</v>
      </c>
      <c r="I21" s="36">
        <v>15.5</v>
      </c>
      <c r="J21" s="36">
        <v>88.7</v>
      </c>
      <c r="K21" s="36">
        <v>84.0</v>
      </c>
      <c r="L21" s="36">
        <v>50.9</v>
      </c>
      <c r="M21" s="36">
        <v>98.0</v>
      </c>
      <c r="N21" s="36">
        <v>58.0</v>
      </c>
      <c r="O21" s="36">
        <v>14.0</v>
      </c>
      <c r="P21" s="36">
        <v>28.0</v>
      </c>
      <c r="Q21" s="36">
        <v>0.33</v>
      </c>
      <c r="R21" s="36">
        <v>1.39</v>
      </c>
      <c r="S21" s="36">
        <v>2.88</v>
      </c>
      <c r="T21" s="36">
        <v>4.26</v>
      </c>
      <c r="U21" s="21">
        <f t="shared" si="1"/>
        <v>4260</v>
      </c>
      <c r="V21" s="21">
        <f t="shared" si="2"/>
        <v>32400</v>
      </c>
    </row>
    <row r="22" ht="14.25" customHeight="1">
      <c r="A22" s="38">
        <v>0.14791666666666667</v>
      </c>
      <c r="B22" s="36">
        <v>25.0</v>
      </c>
      <c r="C22" s="36">
        <v>7.8</v>
      </c>
      <c r="D22" s="36">
        <v>664.0</v>
      </c>
      <c r="E22" s="36">
        <v>611.0</v>
      </c>
      <c r="F22" s="36">
        <v>0.92</v>
      </c>
      <c r="G22" s="36">
        <v>14.0</v>
      </c>
      <c r="H22" s="36">
        <v>1.09</v>
      </c>
      <c r="I22" s="36">
        <v>14.7</v>
      </c>
      <c r="J22" s="36">
        <v>89.2</v>
      </c>
      <c r="K22" s="36">
        <v>84.0</v>
      </c>
      <c r="L22" s="36">
        <v>51.2</v>
      </c>
      <c r="M22" s="36">
        <v>95.0</v>
      </c>
      <c r="N22" s="36">
        <v>59.0</v>
      </c>
      <c r="O22" s="36">
        <v>14.0</v>
      </c>
      <c r="P22" s="36">
        <v>28.0</v>
      </c>
      <c r="Q22" s="36">
        <v>0.32</v>
      </c>
      <c r="R22" s="36">
        <v>1.4</v>
      </c>
      <c r="S22" s="36">
        <v>3.04</v>
      </c>
      <c r="T22" s="36">
        <v>4.44</v>
      </c>
      <c r="U22" s="21">
        <f t="shared" si="1"/>
        <v>4440</v>
      </c>
      <c r="V22" s="21">
        <f t="shared" si="2"/>
        <v>313600</v>
      </c>
    </row>
    <row r="23" ht="14.25" customHeight="1">
      <c r="A23" s="38">
        <v>0.15069444444444444</v>
      </c>
      <c r="B23" s="36">
        <v>26.0</v>
      </c>
      <c r="C23" s="36">
        <v>8.3</v>
      </c>
      <c r="D23" s="36">
        <v>702.0</v>
      </c>
      <c r="E23" s="36">
        <v>639.0</v>
      </c>
      <c r="F23" s="36">
        <v>0.91</v>
      </c>
      <c r="G23" s="36">
        <v>15.0</v>
      </c>
      <c r="H23" s="36">
        <v>1.01</v>
      </c>
      <c r="I23" s="36">
        <v>15.7</v>
      </c>
      <c r="J23" s="36">
        <v>88.5</v>
      </c>
      <c r="K23" s="36">
        <v>84.0</v>
      </c>
      <c r="L23" s="36">
        <v>51.4</v>
      </c>
      <c r="M23" s="36">
        <v>96.0</v>
      </c>
      <c r="N23" s="36">
        <v>58.0</v>
      </c>
      <c r="O23" s="36">
        <v>15.0</v>
      </c>
      <c r="P23" s="36">
        <v>29.0</v>
      </c>
      <c r="Q23" s="36">
        <v>0.38</v>
      </c>
      <c r="R23" s="36">
        <v>1.46</v>
      </c>
      <c r="S23" s="36">
        <v>2.42</v>
      </c>
      <c r="T23" s="36">
        <v>3.88</v>
      </c>
      <c r="U23" s="21">
        <f t="shared" si="1"/>
        <v>3880</v>
      </c>
      <c r="V23" s="21">
        <f t="shared" si="2"/>
        <v>372100</v>
      </c>
    </row>
    <row r="24" ht="14.25" customHeight="1">
      <c r="A24" s="38">
        <v>0.15625</v>
      </c>
      <c r="B24" s="36">
        <v>28.0</v>
      </c>
      <c r="C24" s="36">
        <v>7.7</v>
      </c>
      <c r="D24" s="36">
        <v>651.0</v>
      </c>
      <c r="E24" s="36">
        <v>597.0</v>
      </c>
      <c r="F24" s="36">
        <v>0.92</v>
      </c>
      <c r="G24" s="36">
        <v>13.0</v>
      </c>
      <c r="H24" s="36">
        <v>1.07</v>
      </c>
      <c r="I24" s="36">
        <v>14.3</v>
      </c>
      <c r="J24" s="36">
        <v>89.5</v>
      </c>
      <c r="K24" s="36">
        <v>84.0</v>
      </c>
      <c r="L24" s="36">
        <v>51.4</v>
      </c>
      <c r="M24" s="36">
        <v>96.0</v>
      </c>
      <c r="N24" s="36">
        <v>59.0</v>
      </c>
      <c r="O24" s="36">
        <v>13.0</v>
      </c>
      <c r="P24" s="36">
        <v>27.0</v>
      </c>
      <c r="Q24" s="36">
        <v>0.34</v>
      </c>
      <c r="R24" s="36">
        <v>1.52</v>
      </c>
      <c r="S24" s="36">
        <v>2.97</v>
      </c>
      <c r="T24" s="36">
        <v>4.49</v>
      </c>
      <c r="U24" s="21">
        <f t="shared" si="1"/>
        <v>4490</v>
      </c>
      <c r="V24" s="21">
        <f t="shared" si="2"/>
        <v>0</v>
      </c>
    </row>
    <row r="25" ht="14.25" customHeight="1">
      <c r="A25" s="38">
        <v>0.15833333333333333</v>
      </c>
      <c r="B25" s="36">
        <v>29.0</v>
      </c>
      <c r="C25" s="36">
        <v>7.7</v>
      </c>
      <c r="D25" s="36">
        <v>653.0</v>
      </c>
      <c r="E25" s="36">
        <v>603.0</v>
      </c>
      <c r="F25" s="36">
        <v>0.92</v>
      </c>
      <c r="G25" s="36">
        <v>13.0</v>
      </c>
      <c r="H25" s="36">
        <v>1.08</v>
      </c>
      <c r="I25" s="36">
        <v>14.5</v>
      </c>
      <c r="J25" s="36">
        <v>89.4</v>
      </c>
      <c r="K25" s="36">
        <v>84.0</v>
      </c>
      <c r="L25" s="36">
        <v>51.4</v>
      </c>
      <c r="M25" s="36">
        <v>96.0</v>
      </c>
      <c r="N25" s="36">
        <v>58.0</v>
      </c>
      <c r="O25" s="36">
        <v>13.0</v>
      </c>
      <c r="P25" s="36">
        <v>27.0</v>
      </c>
      <c r="Q25" s="36">
        <v>0.34</v>
      </c>
      <c r="R25" s="36">
        <v>1.51</v>
      </c>
      <c r="S25" s="36">
        <v>2.97</v>
      </c>
      <c r="T25" s="36">
        <v>4.49</v>
      </c>
      <c r="U25" s="21">
        <f t="shared" si="1"/>
        <v>4490</v>
      </c>
      <c r="V25" s="21">
        <f t="shared" si="2"/>
        <v>0</v>
      </c>
    </row>
    <row r="26" ht="14.25" customHeight="1">
      <c r="A26" s="38">
        <v>0.16111111111111112</v>
      </c>
      <c r="B26" s="36">
        <v>31.0</v>
      </c>
      <c r="C26" s="36">
        <v>7.8</v>
      </c>
      <c r="D26" s="36">
        <v>663.0</v>
      </c>
      <c r="E26" s="36">
        <v>605.0</v>
      </c>
      <c r="F26" s="36">
        <v>0.91</v>
      </c>
      <c r="G26" s="36">
        <v>13.0</v>
      </c>
      <c r="H26" s="36">
        <v>1.07</v>
      </c>
      <c r="I26" s="36">
        <v>14.3</v>
      </c>
      <c r="J26" s="36">
        <v>89.5</v>
      </c>
      <c r="K26" s="36">
        <v>83.0</v>
      </c>
      <c r="L26" s="36">
        <v>51.6</v>
      </c>
      <c r="M26" s="36">
        <v>95.0</v>
      </c>
      <c r="N26" s="36">
        <v>59.0</v>
      </c>
      <c r="O26" s="36">
        <v>13.0</v>
      </c>
      <c r="P26" s="36">
        <v>28.0</v>
      </c>
      <c r="Q26" s="36">
        <v>0.34</v>
      </c>
      <c r="R26" s="36">
        <v>1.51</v>
      </c>
      <c r="S26" s="36">
        <v>2.98</v>
      </c>
      <c r="T26" s="36">
        <v>4.49</v>
      </c>
      <c r="U26" s="21">
        <f t="shared" si="1"/>
        <v>4490</v>
      </c>
      <c r="V26" s="21">
        <f t="shared" si="2"/>
        <v>3600</v>
      </c>
    </row>
    <row r="27" ht="14.25" customHeight="1">
      <c r="A27" s="38">
        <v>0.1638888888888889</v>
      </c>
      <c r="B27" s="36">
        <v>32.0</v>
      </c>
      <c r="C27" s="36">
        <v>7.8</v>
      </c>
      <c r="D27" s="36">
        <v>661.0</v>
      </c>
      <c r="E27" s="36">
        <v>609.0</v>
      </c>
      <c r="F27" s="36">
        <v>0.92</v>
      </c>
      <c r="G27" s="36">
        <v>13.0</v>
      </c>
      <c r="H27" s="36">
        <v>1.09</v>
      </c>
      <c r="I27" s="36">
        <v>14.4</v>
      </c>
      <c r="J27" s="36">
        <v>89.5</v>
      </c>
      <c r="K27" s="36">
        <v>83.0</v>
      </c>
      <c r="L27" s="36">
        <v>51.6</v>
      </c>
      <c r="M27" s="36">
        <v>95.0</v>
      </c>
      <c r="N27" s="36">
        <v>59.0</v>
      </c>
      <c r="O27" s="36">
        <v>13.0</v>
      </c>
      <c r="P27" s="36">
        <v>28.0</v>
      </c>
      <c r="Q27" s="36">
        <v>0.33</v>
      </c>
      <c r="R27" s="36">
        <v>1.52</v>
      </c>
      <c r="S27" s="36">
        <v>3.03</v>
      </c>
      <c r="T27" s="36">
        <v>4.55</v>
      </c>
      <c r="U27" s="21">
        <f t="shared" si="1"/>
        <v>4550</v>
      </c>
      <c r="V27" s="21">
        <f t="shared" si="2"/>
        <v>756900</v>
      </c>
    </row>
    <row r="28" ht="14.25" customHeight="1">
      <c r="A28" s="38">
        <v>0.16597222222222222</v>
      </c>
      <c r="B28" s="36">
        <v>33.0</v>
      </c>
      <c r="C28" s="36">
        <v>8.2</v>
      </c>
      <c r="D28" s="36">
        <v>696.0</v>
      </c>
      <c r="E28" s="36">
        <v>652.0</v>
      </c>
      <c r="F28" s="36">
        <v>0.94</v>
      </c>
      <c r="G28" s="36">
        <v>16.0</v>
      </c>
      <c r="H28" s="36">
        <v>0.98</v>
      </c>
      <c r="I28" s="36">
        <v>16.0</v>
      </c>
      <c r="J28" s="36">
        <v>88.3</v>
      </c>
      <c r="K28" s="36">
        <v>83.0</v>
      </c>
      <c r="L28" s="36">
        <v>51.6</v>
      </c>
      <c r="M28" s="36">
        <v>97.0</v>
      </c>
      <c r="N28" s="36">
        <v>58.0</v>
      </c>
      <c r="O28" s="36">
        <v>16.0</v>
      </c>
      <c r="P28" s="36">
        <v>29.0</v>
      </c>
      <c r="Q28" s="36">
        <v>0.37</v>
      </c>
      <c r="R28" s="36">
        <v>1.37</v>
      </c>
      <c r="S28" s="36">
        <v>2.31</v>
      </c>
      <c r="T28" s="36">
        <v>3.68</v>
      </c>
      <c r="U28" s="21">
        <f t="shared" si="1"/>
        <v>3680</v>
      </c>
      <c r="V28" s="21">
        <f t="shared" si="2"/>
        <v>547600</v>
      </c>
    </row>
    <row r="29" ht="14.25" customHeight="1">
      <c r="A29" s="38">
        <v>0.16875</v>
      </c>
      <c r="B29" s="36">
        <v>34.0</v>
      </c>
      <c r="C29" s="36">
        <v>7.8</v>
      </c>
      <c r="D29" s="36">
        <v>664.0</v>
      </c>
      <c r="E29" s="36">
        <v>629.0</v>
      </c>
      <c r="F29" s="36">
        <v>0.95</v>
      </c>
      <c r="G29" s="36">
        <v>14.0</v>
      </c>
      <c r="H29" s="36">
        <v>1.11</v>
      </c>
      <c r="I29" s="36">
        <v>15.0</v>
      </c>
      <c r="J29" s="36">
        <v>89.0</v>
      </c>
      <c r="K29" s="36">
        <v>83.0</v>
      </c>
      <c r="L29" s="36">
        <v>51.6</v>
      </c>
      <c r="M29" s="36">
        <v>97.0</v>
      </c>
      <c r="N29" s="36">
        <v>58.0</v>
      </c>
      <c r="O29" s="36">
        <v>14.0</v>
      </c>
      <c r="P29" s="36">
        <v>28.0</v>
      </c>
      <c r="Q29" s="36">
        <v>0.33</v>
      </c>
      <c r="R29" s="36">
        <v>1.47</v>
      </c>
      <c r="S29" s="36">
        <v>2.96</v>
      </c>
      <c r="T29" s="36">
        <v>4.42</v>
      </c>
      <c r="U29" s="21">
        <f t="shared" si="1"/>
        <v>4420</v>
      </c>
      <c r="V29" s="21">
        <f t="shared" si="2"/>
        <v>0</v>
      </c>
    </row>
    <row r="30" ht="14.25" customHeight="1">
      <c r="A30" s="38">
        <v>0.17083333333333334</v>
      </c>
      <c r="B30" s="36">
        <v>35.0</v>
      </c>
      <c r="C30" s="36">
        <v>7.9</v>
      </c>
      <c r="D30" s="36">
        <v>672.0</v>
      </c>
      <c r="E30" s="36">
        <v>647.0</v>
      </c>
      <c r="F30" s="36">
        <v>0.96</v>
      </c>
      <c r="G30" s="36">
        <v>14.0</v>
      </c>
      <c r="H30" s="36">
        <v>1.13</v>
      </c>
      <c r="I30" s="36">
        <v>15.3</v>
      </c>
      <c r="J30" s="36">
        <v>88.8</v>
      </c>
      <c r="K30" s="36">
        <v>83.0</v>
      </c>
      <c r="L30" s="36">
        <v>51.5</v>
      </c>
      <c r="M30" s="36">
        <v>97.0</v>
      </c>
      <c r="N30" s="36">
        <v>59.0</v>
      </c>
      <c r="O30" s="36">
        <v>14.0</v>
      </c>
      <c r="P30" s="36">
        <v>28.0</v>
      </c>
      <c r="Q30" s="36">
        <v>0.31</v>
      </c>
      <c r="R30" s="36">
        <v>1.39</v>
      </c>
      <c r="S30" s="36">
        <v>3.04</v>
      </c>
      <c r="T30" s="36">
        <v>4.42</v>
      </c>
      <c r="U30" s="21">
        <f t="shared" si="1"/>
        <v>4420</v>
      </c>
      <c r="V30" s="21">
        <f t="shared" si="2"/>
        <v>96100</v>
      </c>
    </row>
    <row r="31" ht="14.25" customHeight="1">
      <c r="A31" s="38">
        <v>0.17569444444444443</v>
      </c>
      <c r="B31" s="36">
        <v>38.0</v>
      </c>
      <c r="C31" s="36">
        <v>8.1</v>
      </c>
      <c r="D31" s="36">
        <v>692.0</v>
      </c>
      <c r="E31" s="36">
        <v>671.0</v>
      </c>
      <c r="F31" s="36">
        <v>0.97</v>
      </c>
      <c r="G31" s="36">
        <v>15.0</v>
      </c>
      <c r="H31" s="36">
        <v>1.1</v>
      </c>
      <c r="I31" s="36">
        <v>16.0</v>
      </c>
      <c r="J31" s="36">
        <v>88.3</v>
      </c>
      <c r="K31" s="36">
        <v>84.0</v>
      </c>
      <c r="L31" s="36">
        <v>51.4</v>
      </c>
      <c r="M31" s="36">
        <v>97.0</v>
      </c>
      <c r="N31" s="36">
        <v>59.0</v>
      </c>
      <c r="O31" s="36">
        <v>15.0</v>
      </c>
      <c r="P31" s="36">
        <v>29.0</v>
      </c>
      <c r="Q31" s="36">
        <v>0.3</v>
      </c>
      <c r="R31" s="36">
        <v>1.25</v>
      </c>
      <c r="S31" s="36">
        <v>2.86</v>
      </c>
      <c r="T31" s="36">
        <v>4.11</v>
      </c>
      <c r="U31" s="21">
        <f t="shared" si="1"/>
        <v>4110</v>
      </c>
      <c r="V31" s="21">
        <f t="shared" si="2"/>
        <v>400</v>
      </c>
    </row>
    <row r="32" ht="14.25" customHeight="1">
      <c r="A32" s="38">
        <v>0.17777777777777778</v>
      </c>
      <c r="B32" s="36">
        <v>39.0</v>
      </c>
      <c r="C32" s="36">
        <v>7.9</v>
      </c>
      <c r="D32" s="36">
        <v>669.0</v>
      </c>
      <c r="E32" s="36">
        <v>649.0</v>
      </c>
      <c r="F32" s="36">
        <v>0.97</v>
      </c>
      <c r="G32" s="36">
        <v>15.0</v>
      </c>
      <c r="H32" s="36">
        <v>1.07</v>
      </c>
      <c r="I32" s="36">
        <v>15.5</v>
      </c>
      <c r="J32" s="36">
        <v>88.6</v>
      </c>
      <c r="K32" s="36">
        <v>83.0</v>
      </c>
      <c r="L32" s="36">
        <v>51.5</v>
      </c>
      <c r="M32" s="36">
        <v>97.0</v>
      </c>
      <c r="N32" s="36">
        <v>59.0</v>
      </c>
      <c r="O32" s="36">
        <v>15.0</v>
      </c>
      <c r="P32" s="36">
        <v>28.0</v>
      </c>
      <c r="Q32" s="36">
        <v>0.32</v>
      </c>
      <c r="R32" s="36">
        <v>1.31</v>
      </c>
      <c r="S32" s="36">
        <v>2.82</v>
      </c>
      <c r="T32" s="36">
        <v>4.13</v>
      </c>
      <c r="U32" s="21">
        <f t="shared" si="1"/>
        <v>4130</v>
      </c>
      <c r="V32" s="21">
        <f t="shared" si="2"/>
        <v>0</v>
      </c>
    </row>
    <row r="33" ht="14.25" customHeight="1">
      <c r="A33" s="38">
        <v>0.18055555555555555</v>
      </c>
      <c r="B33" s="36">
        <v>40.0</v>
      </c>
      <c r="C33" s="36">
        <v>7.9</v>
      </c>
      <c r="D33" s="36">
        <v>669.0</v>
      </c>
      <c r="E33" s="36">
        <v>649.0</v>
      </c>
      <c r="F33" s="36">
        <v>0.97</v>
      </c>
      <c r="G33" s="36">
        <v>15.0</v>
      </c>
      <c r="H33" s="36">
        <v>1.07</v>
      </c>
      <c r="I33" s="36">
        <v>15.5</v>
      </c>
      <c r="J33" s="36">
        <v>88.6</v>
      </c>
      <c r="K33" s="36">
        <v>84.0</v>
      </c>
      <c r="L33" s="36">
        <v>51.4</v>
      </c>
      <c r="M33" s="36">
        <v>97.0</v>
      </c>
      <c r="N33" s="36">
        <v>59.0</v>
      </c>
      <c r="O33" s="36">
        <v>15.0</v>
      </c>
      <c r="P33" s="36">
        <v>28.0</v>
      </c>
      <c r="Q33" s="36">
        <v>0.32</v>
      </c>
      <c r="R33" s="36">
        <v>1.31</v>
      </c>
      <c r="S33" s="36">
        <v>2.82</v>
      </c>
      <c r="T33" s="36">
        <v>4.13</v>
      </c>
      <c r="U33" s="21">
        <f t="shared" si="1"/>
        <v>4130</v>
      </c>
      <c r="V33" s="21">
        <f t="shared" si="2"/>
        <v>100</v>
      </c>
    </row>
    <row r="34" ht="14.25" customHeight="1">
      <c r="A34" s="38">
        <v>0.18263888888888888</v>
      </c>
      <c r="B34" s="36">
        <v>41.0</v>
      </c>
      <c r="C34" s="36">
        <v>8.0</v>
      </c>
      <c r="D34" s="36">
        <v>682.0</v>
      </c>
      <c r="E34" s="36">
        <v>655.0</v>
      </c>
      <c r="F34" s="36">
        <v>0.96</v>
      </c>
      <c r="G34" s="36">
        <v>15.0</v>
      </c>
      <c r="H34" s="36">
        <v>1.07</v>
      </c>
      <c r="I34" s="36">
        <v>15.6</v>
      </c>
      <c r="J34" s="36">
        <v>88.6</v>
      </c>
      <c r="K34" s="36">
        <v>83.0</v>
      </c>
      <c r="L34" s="36">
        <v>51.5</v>
      </c>
      <c r="M34" s="36">
        <v>97.0</v>
      </c>
      <c r="N34" s="36">
        <v>59.0</v>
      </c>
      <c r="O34" s="36">
        <v>15.0</v>
      </c>
      <c r="P34" s="36">
        <v>28.0</v>
      </c>
      <c r="Q34" s="36">
        <v>0.32</v>
      </c>
      <c r="R34" s="36">
        <v>1.31</v>
      </c>
      <c r="S34" s="36">
        <v>2.81</v>
      </c>
      <c r="T34" s="36">
        <v>4.12</v>
      </c>
      <c r="U34" s="21">
        <f t="shared" si="1"/>
        <v>4120</v>
      </c>
      <c r="V34" s="21">
        <f t="shared" si="2"/>
        <v>32400</v>
      </c>
    </row>
    <row r="35" ht="14.25" customHeight="1">
      <c r="A35" s="38">
        <v>0.18541666666666667</v>
      </c>
      <c r="B35" s="36">
        <v>43.0</v>
      </c>
      <c r="C35" s="36">
        <v>8.1</v>
      </c>
      <c r="D35" s="36">
        <v>689.0</v>
      </c>
      <c r="E35" s="36">
        <v>664.0</v>
      </c>
      <c r="F35" s="36">
        <v>0.96</v>
      </c>
      <c r="G35" s="36">
        <v>14.0</v>
      </c>
      <c r="H35" s="36">
        <v>1.13</v>
      </c>
      <c r="I35" s="36">
        <v>15.8</v>
      </c>
      <c r="J35" s="36">
        <v>88.5</v>
      </c>
      <c r="K35" s="36">
        <v>84.0</v>
      </c>
      <c r="L35" s="36">
        <v>51.3</v>
      </c>
      <c r="M35" s="36">
        <v>96.0</v>
      </c>
      <c r="N35" s="36">
        <v>60.0</v>
      </c>
      <c r="O35" s="36">
        <v>14.0</v>
      </c>
      <c r="P35" s="36">
        <v>29.0</v>
      </c>
      <c r="Q35" s="36">
        <v>0.31</v>
      </c>
      <c r="R35" s="36">
        <v>1.32</v>
      </c>
      <c r="S35" s="36">
        <v>2.98</v>
      </c>
      <c r="T35" s="36">
        <v>4.3</v>
      </c>
      <c r="U35" s="21">
        <f t="shared" si="1"/>
        <v>4300</v>
      </c>
      <c r="V35" s="21">
        <f t="shared" si="2"/>
        <v>168100</v>
      </c>
    </row>
    <row r="36" ht="14.25" customHeight="1">
      <c r="A36" s="38">
        <v>0.18888888888888888</v>
      </c>
      <c r="B36" s="36">
        <v>44.0</v>
      </c>
      <c r="C36" s="36">
        <v>8.2</v>
      </c>
      <c r="D36" s="36">
        <v>699.0</v>
      </c>
      <c r="E36" s="36">
        <v>689.0</v>
      </c>
      <c r="F36" s="36">
        <v>0.99</v>
      </c>
      <c r="G36" s="36">
        <v>15.0</v>
      </c>
      <c r="H36" s="36">
        <v>1.09</v>
      </c>
      <c r="I36" s="36">
        <v>16.8</v>
      </c>
      <c r="J36" s="36">
        <v>87.7</v>
      </c>
      <c r="K36" s="36">
        <v>84.0</v>
      </c>
      <c r="L36" s="36">
        <v>51.4</v>
      </c>
      <c r="M36" s="36">
        <v>98.0</v>
      </c>
      <c r="N36" s="36">
        <v>59.0</v>
      </c>
      <c r="O36" s="36">
        <v>15.0</v>
      </c>
      <c r="P36" s="36">
        <v>29.0</v>
      </c>
      <c r="Q36" s="36">
        <v>0.36</v>
      </c>
      <c r="R36" s="36">
        <v>1.42</v>
      </c>
      <c r="S36" s="36">
        <v>2.48</v>
      </c>
      <c r="T36" s="36">
        <v>3.89</v>
      </c>
      <c r="U36" s="21">
        <f t="shared" si="1"/>
        <v>3890</v>
      </c>
      <c r="V36" s="21">
        <f t="shared" si="2"/>
        <v>108900</v>
      </c>
    </row>
    <row r="37" ht="14.25" customHeight="1">
      <c r="A37" s="38">
        <v>0.19236111111111112</v>
      </c>
      <c r="B37" s="36">
        <v>46.0</v>
      </c>
      <c r="C37" s="36">
        <v>7.9</v>
      </c>
      <c r="D37" s="36">
        <v>669.0</v>
      </c>
      <c r="E37" s="36">
        <v>664.0</v>
      </c>
      <c r="F37" s="36">
        <v>0.99</v>
      </c>
      <c r="G37" s="36">
        <v>14.0</v>
      </c>
      <c r="H37" s="36">
        <v>1.12</v>
      </c>
      <c r="I37" s="36">
        <v>16.0</v>
      </c>
      <c r="J37" s="36">
        <v>88.3</v>
      </c>
      <c r="K37" s="36">
        <v>83.0</v>
      </c>
      <c r="L37" s="36">
        <v>51.5</v>
      </c>
      <c r="M37" s="36">
        <v>98.0</v>
      </c>
      <c r="N37" s="36">
        <v>59.0</v>
      </c>
      <c r="O37" s="36">
        <v>14.0</v>
      </c>
      <c r="P37" s="36">
        <v>28.0</v>
      </c>
      <c r="Q37" s="36">
        <v>0.34</v>
      </c>
      <c r="R37" s="36">
        <v>1.45</v>
      </c>
      <c r="S37" s="36">
        <v>2.77</v>
      </c>
      <c r="T37" s="36">
        <v>4.22</v>
      </c>
      <c r="U37" s="21">
        <f t="shared" si="1"/>
        <v>4220</v>
      </c>
      <c r="V37" s="21">
        <f t="shared" si="2"/>
        <v>115600</v>
      </c>
    </row>
    <row r="38" ht="14.25" customHeight="1">
      <c r="A38" s="38">
        <v>0.19444444444444445</v>
      </c>
      <c r="B38" s="36">
        <v>47.0</v>
      </c>
      <c r="C38" s="36">
        <v>8.1</v>
      </c>
      <c r="D38" s="36">
        <v>686.0</v>
      </c>
      <c r="E38" s="36">
        <v>676.0</v>
      </c>
      <c r="F38" s="36">
        <v>0.99</v>
      </c>
      <c r="G38" s="36">
        <v>15.0</v>
      </c>
      <c r="H38" s="36">
        <v>1.07</v>
      </c>
      <c r="I38" s="36">
        <v>16.5</v>
      </c>
      <c r="J38" s="36">
        <v>87.9</v>
      </c>
      <c r="K38" s="36">
        <v>84.0</v>
      </c>
      <c r="L38" s="36">
        <v>51.3</v>
      </c>
      <c r="M38" s="36">
        <v>99.0</v>
      </c>
      <c r="N38" s="36">
        <v>58.0</v>
      </c>
      <c r="O38" s="36">
        <v>15.0</v>
      </c>
      <c r="P38" s="36">
        <v>29.0</v>
      </c>
      <c r="Q38" s="36">
        <v>0.38</v>
      </c>
      <c r="R38" s="36">
        <v>1.47</v>
      </c>
      <c r="S38" s="36">
        <v>2.41</v>
      </c>
      <c r="T38" s="36">
        <v>3.88</v>
      </c>
      <c r="U38" s="21">
        <f t="shared" si="1"/>
        <v>3880</v>
      </c>
      <c r="V38" s="21">
        <f t="shared" si="2"/>
        <v>44100</v>
      </c>
    </row>
    <row r="39" ht="14.25" customHeight="1">
      <c r="A39" s="38">
        <v>0.19791666666666666</v>
      </c>
      <c r="B39" s="36">
        <v>48.0</v>
      </c>
      <c r="C39" s="36">
        <v>8.3</v>
      </c>
      <c r="D39" s="36">
        <v>706.0</v>
      </c>
      <c r="E39" s="36">
        <v>710.0</v>
      </c>
      <c r="F39" s="36">
        <v>1.01</v>
      </c>
      <c r="G39" s="36">
        <v>15.0</v>
      </c>
      <c r="H39" s="36">
        <v>1.17</v>
      </c>
      <c r="I39" s="36">
        <v>17.1</v>
      </c>
      <c r="J39" s="36">
        <v>87.5</v>
      </c>
      <c r="K39" s="36">
        <v>84.0</v>
      </c>
      <c r="L39" s="36">
        <v>51.3</v>
      </c>
      <c r="M39" s="36">
        <v>99.0</v>
      </c>
      <c r="N39" s="36">
        <v>59.0</v>
      </c>
      <c r="O39" s="36">
        <v>15.0</v>
      </c>
      <c r="P39" s="36">
        <v>29.0</v>
      </c>
      <c r="Q39" s="36">
        <v>0.34</v>
      </c>
      <c r="R39" s="36">
        <v>1.4</v>
      </c>
      <c r="S39" s="36">
        <v>2.69</v>
      </c>
      <c r="T39" s="36">
        <v>4.09</v>
      </c>
      <c r="U39" s="21">
        <f t="shared" si="1"/>
        <v>4090</v>
      </c>
      <c r="V39" s="21">
        <f t="shared" si="2"/>
        <v>78400</v>
      </c>
    </row>
    <row r="40" ht="14.25" customHeight="1">
      <c r="A40" s="38">
        <v>0.2</v>
      </c>
      <c r="B40" s="36">
        <v>49.0</v>
      </c>
      <c r="C40" s="36">
        <v>7.9</v>
      </c>
      <c r="D40" s="36">
        <v>670.0</v>
      </c>
      <c r="E40" s="36">
        <v>682.0</v>
      </c>
      <c r="F40" s="36">
        <v>1.02</v>
      </c>
      <c r="G40" s="36">
        <v>14.0</v>
      </c>
      <c r="H40" s="36">
        <v>1.18</v>
      </c>
      <c r="I40" s="36">
        <v>16.2</v>
      </c>
      <c r="J40" s="36">
        <v>88.2</v>
      </c>
      <c r="K40" s="36">
        <v>84.0</v>
      </c>
      <c r="L40" s="36">
        <v>51.2</v>
      </c>
      <c r="M40" s="36">
        <v>98.0</v>
      </c>
      <c r="N40" s="36">
        <v>59.0</v>
      </c>
      <c r="O40" s="36">
        <v>14.0</v>
      </c>
      <c r="P40" s="36">
        <v>28.0</v>
      </c>
      <c r="Q40" s="36">
        <v>0.32</v>
      </c>
      <c r="R40" s="36">
        <v>1.38</v>
      </c>
      <c r="S40" s="36">
        <v>2.98</v>
      </c>
      <c r="T40" s="36">
        <v>4.37</v>
      </c>
      <c r="U40" s="21">
        <f t="shared" si="1"/>
        <v>4370</v>
      </c>
      <c r="V40" s="21">
        <f t="shared" si="2"/>
        <v>0</v>
      </c>
    </row>
    <row r="41" ht="14.25" customHeight="1">
      <c r="A41" s="38">
        <v>0.20277777777777778</v>
      </c>
      <c r="B41" s="36">
        <v>51.0</v>
      </c>
      <c r="C41" s="36">
        <v>7.9</v>
      </c>
      <c r="D41" s="36">
        <v>670.0</v>
      </c>
      <c r="E41" s="36">
        <v>682.0</v>
      </c>
      <c r="F41" s="36">
        <v>1.02</v>
      </c>
      <c r="G41" s="36">
        <v>14.0</v>
      </c>
      <c r="H41" s="36">
        <v>1.18</v>
      </c>
      <c r="I41" s="36">
        <v>16.2</v>
      </c>
      <c r="J41" s="36">
        <v>88.2</v>
      </c>
      <c r="K41" s="36">
        <v>84.0</v>
      </c>
      <c r="L41" s="36">
        <v>51.1</v>
      </c>
      <c r="M41" s="36">
        <v>98.0</v>
      </c>
      <c r="N41" s="36">
        <v>59.0</v>
      </c>
      <c r="O41" s="36">
        <v>14.0</v>
      </c>
      <c r="P41" s="36">
        <v>28.0</v>
      </c>
      <c r="Q41" s="36">
        <v>0.32</v>
      </c>
      <c r="R41" s="36">
        <v>1.38</v>
      </c>
      <c r="S41" s="36">
        <v>2.98</v>
      </c>
      <c r="T41" s="36">
        <v>4.37</v>
      </c>
      <c r="U41" s="21">
        <f t="shared" si="1"/>
        <v>4370</v>
      </c>
      <c r="V41" s="21">
        <f t="shared" si="2"/>
        <v>40000</v>
      </c>
    </row>
    <row r="42" ht="14.25" customHeight="1">
      <c r="A42" s="38">
        <v>0.20555555555555555</v>
      </c>
      <c r="B42" s="36">
        <v>52.0</v>
      </c>
      <c r="C42" s="36">
        <v>7.8</v>
      </c>
      <c r="D42" s="36">
        <v>667.0</v>
      </c>
      <c r="E42" s="36">
        <v>677.0</v>
      </c>
      <c r="F42" s="36">
        <v>1.02</v>
      </c>
      <c r="G42" s="36">
        <v>14.0</v>
      </c>
      <c r="H42" s="36">
        <v>1.12</v>
      </c>
      <c r="I42" s="36">
        <v>16.2</v>
      </c>
      <c r="J42" s="36">
        <v>88.2</v>
      </c>
      <c r="K42" s="36">
        <v>84.0</v>
      </c>
      <c r="L42" s="36">
        <v>51.4</v>
      </c>
      <c r="M42" s="36">
        <v>99.0</v>
      </c>
      <c r="N42" s="36">
        <v>59.0</v>
      </c>
      <c r="O42" s="36">
        <v>14.0</v>
      </c>
      <c r="P42" s="36">
        <v>28.0</v>
      </c>
      <c r="Q42" s="36">
        <v>0.34</v>
      </c>
      <c r="R42" s="36">
        <v>1.43</v>
      </c>
      <c r="S42" s="36">
        <v>2.74</v>
      </c>
      <c r="T42" s="36">
        <v>4.17</v>
      </c>
      <c r="U42" s="21">
        <f t="shared" si="1"/>
        <v>4170</v>
      </c>
      <c r="V42" s="21">
        <f t="shared" si="2"/>
        <v>44100</v>
      </c>
    </row>
    <row r="43" ht="14.25" customHeight="1">
      <c r="A43" s="38">
        <v>0.2076388888888889</v>
      </c>
      <c r="B43" s="36">
        <v>53.0</v>
      </c>
      <c r="C43" s="36">
        <v>8.0</v>
      </c>
      <c r="D43" s="36">
        <v>684.0</v>
      </c>
      <c r="E43" s="36">
        <v>691.0</v>
      </c>
      <c r="F43" s="36">
        <v>1.01</v>
      </c>
      <c r="G43" s="36">
        <v>15.0</v>
      </c>
      <c r="H43" s="36">
        <v>1.09</v>
      </c>
      <c r="I43" s="36">
        <v>16.6</v>
      </c>
      <c r="J43" s="36">
        <v>87.9</v>
      </c>
      <c r="K43" s="36">
        <v>84.0</v>
      </c>
      <c r="L43" s="36">
        <v>51.1</v>
      </c>
      <c r="M43" s="36">
        <v>99.0</v>
      </c>
      <c r="N43" s="36">
        <v>59.0</v>
      </c>
      <c r="O43" s="36">
        <v>15.0</v>
      </c>
      <c r="P43" s="36">
        <v>28.0</v>
      </c>
      <c r="Q43" s="36">
        <v>0.34</v>
      </c>
      <c r="R43" s="36">
        <v>1.35</v>
      </c>
      <c r="S43" s="36">
        <v>2.61</v>
      </c>
      <c r="T43" s="36">
        <v>3.96</v>
      </c>
      <c r="U43" s="21">
        <f t="shared" si="1"/>
        <v>3960</v>
      </c>
      <c r="V43" s="21">
        <f t="shared" si="2"/>
        <v>32400</v>
      </c>
    </row>
    <row r="44" ht="14.25" customHeight="1">
      <c r="A44" s="38">
        <v>0.20972222222222223</v>
      </c>
      <c r="B44" s="36">
        <v>54.0</v>
      </c>
      <c r="C44" s="36">
        <v>8.6</v>
      </c>
      <c r="D44" s="36">
        <v>734.0</v>
      </c>
      <c r="E44" s="36">
        <v>735.0</v>
      </c>
      <c r="F44" s="36">
        <v>1.0</v>
      </c>
      <c r="G44" s="36">
        <v>16.0</v>
      </c>
      <c r="H44" s="36">
        <v>1.11</v>
      </c>
      <c r="I44" s="36">
        <v>17.6</v>
      </c>
      <c r="J44" s="36">
        <v>87.1</v>
      </c>
      <c r="K44" s="36">
        <v>86.0</v>
      </c>
      <c r="L44" s="36">
        <v>50.2</v>
      </c>
      <c r="M44" s="36">
        <v>99.0</v>
      </c>
      <c r="N44" s="36">
        <v>59.0</v>
      </c>
      <c r="O44" s="36">
        <v>16.0</v>
      </c>
      <c r="P44" s="36">
        <v>31.0</v>
      </c>
      <c r="Q44" s="36">
        <v>0.36</v>
      </c>
      <c r="R44" s="36">
        <v>1.36</v>
      </c>
      <c r="S44" s="36">
        <v>2.43</v>
      </c>
      <c r="T44" s="36">
        <v>3.78</v>
      </c>
      <c r="U44" s="21">
        <f t="shared" si="1"/>
        <v>3780</v>
      </c>
      <c r="V44" s="21">
        <f t="shared" si="2"/>
        <v>400</v>
      </c>
    </row>
    <row r="45" ht="14.25" customHeight="1">
      <c r="A45" s="38">
        <v>0.21180555555555555</v>
      </c>
      <c r="B45" s="36">
        <v>55.0</v>
      </c>
      <c r="C45" s="36">
        <v>8.9</v>
      </c>
      <c r="D45" s="36">
        <v>755.0</v>
      </c>
      <c r="E45" s="36">
        <v>760.0</v>
      </c>
      <c r="F45" s="36">
        <v>1.01</v>
      </c>
      <c r="G45" s="36">
        <v>16.0</v>
      </c>
      <c r="H45" s="36">
        <v>1.14</v>
      </c>
      <c r="I45" s="36">
        <v>18.2</v>
      </c>
      <c r="J45" s="36">
        <v>86.7</v>
      </c>
      <c r="K45" s="36">
        <v>86.0</v>
      </c>
      <c r="L45" s="36">
        <v>50.2</v>
      </c>
      <c r="M45" s="36">
        <v>99.0</v>
      </c>
      <c r="N45" s="36">
        <v>59.0</v>
      </c>
      <c r="O45" s="36">
        <v>16.0</v>
      </c>
      <c r="P45" s="36">
        <v>31.0</v>
      </c>
      <c r="Q45" s="36">
        <v>0.35</v>
      </c>
      <c r="R45" s="36">
        <v>1.33</v>
      </c>
      <c r="S45" s="36">
        <v>2.43</v>
      </c>
      <c r="T45" s="36">
        <v>3.76</v>
      </c>
      <c r="U45" s="21">
        <f t="shared" si="1"/>
        <v>3760</v>
      </c>
      <c r="V45" s="21">
        <f t="shared" si="2"/>
        <v>40000</v>
      </c>
    </row>
    <row r="46" ht="14.25" customHeight="1">
      <c r="A46" s="38">
        <v>0.21458333333333332</v>
      </c>
      <c r="B46" s="36">
        <v>56.0</v>
      </c>
      <c r="C46" s="36">
        <v>8.9</v>
      </c>
      <c r="D46" s="36">
        <v>756.0</v>
      </c>
      <c r="E46" s="36">
        <v>768.0</v>
      </c>
      <c r="F46" s="36">
        <v>1.02</v>
      </c>
      <c r="G46" s="36">
        <v>17.0</v>
      </c>
      <c r="H46" s="36">
        <v>1.1</v>
      </c>
      <c r="I46" s="36">
        <v>18.6</v>
      </c>
      <c r="J46" s="36">
        <v>86.4</v>
      </c>
      <c r="K46" s="36">
        <v>86.0</v>
      </c>
      <c r="L46" s="36">
        <v>50.1</v>
      </c>
      <c r="M46" s="36">
        <v>100.0</v>
      </c>
      <c r="N46" s="36">
        <v>58.0</v>
      </c>
      <c r="O46" s="36">
        <v>17.0</v>
      </c>
      <c r="P46" s="36">
        <v>31.0</v>
      </c>
      <c r="Q46" s="36">
        <v>0.38</v>
      </c>
      <c r="R46" s="36">
        <v>1.35</v>
      </c>
      <c r="S46" s="36">
        <v>2.22</v>
      </c>
      <c r="T46" s="36">
        <v>3.56</v>
      </c>
      <c r="U46" s="21">
        <f t="shared" si="1"/>
        <v>3560</v>
      </c>
      <c r="V46" s="21">
        <f t="shared" si="2"/>
        <v>4900</v>
      </c>
    </row>
    <row r="47" ht="14.25" customHeight="1">
      <c r="A47" s="38">
        <v>0.21666666666666667</v>
      </c>
      <c r="B47" s="36">
        <v>57.0</v>
      </c>
      <c r="C47" s="36">
        <v>9.1</v>
      </c>
      <c r="D47" s="36">
        <v>773.0</v>
      </c>
      <c r="E47" s="36">
        <v>790.0</v>
      </c>
      <c r="F47" s="36">
        <v>1.02</v>
      </c>
      <c r="G47" s="36">
        <v>17.0</v>
      </c>
      <c r="H47" s="36">
        <v>1.11</v>
      </c>
      <c r="I47" s="36">
        <v>19.1</v>
      </c>
      <c r="J47" s="36">
        <v>86.0</v>
      </c>
      <c r="K47" s="36">
        <v>86.0</v>
      </c>
      <c r="L47" s="36">
        <v>49.9</v>
      </c>
      <c r="M47" s="36">
        <v>101.0</v>
      </c>
      <c r="N47" s="36">
        <v>58.0</v>
      </c>
      <c r="O47" s="36">
        <v>17.0</v>
      </c>
      <c r="P47" s="36">
        <v>32.0</v>
      </c>
      <c r="Q47" s="36">
        <v>0.37</v>
      </c>
      <c r="R47" s="36">
        <v>1.3</v>
      </c>
      <c r="S47" s="36">
        <v>2.2</v>
      </c>
      <c r="T47" s="36">
        <v>3.49</v>
      </c>
      <c r="U47" s="21">
        <f t="shared" si="1"/>
        <v>3490</v>
      </c>
      <c r="V47" s="21">
        <f t="shared" si="2"/>
        <v>16900</v>
      </c>
    </row>
    <row r="48" ht="14.25" customHeight="1">
      <c r="A48" s="38">
        <v>0.21944444444444444</v>
      </c>
      <c r="B48" s="36">
        <v>59.0</v>
      </c>
      <c r="C48" s="36">
        <v>8.9</v>
      </c>
      <c r="D48" s="36">
        <v>753.0</v>
      </c>
      <c r="E48" s="36">
        <v>773.0</v>
      </c>
      <c r="F48" s="36">
        <v>1.03</v>
      </c>
      <c r="G48" s="36">
        <v>18.0</v>
      </c>
      <c r="H48" s="36">
        <v>1.07</v>
      </c>
      <c r="I48" s="36">
        <v>19.0</v>
      </c>
      <c r="J48" s="36">
        <v>86.1</v>
      </c>
      <c r="K48" s="36">
        <v>87.0</v>
      </c>
      <c r="L48" s="36">
        <v>49.5</v>
      </c>
      <c r="M48" s="36">
        <v>102.0</v>
      </c>
      <c r="N48" s="36">
        <v>58.0</v>
      </c>
      <c r="O48" s="36">
        <v>18.0</v>
      </c>
      <c r="P48" s="36">
        <v>31.0</v>
      </c>
      <c r="Q48" s="36">
        <v>0.39</v>
      </c>
      <c r="R48" s="36">
        <v>1.32</v>
      </c>
      <c r="S48" s="36">
        <v>2.04</v>
      </c>
      <c r="T48" s="36">
        <v>3.36</v>
      </c>
      <c r="U48" s="21">
        <f t="shared" si="1"/>
        <v>3360</v>
      </c>
      <c r="V48" s="21">
        <f t="shared" si="2"/>
        <v>25600</v>
      </c>
    </row>
    <row r="49" ht="14.25" customHeight="1">
      <c r="A49" s="38">
        <v>0.2222222222222222</v>
      </c>
      <c r="B49" s="36">
        <v>60.0</v>
      </c>
      <c r="C49" s="36">
        <v>8.7</v>
      </c>
      <c r="D49" s="36">
        <v>739.0</v>
      </c>
      <c r="E49" s="36">
        <v>747.0</v>
      </c>
      <c r="F49" s="36">
        <v>1.01</v>
      </c>
      <c r="G49" s="36">
        <v>17.0</v>
      </c>
      <c r="H49" s="36">
        <v>1.04</v>
      </c>
      <c r="I49" s="36">
        <v>17.8</v>
      </c>
      <c r="J49" s="36">
        <v>87.0</v>
      </c>
      <c r="K49" s="36">
        <v>87.0</v>
      </c>
      <c r="L49" s="36">
        <v>49.5</v>
      </c>
      <c r="M49" s="36">
        <v>99.0</v>
      </c>
      <c r="N49" s="36">
        <v>59.0</v>
      </c>
      <c r="O49" s="36">
        <v>17.0</v>
      </c>
      <c r="P49" s="36">
        <v>31.0</v>
      </c>
      <c r="Q49" s="36">
        <v>0.38</v>
      </c>
      <c r="R49" s="36">
        <v>1.34</v>
      </c>
      <c r="S49" s="36">
        <v>2.18</v>
      </c>
      <c r="T49" s="36">
        <v>3.52</v>
      </c>
      <c r="U49" s="21">
        <f t="shared" si="1"/>
        <v>3520</v>
      </c>
      <c r="V49" s="21">
        <f t="shared" si="2"/>
        <v>4900</v>
      </c>
    </row>
    <row r="50" ht="14.25" customHeight="1">
      <c r="A50" s="38">
        <v>0.225</v>
      </c>
      <c r="B50" s="36">
        <v>62.0</v>
      </c>
      <c r="C50" s="36">
        <v>8.8</v>
      </c>
      <c r="D50" s="36">
        <v>748.0</v>
      </c>
      <c r="E50" s="36">
        <v>750.0</v>
      </c>
      <c r="F50" s="36">
        <v>1.0</v>
      </c>
      <c r="G50" s="36">
        <v>17.0</v>
      </c>
      <c r="H50" s="36">
        <v>1.07</v>
      </c>
      <c r="I50" s="36">
        <v>17.8</v>
      </c>
      <c r="J50" s="36">
        <v>87.0</v>
      </c>
      <c r="K50" s="36">
        <v>86.0</v>
      </c>
      <c r="L50" s="36">
        <v>49.7</v>
      </c>
      <c r="M50" s="36">
        <v>99.0</v>
      </c>
      <c r="N50" s="36">
        <v>59.0</v>
      </c>
      <c r="O50" s="36">
        <v>17.0</v>
      </c>
      <c r="P50" s="36">
        <v>31.0</v>
      </c>
      <c r="Q50" s="36">
        <v>0.38</v>
      </c>
      <c r="R50" s="36">
        <v>1.37</v>
      </c>
      <c r="S50" s="36">
        <v>2.22</v>
      </c>
      <c r="T50" s="36">
        <v>3.59</v>
      </c>
      <c r="U50" s="21">
        <f t="shared" si="1"/>
        <v>3590</v>
      </c>
      <c r="V50" s="21">
        <f t="shared" si="2"/>
        <v>900</v>
      </c>
    </row>
    <row r="51" ht="14.25" customHeight="1">
      <c r="A51" s="38">
        <v>0.22708333333333333</v>
      </c>
      <c r="B51" s="36">
        <v>63.0</v>
      </c>
      <c r="C51" s="36">
        <v>8.7</v>
      </c>
      <c r="D51" s="36">
        <v>739.0</v>
      </c>
      <c r="E51" s="36">
        <v>738.0</v>
      </c>
      <c r="F51" s="36">
        <v>1.0</v>
      </c>
      <c r="G51" s="36">
        <v>17.0</v>
      </c>
      <c r="H51" s="36">
        <v>1.06</v>
      </c>
      <c r="I51" s="36">
        <v>17.6</v>
      </c>
      <c r="J51" s="36">
        <v>87.1</v>
      </c>
      <c r="K51" s="36">
        <v>86.0</v>
      </c>
      <c r="L51" s="36">
        <v>50.0</v>
      </c>
      <c r="M51" s="36">
        <v>99.0</v>
      </c>
      <c r="N51" s="36">
        <v>59.0</v>
      </c>
      <c r="O51" s="36">
        <v>17.0</v>
      </c>
      <c r="P51" s="36">
        <v>31.0</v>
      </c>
      <c r="Q51" s="36">
        <v>0.38</v>
      </c>
      <c r="R51" s="36">
        <v>1.38</v>
      </c>
      <c r="S51" s="36">
        <v>2.24</v>
      </c>
      <c r="T51" s="36">
        <v>3.62</v>
      </c>
      <c r="U51" s="21">
        <f t="shared" si="1"/>
        <v>3620</v>
      </c>
      <c r="V51" s="21">
        <f t="shared" si="2"/>
        <v>400</v>
      </c>
    </row>
    <row r="52" ht="14.25" customHeight="1">
      <c r="A52" s="38">
        <v>0.22916666666666666</v>
      </c>
      <c r="B52" s="36">
        <v>64.0</v>
      </c>
      <c r="C52" s="36">
        <v>8.7</v>
      </c>
      <c r="D52" s="36">
        <v>741.0</v>
      </c>
      <c r="E52" s="36">
        <v>735.0</v>
      </c>
      <c r="F52" s="36">
        <v>0.99</v>
      </c>
      <c r="G52" s="36">
        <v>17.0</v>
      </c>
      <c r="H52" s="36">
        <v>1.06</v>
      </c>
      <c r="I52" s="36">
        <v>17.5</v>
      </c>
      <c r="J52" s="36">
        <v>87.2</v>
      </c>
      <c r="K52" s="36">
        <v>86.0</v>
      </c>
      <c r="L52" s="36">
        <v>49.9</v>
      </c>
      <c r="M52" s="36">
        <v>98.0</v>
      </c>
      <c r="N52" s="36">
        <v>59.0</v>
      </c>
      <c r="O52" s="36">
        <v>17.0</v>
      </c>
      <c r="P52" s="36">
        <v>31.0</v>
      </c>
      <c r="Q52" s="36">
        <v>0.38</v>
      </c>
      <c r="R52" s="36">
        <v>1.39</v>
      </c>
      <c r="S52" s="36">
        <v>2.25</v>
      </c>
      <c r="T52" s="36">
        <v>3.64</v>
      </c>
      <c r="U52" s="21">
        <f t="shared" si="1"/>
        <v>3640</v>
      </c>
      <c r="V52" s="21">
        <f t="shared" si="2"/>
        <v>28900</v>
      </c>
    </row>
    <row r="53" ht="14.25" customHeight="1">
      <c r="A53" s="38">
        <v>0.2326388888888889</v>
      </c>
      <c r="B53" s="36">
        <v>65.0</v>
      </c>
      <c r="C53" s="36">
        <v>8.6</v>
      </c>
      <c r="D53" s="36">
        <v>732.0</v>
      </c>
      <c r="E53" s="36">
        <v>717.0</v>
      </c>
      <c r="F53" s="36">
        <v>0.98</v>
      </c>
      <c r="G53" s="36">
        <v>16.0</v>
      </c>
      <c r="H53" s="36">
        <v>1.07</v>
      </c>
      <c r="I53" s="36">
        <v>16.8</v>
      </c>
      <c r="J53" s="36">
        <v>87.7</v>
      </c>
      <c r="K53" s="36">
        <v>86.0</v>
      </c>
      <c r="L53" s="36">
        <v>49.8</v>
      </c>
      <c r="M53" s="36">
        <v>97.0</v>
      </c>
      <c r="N53" s="36">
        <v>60.0</v>
      </c>
      <c r="O53" s="36">
        <v>16.0</v>
      </c>
      <c r="P53" s="36">
        <v>30.0</v>
      </c>
      <c r="Q53" s="36">
        <v>0.35</v>
      </c>
      <c r="R53" s="36">
        <v>1.32</v>
      </c>
      <c r="S53" s="36">
        <v>2.49</v>
      </c>
      <c r="T53" s="36">
        <v>3.81</v>
      </c>
      <c r="U53" s="21">
        <f t="shared" si="1"/>
        <v>3810</v>
      </c>
      <c r="V53" s="21">
        <f t="shared" si="2"/>
        <v>84100</v>
      </c>
    </row>
    <row r="54" ht="14.25" customHeight="1">
      <c r="A54" s="38">
        <v>0.2361111111111111</v>
      </c>
      <c r="B54" s="36">
        <v>67.0</v>
      </c>
      <c r="C54" s="36">
        <v>8.8</v>
      </c>
      <c r="D54" s="36">
        <v>750.0</v>
      </c>
      <c r="E54" s="36">
        <v>727.0</v>
      </c>
      <c r="F54" s="36">
        <v>0.97</v>
      </c>
      <c r="G54" s="36">
        <v>15.0</v>
      </c>
      <c r="H54" s="36">
        <v>1.13</v>
      </c>
      <c r="I54" s="36">
        <v>16.5</v>
      </c>
      <c r="J54" s="36">
        <v>87.9</v>
      </c>
      <c r="K54" s="36">
        <v>87.0</v>
      </c>
      <c r="L54" s="36">
        <v>49.7</v>
      </c>
      <c r="M54" s="36">
        <v>95.0</v>
      </c>
      <c r="N54" s="36">
        <v>61.0</v>
      </c>
      <c r="O54" s="36">
        <v>15.0</v>
      </c>
      <c r="P54" s="36">
        <v>31.0</v>
      </c>
      <c r="Q54" s="36">
        <v>0.34</v>
      </c>
      <c r="R54" s="36">
        <v>1.4</v>
      </c>
      <c r="S54" s="36">
        <v>2.7</v>
      </c>
      <c r="T54" s="36">
        <v>4.1</v>
      </c>
      <c r="U54" s="21">
        <f t="shared" si="1"/>
        <v>4100</v>
      </c>
      <c r="V54" s="21">
        <f t="shared" si="2"/>
        <v>25600</v>
      </c>
    </row>
    <row r="55" ht="14.25" customHeight="1">
      <c r="A55" s="38">
        <v>0.23819444444444443</v>
      </c>
      <c r="B55" s="36">
        <v>68.0</v>
      </c>
      <c r="C55" s="36">
        <v>8.9</v>
      </c>
      <c r="D55" s="36">
        <v>760.0</v>
      </c>
      <c r="E55" s="36">
        <v>745.0</v>
      </c>
      <c r="F55" s="36">
        <v>0.98</v>
      </c>
      <c r="G55" s="36">
        <v>15.0</v>
      </c>
      <c r="H55" s="36">
        <v>1.15</v>
      </c>
      <c r="I55" s="36">
        <v>17.5</v>
      </c>
      <c r="J55" s="36">
        <v>87.2</v>
      </c>
      <c r="K55" s="36">
        <v>87.0</v>
      </c>
      <c r="L55" s="36">
        <v>49.7</v>
      </c>
      <c r="M55" s="36">
        <v>97.0</v>
      </c>
      <c r="N55" s="36">
        <v>60.0</v>
      </c>
      <c r="O55" s="36">
        <v>15.0</v>
      </c>
      <c r="P55" s="36">
        <v>32.0</v>
      </c>
      <c r="Q55" s="36">
        <v>0.35</v>
      </c>
      <c r="R55" s="36">
        <v>1.39</v>
      </c>
      <c r="S55" s="36">
        <v>2.55</v>
      </c>
      <c r="T55" s="36">
        <v>3.94</v>
      </c>
      <c r="U55" s="21">
        <f t="shared" si="1"/>
        <v>3940</v>
      </c>
      <c r="V55" s="21">
        <f t="shared" si="2"/>
        <v>0</v>
      </c>
    </row>
    <row r="56" ht="14.25" customHeight="1">
      <c r="A56" s="38">
        <v>0.24375</v>
      </c>
      <c r="B56" s="36">
        <v>71.0</v>
      </c>
      <c r="C56" s="36">
        <v>8.9</v>
      </c>
      <c r="D56" s="36">
        <v>760.0</v>
      </c>
      <c r="E56" s="36">
        <v>745.0</v>
      </c>
      <c r="F56" s="36">
        <v>0.98</v>
      </c>
      <c r="G56" s="36">
        <v>15.0</v>
      </c>
      <c r="H56" s="36">
        <v>1.15</v>
      </c>
      <c r="I56" s="36">
        <v>17.5</v>
      </c>
      <c r="J56" s="36">
        <v>87.2</v>
      </c>
      <c r="K56" s="36">
        <v>86.0</v>
      </c>
      <c r="L56" s="36">
        <v>49.7</v>
      </c>
      <c r="M56" s="36">
        <v>97.0</v>
      </c>
      <c r="N56" s="36">
        <v>60.0</v>
      </c>
      <c r="O56" s="36">
        <v>15.0</v>
      </c>
      <c r="P56" s="36">
        <v>32.0</v>
      </c>
      <c r="Q56" s="36">
        <v>0.35</v>
      </c>
      <c r="R56" s="36">
        <v>1.39</v>
      </c>
      <c r="S56" s="36">
        <v>2.55</v>
      </c>
      <c r="T56" s="36">
        <v>3.94</v>
      </c>
      <c r="U56" s="21">
        <f t="shared" si="1"/>
        <v>3940</v>
      </c>
      <c r="V56" s="21">
        <f t="shared" si="2"/>
        <v>12100</v>
      </c>
    </row>
    <row r="57" ht="14.25" customHeight="1">
      <c r="A57" s="38">
        <v>0.24583333333333332</v>
      </c>
      <c r="B57" s="36">
        <v>72.0</v>
      </c>
      <c r="C57" s="36">
        <v>8.9</v>
      </c>
      <c r="D57" s="36">
        <v>760.0</v>
      </c>
      <c r="E57" s="36">
        <v>748.0</v>
      </c>
      <c r="F57" s="36">
        <v>0.98</v>
      </c>
      <c r="G57" s="36">
        <v>16.0</v>
      </c>
      <c r="H57" s="36">
        <v>1.12</v>
      </c>
      <c r="I57" s="36">
        <v>17.6</v>
      </c>
      <c r="J57" s="36">
        <v>87.1</v>
      </c>
      <c r="K57" s="36">
        <v>89.0</v>
      </c>
      <c r="L57" s="36">
        <v>48.4</v>
      </c>
      <c r="M57" s="36">
        <v>97.0</v>
      </c>
      <c r="N57" s="36">
        <v>60.0</v>
      </c>
      <c r="O57" s="36">
        <v>16.0</v>
      </c>
      <c r="P57" s="36">
        <v>32.0</v>
      </c>
      <c r="Q57" s="36">
        <v>0.34</v>
      </c>
      <c r="R57" s="36">
        <v>1.32</v>
      </c>
      <c r="S57" s="36">
        <v>2.51</v>
      </c>
      <c r="T57" s="36">
        <v>3.83</v>
      </c>
      <c r="U57" s="21">
        <f t="shared" si="1"/>
        <v>3830</v>
      </c>
      <c r="V57" s="21">
        <f t="shared" si="2"/>
        <v>400</v>
      </c>
    </row>
    <row r="58" ht="14.25" customHeight="1">
      <c r="A58" s="38">
        <v>0.24930555555555556</v>
      </c>
      <c r="B58" s="36">
        <v>73.0</v>
      </c>
      <c r="C58" s="36">
        <v>9.1</v>
      </c>
      <c r="D58" s="36">
        <v>776.0</v>
      </c>
      <c r="E58" s="36">
        <v>765.0</v>
      </c>
      <c r="F58" s="36">
        <v>0.99</v>
      </c>
      <c r="G58" s="36">
        <v>16.0</v>
      </c>
      <c r="H58" s="36">
        <v>1.15</v>
      </c>
      <c r="I58" s="36">
        <v>17.9</v>
      </c>
      <c r="J58" s="36">
        <v>86.9</v>
      </c>
      <c r="K58" s="36">
        <v>90.0</v>
      </c>
      <c r="L58" s="36">
        <v>47.7</v>
      </c>
      <c r="M58" s="36">
        <v>97.0</v>
      </c>
      <c r="N58" s="36">
        <v>60.0</v>
      </c>
      <c r="O58" s="36">
        <v>16.0</v>
      </c>
      <c r="P58" s="36">
        <v>32.0</v>
      </c>
      <c r="Q58" s="36">
        <v>0.35</v>
      </c>
      <c r="R58" s="36">
        <v>1.34</v>
      </c>
      <c r="S58" s="36">
        <v>2.5</v>
      </c>
      <c r="T58" s="36">
        <v>3.85</v>
      </c>
      <c r="U58" s="21">
        <f t="shared" si="1"/>
        <v>3850</v>
      </c>
      <c r="V58" s="21">
        <f t="shared" si="2"/>
        <v>400</v>
      </c>
    </row>
    <row r="59" ht="14.25" customHeight="1">
      <c r="A59" s="38">
        <v>0.2513888888888889</v>
      </c>
      <c r="B59" s="36">
        <v>74.0</v>
      </c>
      <c r="C59" s="36">
        <v>9.0</v>
      </c>
      <c r="D59" s="36">
        <v>761.0</v>
      </c>
      <c r="E59" s="36">
        <v>745.0</v>
      </c>
      <c r="F59" s="36">
        <v>0.98</v>
      </c>
      <c r="G59" s="36">
        <v>16.0</v>
      </c>
      <c r="H59" s="36">
        <v>1.11</v>
      </c>
      <c r="I59" s="36">
        <v>17.4</v>
      </c>
      <c r="J59" s="36">
        <v>87.3</v>
      </c>
      <c r="K59" s="36">
        <v>92.0</v>
      </c>
      <c r="L59" s="36">
        <v>46.3</v>
      </c>
      <c r="M59" s="36">
        <v>96.0</v>
      </c>
      <c r="N59" s="36">
        <v>60.0</v>
      </c>
      <c r="O59" s="36">
        <v>16.0</v>
      </c>
      <c r="P59" s="36">
        <v>32.0</v>
      </c>
      <c r="Q59" s="36">
        <v>0.35</v>
      </c>
      <c r="R59" s="36">
        <v>1.33</v>
      </c>
      <c r="S59" s="36">
        <v>2.5</v>
      </c>
      <c r="T59" s="36">
        <v>3.83</v>
      </c>
      <c r="U59" s="21">
        <f t="shared" si="1"/>
        <v>3830</v>
      </c>
      <c r="V59" s="21">
        <f t="shared" si="2"/>
        <v>422500</v>
      </c>
    </row>
    <row r="60" ht="14.25" customHeight="1">
      <c r="A60" s="38">
        <v>0.25416666666666665</v>
      </c>
      <c r="B60" s="36">
        <v>76.0</v>
      </c>
      <c r="C60" s="36">
        <v>8.8</v>
      </c>
      <c r="D60" s="36">
        <v>745.0</v>
      </c>
      <c r="E60" s="36">
        <v>735.0</v>
      </c>
      <c r="F60" s="36">
        <v>0.99</v>
      </c>
      <c r="G60" s="36">
        <v>13.0</v>
      </c>
      <c r="H60" s="36">
        <v>1.24</v>
      </c>
      <c r="I60" s="36">
        <v>16.6</v>
      </c>
      <c r="J60" s="36">
        <v>87.9</v>
      </c>
      <c r="K60" s="36">
        <v>92.0</v>
      </c>
      <c r="L60" s="36">
        <v>46.3</v>
      </c>
      <c r="M60" s="36">
        <v>97.0</v>
      </c>
      <c r="N60" s="36">
        <v>60.0</v>
      </c>
      <c r="O60" s="36">
        <v>13.0</v>
      </c>
      <c r="P60" s="36">
        <v>31.0</v>
      </c>
      <c r="Q60" s="36">
        <v>0.37</v>
      </c>
      <c r="R60" s="36">
        <v>1.66</v>
      </c>
      <c r="S60" s="36">
        <v>2.82</v>
      </c>
      <c r="T60" s="36">
        <v>4.48</v>
      </c>
      <c r="U60" s="21">
        <f t="shared" si="1"/>
        <v>4480</v>
      </c>
      <c r="V60" s="21">
        <f t="shared" si="2"/>
        <v>184900</v>
      </c>
    </row>
    <row r="61" ht="14.25" customHeight="1">
      <c r="A61" s="38">
        <v>0.25625</v>
      </c>
      <c r="B61" s="36">
        <v>77.0</v>
      </c>
      <c r="C61" s="36">
        <v>8.6</v>
      </c>
      <c r="D61" s="36">
        <v>729.0</v>
      </c>
      <c r="E61" s="36">
        <v>720.0</v>
      </c>
      <c r="F61" s="36">
        <v>0.99</v>
      </c>
      <c r="G61" s="36">
        <v>15.0</v>
      </c>
      <c r="H61" s="36">
        <v>1.13</v>
      </c>
      <c r="I61" s="36">
        <v>16.8</v>
      </c>
      <c r="J61" s="36">
        <v>87.8</v>
      </c>
      <c r="K61" s="36">
        <v>93.0</v>
      </c>
      <c r="L61" s="36">
        <v>45.9</v>
      </c>
      <c r="M61" s="36">
        <v>98.0</v>
      </c>
      <c r="N61" s="36">
        <v>60.0</v>
      </c>
      <c r="O61" s="36">
        <v>15.0</v>
      </c>
      <c r="P61" s="36">
        <v>30.0</v>
      </c>
      <c r="Q61" s="36">
        <v>0.39</v>
      </c>
      <c r="R61" s="36">
        <v>1.57</v>
      </c>
      <c r="S61" s="36">
        <v>2.48</v>
      </c>
      <c r="T61" s="36">
        <v>4.05</v>
      </c>
      <c r="U61" s="21">
        <f t="shared" si="1"/>
        <v>4050</v>
      </c>
      <c r="V61" s="21">
        <f t="shared" si="2"/>
        <v>756900</v>
      </c>
    </row>
    <row r="62" ht="14.25" customHeight="1">
      <c r="A62" s="38">
        <v>0.26180555555555557</v>
      </c>
      <c r="B62" s="36">
        <v>79.0</v>
      </c>
      <c r="C62" s="36">
        <v>9.2</v>
      </c>
      <c r="D62" s="36">
        <v>785.0</v>
      </c>
      <c r="E62" s="36">
        <v>785.0</v>
      </c>
      <c r="F62" s="36">
        <v>1.0</v>
      </c>
      <c r="G62" s="36">
        <v>12.0</v>
      </c>
      <c r="H62" s="36">
        <v>1.44</v>
      </c>
      <c r="I62" s="36">
        <v>17.5</v>
      </c>
      <c r="J62" s="36">
        <v>87.2</v>
      </c>
      <c r="K62" s="36">
        <v>94.0</v>
      </c>
      <c r="L62" s="36">
        <v>45.4</v>
      </c>
      <c r="M62" s="36">
        <v>97.0</v>
      </c>
      <c r="N62" s="36">
        <v>61.0</v>
      </c>
      <c r="O62" s="36">
        <v>12.0</v>
      </c>
      <c r="P62" s="36">
        <v>33.0</v>
      </c>
      <c r="Q62" s="36">
        <v>0.33</v>
      </c>
      <c r="R62" s="36">
        <v>1.62</v>
      </c>
      <c r="S62" s="36">
        <v>3.3</v>
      </c>
      <c r="T62" s="36">
        <v>4.92</v>
      </c>
      <c r="U62" s="21">
        <f t="shared" si="1"/>
        <v>4920</v>
      </c>
      <c r="V62" s="21">
        <f t="shared" si="2"/>
        <v>372100</v>
      </c>
    </row>
    <row r="63" ht="14.25" customHeight="1">
      <c r="A63" s="38">
        <v>0.26458333333333334</v>
      </c>
      <c r="B63" s="36">
        <v>81.0</v>
      </c>
      <c r="C63" s="36">
        <v>9.4</v>
      </c>
      <c r="D63" s="36">
        <v>800.0</v>
      </c>
      <c r="E63" s="36">
        <v>804.0</v>
      </c>
      <c r="F63" s="36">
        <v>1.01</v>
      </c>
      <c r="G63" s="36">
        <v>14.0</v>
      </c>
      <c r="H63" s="36">
        <v>1.33</v>
      </c>
      <c r="I63" s="36">
        <v>18.5</v>
      </c>
      <c r="J63" s="36">
        <v>86.4</v>
      </c>
      <c r="K63" s="36">
        <v>94.0</v>
      </c>
      <c r="L63" s="36">
        <v>45.1</v>
      </c>
      <c r="M63" s="36">
        <v>98.0</v>
      </c>
      <c r="N63" s="36">
        <v>60.0</v>
      </c>
      <c r="O63" s="36">
        <v>14.0</v>
      </c>
      <c r="P63" s="36">
        <v>33.0</v>
      </c>
      <c r="Q63" s="36">
        <v>0.34</v>
      </c>
      <c r="R63" s="36">
        <v>1.46</v>
      </c>
      <c r="S63" s="36">
        <v>2.84</v>
      </c>
      <c r="T63" s="36">
        <v>4.31</v>
      </c>
      <c r="U63" s="21">
        <f t="shared" si="1"/>
        <v>4310</v>
      </c>
      <c r="V63" s="21">
        <f t="shared" si="2"/>
        <v>6400</v>
      </c>
    </row>
    <row r="64" ht="14.25" customHeight="1">
      <c r="A64" s="38">
        <v>0.26666666666666666</v>
      </c>
      <c r="B64" s="36">
        <v>82.0</v>
      </c>
      <c r="C64" s="36">
        <v>9.4</v>
      </c>
      <c r="D64" s="36">
        <v>801.0</v>
      </c>
      <c r="E64" s="36">
        <v>800.0</v>
      </c>
      <c r="F64" s="36">
        <v>1.0</v>
      </c>
      <c r="G64" s="36">
        <v>14.0</v>
      </c>
      <c r="H64" s="36">
        <v>1.29</v>
      </c>
      <c r="I64" s="36">
        <v>18.4</v>
      </c>
      <c r="J64" s="36">
        <v>86.6</v>
      </c>
      <c r="K64" s="36">
        <v>94.0</v>
      </c>
      <c r="L64" s="36">
        <v>45.2</v>
      </c>
      <c r="M64" s="36">
        <v>97.0</v>
      </c>
      <c r="N64" s="36">
        <v>60.0</v>
      </c>
      <c r="O64" s="36">
        <v>14.0</v>
      </c>
      <c r="P64" s="36">
        <v>33.0</v>
      </c>
      <c r="Q64" s="36">
        <v>0.33</v>
      </c>
      <c r="R64" s="36">
        <v>1.4</v>
      </c>
      <c r="S64" s="36">
        <v>2.84</v>
      </c>
      <c r="T64" s="36">
        <v>4.23</v>
      </c>
      <c r="U64" s="21">
        <f t="shared" si="1"/>
        <v>4230</v>
      </c>
      <c r="V64" s="21">
        <f t="shared" si="2"/>
        <v>435600</v>
      </c>
    </row>
    <row r="65" ht="14.25" customHeight="1">
      <c r="A65" s="38">
        <v>0.2701388888888889</v>
      </c>
      <c r="B65" s="36">
        <v>83.0</v>
      </c>
      <c r="C65" s="36">
        <v>9.3</v>
      </c>
      <c r="D65" s="36">
        <v>788.0</v>
      </c>
      <c r="E65" s="36">
        <v>767.0</v>
      </c>
      <c r="F65" s="36">
        <v>0.97</v>
      </c>
      <c r="G65" s="36">
        <v>17.0</v>
      </c>
      <c r="H65" s="36">
        <v>1.06</v>
      </c>
      <c r="I65" s="36">
        <v>17.9</v>
      </c>
      <c r="J65" s="36">
        <v>86.9</v>
      </c>
      <c r="K65" s="36">
        <v>94.0</v>
      </c>
      <c r="L65" s="36">
        <v>45.2</v>
      </c>
      <c r="M65" s="36">
        <v>96.0</v>
      </c>
      <c r="N65" s="36">
        <v>61.0</v>
      </c>
      <c r="O65" s="36">
        <v>17.0</v>
      </c>
      <c r="P65" s="36">
        <v>33.0</v>
      </c>
      <c r="Q65" s="36">
        <v>0.36</v>
      </c>
      <c r="R65" s="36">
        <v>1.29</v>
      </c>
      <c r="S65" s="36">
        <v>2.28</v>
      </c>
      <c r="T65" s="36">
        <v>3.57</v>
      </c>
      <c r="U65" s="21">
        <f t="shared" si="1"/>
        <v>3570</v>
      </c>
      <c r="V65" s="21">
        <f t="shared" si="2"/>
        <v>100</v>
      </c>
    </row>
    <row r="66" ht="14.25" customHeight="1">
      <c r="A66" s="38">
        <v>0.2722222222222222</v>
      </c>
      <c r="B66" s="36">
        <v>84.0</v>
      </c>
      <c r="C66" s="36">
        <v>9.2</v>
      </c>
      <c r="D66" s="36">
        <v>783.0</v>
      </c>
      <c r="E66" s="36">
        <v>758.0</v>
      </c>
      <c r="F66" s="36">
        <v>0.97</v>
      </c>
      <c r="G66" s="36">
        <v>17.0</v>
      </c>
      <c r="H66" s="36">
        <v>1.05</v>
      </c>
      <c r="I66" s="36">
        <v>17.7</v>
      </c>
      <c r="J66" s="36">
        <v>87.0</v>
      </c>
      <c r="K66" s="36">
        <v>94.0</v>
      </c>
      <c r="L66" s="36">
        <v>45.2</v>
      </c>
      <c r="M66" s="36">
        <v>96.0</v>
      </c>
      <c r="N66" s="36">
        <v>60.0</v>
      </c>
      <c r="O66" s="36">
        <v>17.0</v>
      </c>
      <c r="P66" s="36">
        <v>33.0</v>
      </c>
      <c r="Q66" s="36">
        <v>0.38</v>
      </c>
      <c r="R66" s="36">
        <v>1.35</v>
      </c>
      <c r="S66" s="36">
        <v>2.22</v>
      </c>
      <c r="T66" s="36">
        <v>3.56</v>
      </c>
      <c r="U66" s="21">
        <f t="shared" si="1"/>
        <v>3560</v>
      </c>
      <c r="V66" s="21">
        <f t="shared" si="2"/>
        <v>57600</v>
      </c>
    </row>
    <row r="67" ht="14.25" customHeight="1">
      <c r="A67" s="38">
        <v>0.275</v>
      </c>
      <c r="B67" s="36">
        <v>86.0</v>
      </c>
      <c r="C67" s="36">
        <v>9.8</v>
      </c>
      <c r="D67" s="36">
        <v>829.0</v>
      </c>
      <c r="E67" s="36">
        <v>801.0</v>
      </c>
      <c r="F67" s="36">
        <v>0.97</v>
      </c>
      <c r="G67" s="36">
        <v>16.0</v>
      </c>
      <c r="H67" s="36">
        <v>1.16</v>
      </c>
      <c r="I67" s="36">
        <v>18.3</v>
      </c>
      <c r="J67" s="36">
        <v>86.6</v>
      </c>
      <c r="K67" s="36">
        <v>94.0</v>
      </c>
      <c r="L67" s="36">
        <v>45.3</v>
      </c>
      <c r="M67" s="36">
        <v>95.0</v>
      </c>
      <c r="N67" s="36">
        <v>61.0</v>
      </c>
      <c r="O67" s="36">
        <v>16.0</v>
      </c>
      <c r="P67" s="36">
        <v>35.0</v>
      </c>
      <c r="Q67" s="36">
        <v>0.35</v>
      </c>
      <c r="R67" s="36">
        <v>1.32</v>
      </c>
      <c r="S67" s="36">
        <v>2.48</v>
      </c>
      <c r="T67" s="36">
        <v>3.8</v>
      </c>
      <c r="U67" s="21">
        <f t="shared" si="1"/>
        <v>3800</v>
      </c>
      <c r="V67" s="21">
        <f t="shared" si="2"/>
        <v>1144900</v>
      </c>
    </row>
    <row r="68" ht="14.25" customHeight="1">
      <c r="A68" s="38">
        <v>0.27847222222222223</v>
      </c>
      <c r="B68" s="36">
        <v>87.0</v>
      </c>
      <c r="C68" s="36">
        <v>10.0</v>
      </c>
      <c r="D68" s="36">
        <v>846.0</v>
      </c>
      <c r="E68" s="36">
        <v>839.0</v>
      </c>
      <c r="F68" s="36">
        <v>0.99</v>
      </c>
      <c r="G68" s="36">
        <v>12.0</v>
      </c>
      <c r="H68" s="36">
        <v>1.5</v>
      </c>
      <c r="I68" s="36">
        <v>18.5</v>
      </c>
      <c r="J68" s="36">
        <v>86.5</v>
      </c>
      <c r="K68" s="36">
        <v>93.0</v>
      </c>
      <c r="L68" s="36">
        <v>45.7</v>
      </c>
      <c r="M68" s="36">
        <v>95.0</v>
      </c>
      <c r="N68" s="36">
        <v>62.0</v>
      </c>
      <c r="O68" s="36">
        <v>12.0</v>
      </c>
      <c r="P68" s="36">
        <v>35.0</v>
      </c>
      <c r="Q68" s="36">
        <v>0.29</v>
      </c>
      <c r="R68" s="36">
        <v>1.43</v>
      </c>
      <c r="S68" s="36">
        <v>3.44</v>
      </c>
      <c r="T68" s="36">
        <v>4.87</v>
      </c>
      <c r="U68" s="21">
        <f t="shared" si="1"/>
        <v>4870</v>
      </c>
      <c r="V68" s="21">
        <f t="shared" si="2"/>
        <v>722500</v>
      </c>
    </row>
    <row r="69" ht="14.25" customHeight="1">
      <c r="A69" s="38">
        <v>0.28055555555555556</v>
      </c>
      <c r="B69" s="36">
        <v>88.0</v>
      </c>
      <c r="C69" s="36">
        <v>9.7</v>
      </c>
      <c r="D69" s="36">
        <v>822.0</v>
      </c>
      <c r="E69" s="36">
        <v>798.0</v>
      </c>
      <c r="F69" s="36">
        <v>0.97</v>
      </c>
      <c r="G69" s="36">
        <v>15.0</v>
      </c>
      <c r="H69" s="36">
        <v>1.21</v>
      </c>
      <c r="I69" s="36">
        <v>18.1</v>
      </c>
      <c r="J69" s="36">
        <v>86.8</v>
      </c>
      <c r="K69" s="36">
        <v>93.0</v>
      </c>
      <c r="L69" s="36">
        <v>45.7</v>
      </c>
      <c r="M69" s="36">
        <v>95.0</v>
      </c>
      <c r="N69" s="36">
        <v>61.0</v>
      </c>
      <c r="O69" s="36">
        <v>15.0</v>
      </c>
      <c r="P69" s="36">
        <v>34.0</v>
      </c>
      <c r="Q69" s="36">
        <v>0.35</v>
      </c>
      <c r="R69" s="36">
        <v>1.4</v>
      </c>
      <c r="S69" s="36">
        <v>2.62</v>
      </c>
      <c r="T69" s="36">
        <v>4.02</v>
      </c>
      <c r="U69" s="21">
        <f t="shared" si="1"/>
        <v>4020</v>
      </c>
      <c r="V69" s="21">
        <f t="shared" si="2"/>
        <v>0</v>
      </c>
    </row>
    <row r="70" ht="14.25" customHeight="1">
      <c r="A70" s="38">
        <v>0.2833333333333333</v>
      </c>
      <c r="B70" s="36">
        <v>90.0</v>
      </c>
      <c r="C70" s="36">
        <v>10.5</v>
      </c>
      <c r="D70" s="36">
        <v>891.0</v>
      </c>
      <c r="E70" s="36">
        <v>846.0</v>
      </c>
      <c r="F70" s="36">
        <v>0.95</v>
      </c>
      <c r="G70" s="36">
        <v>15.0</v>
      </c>
      <c r="H70" s="36">
        <v>1.26</v>
      </c>
      <c r="I70" s="36">
        <v>18.8</v>
      </c>
      <c r="J70" s="36">
        <v>86.3</v>
      </c>
      <c r="K70" s="36">
        <v>93.0</v>
      </c>
      <c r="L70" s="36">
        <v>45.8</v>
      </c>
      <c r="M70" s="36">
        <v>94.0</v>
      </c>
      <c r="N70" s="36">
        <v>62.0</v>
      </c>
      <c r="O70" s="36">
        <v>15.0</v>
      </c>
      <c r="P70" s="36">
        <v>37.0</v>
      </c>
      <c r="Q70" s="36">
        <v>0.33</v>
      </c>
      <c r="R70" s="36">
        <v>1.31</v>
      </c>
      <c r="S70" s="36">
        <v>2.7</v>
      </c>
      <c r="T70" s="36">
        <v>4.02</v>
      </c>
      <c r="U70" s="21">
        <f t="shared" si="1"/>
        <v>4020</v>
      </c>
      <c r="V70" s="21">
        <f t="shared" si="2"/>
        <v>1600</v>
      </c>
    </row>
    <row r="71" ht="14.25" customHeight="1">
      <c r="A71" s="38">
        <v>0.28541666666666665</v>
      </c>
      <c r="B71" s="36">
        <v>91.0</v>
      </c>
      <c r="C71" s="36">
        <v>10.5</v>
      </c>
      <c r="D71" s="36">
        <v>894.0</v>
      </c>
      <c r="E71" s="36">
        <v>850.0</v>
      </c>
      <c r="F71" s="36">
        <v>0.95</v>
      </c>
      <c r="G71" s="36">
        <v>15.0</v>
      </c>
      <c r="H71" s="36">
        <v>1.28</v>
      </c>
      <c r="I71" s="36">
        <v>18.9</v>
      </c>
      <c r="J71" s="36">
        <v>86.2</v>
      </c>
      <c r="K71" s="36">
        <v>94.0</v>
      </c>
      <c r="L71" s="36">
        <v>45.6</v>
      </c>
      <c r="M71" s="36">
        <v>94.0</v>
      </c>
      <c r="N71" s="36">
        <v>61.0</v>
      </c>
      <c r="O71" s="36">
        <v>15.0</v>
      </c>
      <c r="P71" s="36">
        <v>37.0</v>
      </c>
      <c r="Q71" s="36">
        <v>0.34</v>
      </c>
      <c r="R71" s="36">
        <v>1.38</v>
      </c>
      <c r="S71" s="36">
        <v>2.67</v>
      </c>
      <c r="T71" s="36">
        <v>4.06</v>
      </c>
      <c r="U71" s="21">
        <f t="shared" si="1"/>
        <v>4060</v>
      </c>
      <c r="V71" s="21">
        <f t="shared" si="2"/>
        <v>900</v>
      </c>
    </row>
    <row r="72" ht="14.25" customHeight="1">
      <c r="A72" s="38">
        <v>0.28888888888888886</v>
      </c>
      <c r="B72" s="36">
        <v>92.0</v>
      </c>
      <c r="C72" s="36">
        <v>10.4</v>
      </c>
      <c r="D72" s="36">
        <v>881.0</v>
      </c>
      <c r="E72" s="36">
        <v>851.0</v>
      </c>
      <c r="F72" s="36">
        <v>0.97</v>
      </c>
      <c r="G72" s="36">
        <v>15.0</v>
      </c>
      <c r="H72" s="36">
        <v>1.29</v>
      </c>
      <c r="I72" s="36">
        <v>19.3</v>
      </c>
      <c r="J72" s="36">
        <v>85.9</v>
      </c>
      <c r="K72" s="36">
        <v>94.0</v>
      </c>
      <c r="L72" s="36">
        <v>45.4</v>
      </c>
      <c r="M72" s="36">
        <v>96.0</v>
      </c>
      <c r="N72" s="36">
        <v>61.0</v>
      </c>
      <c r="O72" s="36">
        <v>15.0</v>
      </c>
      <c r="P72" s="36">
        <v>37.0</v>
      </c>
      <c r="Q72" s="36">
        <v>0.36</v>
      </c>
      <c r="R72" s="36">
        <v>1.46</v>
      </c>
      <c r="S72" s="36">
        <v>2.57</v>
      </c>
      <c r="T72" s="36">
        <v>4.03</v>
      </c>
      <c r="U72" s="21">
        <f t="shared" si="1"/>
        <v>4030</v>
      </c>
      <c r="V72" s="21">
        <f t="shared" si="2"/>
        <v>900</v>
      </c>
    </row>
    <row r="73" ht="14.25" customHeight="1">
      <c r="A73" s="38">
        <v>0.29097222222222224</v>
      </c>
      <c r="B73" s="36">
        <v>93.0</v>
      </c>
      <c r="C73" s="36">
        <v>10.5</v>
      </c>
      <c r="D73" s="36">
        <v>891.0</v>
      </c>
      <c r="E73" s="36">
        <v>867.0</v>
      </c>
      <c r="F73" s="36">
        <v>0.97</v>
      </c>
      <c r="G73" s="36">
        <v>15.0</v>
      </c>
      <c r="H73" s="36">
        <v>1.31</v>
      </c>
      <c r="I73" s="36">
        <v>19.4</v>
      </c>
      <c r="J73" s="36">
        <v>85.8</v>
      </c>
      <c r="K73" s="36">
        <v>95.0</v>
      </c>
      <c r="L73" s="36">
        <v>44.9</v>
      </c>
      <c r="M73" s="36">
        <v>96.0</v>
      </c>
      <c r="N73" s="36">
        <v>61.0</v>
      </c>
      <c r="O73" s="36">
        <v>15.0</v>
      </c>
      <c r="P73" s="36">
        <v>37.0</v>
      </c>
      <c r="Q73" s="36">
        <v>0.36</v>
      </c>
      <c r="R73" s="36">
        <v>1.45</v>
      </c>
      <c r="S73" s="36">
        <v>2.61</v>
      </c>
      <c r="T73" s="36">
        <v>4.06</v>
      </c>
      <c r="U73" s="21">
        <f t="shared" si="1"/>
        <v>4060</v>
      </c>
      <c r="V73" s="21">
        <f t="shared" si="2"/>
        <v>78400</v>
      </c>
    </row>
    <row r="74" ht="14.25" customHeight="1">
      <c r="A74" s="38">
        <v>0.29305555555555557</v>
      </c>
      <c r="B74" s="36">
        <v>94.0</v>
      </c>
      <c r="C74" s="36">
        <v>10.5</v>
      </c>
      <c r="D74" s="36">
        <v>892.0</v>
      </c>
      <c r="E74" s="36">
        <v>877.0</v>
      </c>
      <c r="F74" s="36">
        <v>0.98</v>
      </c>
      <c r="G74" s="36">
        <v>16.0</v>
      </c>
      <c r="H74" s="36">
        <v>1.26</v>
      </c>
      <c r="I74" s="36">
        <v>19.9</v>
      </c>
      <c r="J74" s="36">
        <v>85.4</v>
      </c>
      <c r="K74" s="36">
        <v>95.0</v>
      </c>
      <c r="L74" s="36">
        <v>44.9</v>
      </c>
      <c r="M74" s="36">
        <v>97.0</v>
      </c>
      <c r="N74" s="36">
        <v>61.0</v>
      </c>
      <c r="O74" s="36">
        <v>16.0</v>
      </c>
      <c r="P74" s="36">
        <v>37.0</v>
      </c>
      <c r="Q74" s="36">
        <v>0.37</v>
      </c>
      <c r="R74" s="36">
        <v>1.41</v>
      </c>
      <c r="S74" s="36">
        <v>2.36</v>
      </c>
      <c r="T74" s="36">
        <v>3.78</v>
      </c>
      <c r="U74" s="21">
        <f t="shared" si="1"/>
        <v>3780</v>
      </c>
      <c r="V74" s="21">
        <f t="shared" si="2"/>
        <v>0</v>
      </c>
    </row>
    <row r="75" ht="14.25" customHeight="1">
      <c r="A75" s="38">
        <v>0.2965277777777778</v>
      </c>
      <c r="B75" s="36">
        <v>96.0</v>
      </c>
      <c r="C75" s="36">
        <v>10.6</v>
      </c>
      <c r="D75" s="36">
        <v>904.0</v>
      </c>
      <c r="E75" s="36">
        <v>897.0</v>
      </c>
      <c r="F75" s="36">
        <v>0.99</v>
      </c>
      <c r="G75" s="36">
        <v>16.0</v>
      </c>
      <c r="H75" s="36">
        <v>1.28</v>
      </c>
      <c r="I75" s="36">
        <v>20.4</v>
      </c>
      <c r="J75" s="36">
        <v>85.1</v>
      </c>
      <c r="K75" s="36">
        <v>95.0</v>
      </c>
      <c r="L75" s="36">
        <v>44.8</v>
      </c>
      <c r="M75" s="36">
        <v>97.0</v>
      </c>
      <c r="N75" s="36">
        <v>61.0</v>
      </c>
      <c r="O75" s="36">
        <v>16.0</v>
      </c>
      <c r="P75" s="36">
        <v>38.0</v>
      </c>
      <c r="Q75" s="36">
        <v>0.36</v>
      </c>
      <c r="R75" s="36">
        <v>1.38</v>
      </c>
      <c r="S75" s="36">
        <v>2.41</v>
      </c>
      <c r="T75" s="36">
        <v>3.78</v>
      </c>
      <c r="U75" s="21">
        <f t="shared" si="1"/>
        <v>3780</v>
      </c>
      <c r="V75" s="21">
        <f t="shared" si="2"/>
        <v>0</v>
      </c>
    </row>
    <row r="76" ht="14.25" customHeight="1">
      <c r="A76" s="38">
        <v>0.30069444444444443</v>
      </c>
      <c r="B76" s="36">
        <v>98.0</v>
      </c>
      <c r="C76" s="36">
        <v>10.6</v>
      </c>
      <c r="D76" s="36">
        <v>904.0</v>
      </c>
      <c r="E76" s="36">
        <v>897.0</v>
      </c>
      <c r="F76" s="36">
        <v>0.99</v>
      </c>
      <c r="G76" s="36">
        <v>16.0</v>
      </c>
      <c r="H76" s="36">
        <v>1.28</v>
      </c>
      <c r="I76" s="36">
        <v>20.4</v>
      </c>
      <c r="J76" s="36">
        <v>85.1</v>
      </c>
      <c r="K76" s="36">
        <v>95.0</v>
      </c>
      <c r="L76" s="36">
        <v>45.0</v>
      </c>
      <c r="M76" s="36">
        <v>97.0</v>
      </c>
      <c r="N76" s="36">
        <v>61.0</v>
      </c>
      <c r="O76" s="36">
        <v>16.0</v>
      </c>
      <c r="P76" s="36">
        <v>38.0</v>
      </c>
      <c r="Q76" s="36">
        <v>0.36</v>
      </c>
      <c r="R76" s="36">
        <v>1.38</v>
      </c>
      <c r="S76" s="36">
        <v>2.41</v>
      </c>
      <c r="T76" s="36">
        <v>3.78</v>
      </c>
      <c r="U76" s="21">
        <f t="shared" si="1"/>
        <v>3780</v>
      </c>
      <c r="V76" s="21">
        <f t="shared" si="2"/>
        <v>14400</v>
      </c>
    </row>
    <row r="77" ht="14.25" customHeight="1">
      <c r="A77" s="38">
        <v>0.30416666666666664</v>
      </c>
      <c r="B77" s="36">
        <v>100.0</v>
      </c>
      <c r="C77" s="36">
        <v>10.5</v>
      </c>
      <c r="D77" s="36">
        <v>890.0</v>
      </c>
      <c r="E77" s="36">
        <v>879.0</v>
      </c>
      <c r="F77" s="36">
        <v>0.99</v>
      </c>
      <c r="G77" s="36">
        <v>15.0</v>
      </c>
      <c r="H77" s="36">
        <v>1.29</v>
      </c>
      <c r="I77" s="36">
        <v>19.9</v>
      </c>
      <c r="J77" s="36">
        <v>85.5</v>
      </c>
      <c r="K77" s="36">
        <v>96.0</v>
      </c>
      <c r="L77" s="36">
        <v>44.0</v>
      </c>
      <c r="M77" s="36">
        <v>97.0</v>
      </c>
      <c r="N77" s="36">
        <v>60.0</v>
      </c>
      <c r="O77" s="36">
        <v>15.0</v>
      </c>
      <c r="P77" s="36">
        <v>37.0</v>
      </c>
      <c r="Q77" s="36">
        <v>0.38</v>
      </c>
      <c r="R77" s="36">
        <v>1.48</v>
      </c>
      <c r="S77" s="36">
        <v>2.41</v>
      </c>
      <c r="T77" s="36">
        <v>3.9</v>
      </c>
      <c r="U77" s="21">
        <f t="shared" si="1"/>
        <v>3900</v>
      </c>
      <c r="V77" s="21">
        <f t="shared" si="2"/>
        <v>0</v>
      </c>
    </row>
    <row r="78" ht="14.25" customHeight="1">
      <c r="A78" s="38">
        <v>0.30625</v>
      </c>
      <c r="B78" s="36">
        <v>101.0</v>
      </c>
      <c r="C78" s="36">
        <v>10.8</v>
      </c>
      <c r="D78" s="36">
        <v>917.0</v>
      </c>
      <c r="E78" s="36">
        <v>894.0</v>
      </c>
      <c r="F78" s="36">
        <v>0.97</v>
      </c>
      <c r="G78" s="36">
        <v>15.0</v>
      </c>
      <c r="H78" s="36">
        <v>1.3</v>
      </c>
      <c r="I78" s="36">
        <v>20.0</v>
      </c>
      <c r="J78" s="36">
        <v>85.4</v>
      </c>
      <c r="K78" s="36">
        <v>97.0</v>
      </c>
      <c r="L78" s="36">
        <v>43.6</v>
      </c>
      <c r="M78" s="36">
        <v>96.0</v>
      </c>
      <c r="N78" s="36">
        <v>61.0</v>
      </c>
      <c r="O78" s="36">
        <v>15.0</v>
      </c>
      <c r="P78" s="36">
        <v>38.0</v>
      </c>
      <c r="Q78" s="36">
        <v>0.37</v>
      </c>
      <c r="R78" s="36">
        <v>1.46</v>
      </c>
      <c r="S78" s="36">
        <v>2.44</v>
      </c>
      <c r="T78" s="36">
        <v>3.9</v>
      </c>
      <c r="U78" s="21">
        <f t="shared" si="1"/>
        <v>3900</v>
      </c>
      <c r="V78" s="21">
        <f t="shared" si="2"/>
        <v>1600</v>
      </c>
    </row>
    <row r="79" ht="14.25" customHeight="1">
      <c r="A79" s="38">
        <v>0.3090277777777778</v>
      </c>
      <c r="B79" s="36">
        <v>102.0</v>
      </c>
      <c r="C79" s="36">
        <v>11.3</v>
      </c>
      <c r="D79" s="36">
        <v>960.0</v>
      </c>
      <c r="E79" s="36">
        <v>923.0</v>
      </c>
      <c r="F79" s="36">
        <v>0.96</v>
      </c>
      <c r="G79" s="36">
        <v>15.0</v>
      </c>
      <c r="H79" s="36">
        <v>1.34</v>
      </c>
      <c r="I79" s="36">
        <v>20.3</v>
      </c>
      <c r="J79" s="36">
        <v>85.1</v>
      </c>
      <c r="K79" s="36">
        <v>99.0</v>
      </c>
      <c r="L79" s="36">
        <v>42.4</v>
      </c>
      <c r="M79" s="36">
        <v>94.0</v>
      </c>
      <c r="N79" s="36">
        <v>62.0</v>
      </c>
      <c r="O79" s="36">
        <v>15.0</v>
      </c>
      <c r="P79" s="36">
        <v>40.0</v>
      </c>
      <c r="Q79" s="36">
        <v>0.36</v>
      </c>
      <c r="R79" s="36">
        <v>1.41</v>
      </c>
      <c r="S79" s="36">
        <v>2.53</v>
      </c>
      <c r="T79" s="36">
        <v>3.94</v>
      </c>
      <c r="U79" s="21">
        <f t="shared" si="1"/>
        <v>3940</v>
      </c>
      <c r="V79" s="21">
        <f t="shared" si="2"/>
        <v>10000</v>
      </c>
    </row>
    <row r="80" ht="14.25" customHeight="1">
      <c r="A80" s="38">
        <v>0.3111111111111111</v>
      </c>
      <c r="B80" s="36">
        <v>103.0</v>
      </c>
      <c r="C80" s="36">
        <v>11.7</v>
      </c>
      <c r="D80" s="36">
        <v>996.0</v>
      </c>
      <c r="E80" s="36">
        <v>943.0</v>
      </c>
      <c r="F80" s="36">
        <v>0.95</v>
      </c>
      <c r="G80" s="36">
        <v>16.0</v>
      </c>
      <c r="H80" s="36">
        <v>1.33</v>
      </c>
      <c r="I80" s="36">
        <v>20.8</v>
      </c>
      <c r="J80" s="36">
        <v>84.8</v>
      </c>
      <c r="K80" s="36">
        <v>99.0</v>
      </c>
      <c r="L80" s="36">
        <v>42.5</v>
      </c>
      <c r="M80" s="36">
        <v>93.0</v>
      </c>
      <c r="N80" s="36">
        <v>62.0</v>
      </c>
      <c r="O80" s="36">
        <v>16.0</v>
      </c>
      <c r="P80" s="36">
        <v>41.0</v>
      </c>
      <c r="Q80" s="36">
        <v>0.36</v>
      </c>
      <c r="R80" s="36">
        <v>1.37</v>
      </c>
      <c r="S80" s="36">
        <v>2.47</v>
      </c>
      <c r="T80" s="36">
        <v>3.84</v>
      </c>
      <c r="U80" s="21">
        <f t="shared" si="1"/>
        <v>3840</v>
      </c>
      <c r="V80" s="21">
        <f t="shared" si="2"/>
        <v>12100</v>
      </c>
    </row>
    <row r="81" ht="14.25" customHeight="1">
      <c r="A81" s="38">
        <v>0.31319444444444444</v>
      </c>
      <c r="B81" s="36">
        <v>104.0</v>
      </c>
      <c r="C81" s="36">
        <v>11.9</v>
      </c>
      <c r="D81" s="36">
        <v>1012.0</v>
      </c>
      <c r="E81" s="36">
        <v>949.0</v>
      </c>
      <c r="F81" s="36">
        <v>0.94</v>
      </c>
      <c r="G81" s="36">
        <v>15.0</v>
      </c>
      <c r="H81" s="36">
        <v>1.37</v>
      </c>
      <c r="I81" s="36">
        <v>20.8</v>
      </c>
      <c r="J81" s="36">
        <v>84.8</v>
      </c>
      <c r="K81" s="36">
        <v>99.0</v>
      </c>
      <c r="L81" s="36">
        <v>42.3</v>
      </c>
      <c r="M81" s="36">
        <v>92.0</v>
      </c>
      <c r="N81" s="36">
        <v>62.0</v>
      </c>
      <c r="O81" s="36">
        <v>15.0</v>
      </c>
      <c r="P81" s="36">
        <v>42.0</v>
      </c>
      <c r="Q81" s="36">
        <v>0.34</v>
      </c>
      <c r="R81" s="36">
        <v>1.36</v>
      </c>
      <c r="S81" s="36">
        <v>2.59</v>
      </c>
      <c r="T81" s="36">
        <v>3.95</v>
      </c>
      <c r="U81" s="21">
        <f t="shared" si="1"/>
        <v>3950</v>
      </c>
      <c r="V81" s="21">
        <f t="shared" si="2"/>
        <v>78400</v>
      </c>
    </row>
    <row r="82" ht="14.25" customHeight="1">
      <c r="A82" s="38">
        <v>0.3173611111111111</v>
      </c>
      <c r="B82" s="36">
        <v>106.0</v>
      </c>
      <c r="C82" s="36">
        <v>12.1</v>
      </c>
      <c r="D82" s="36">
        <v>1032.0</v>
      </c>
      <c r="E82" s="36">
        <v>955.0</v>
      </c>
      <c r="F82" s="36">
        <v>0.93</v>
      </c>
      <c r="G82" s="36">
        <v>16.0</v>
      </c>
      <c r="H82" s="36">
        <v>1.29</v>
      </c>
      <c r="I82" s="36">
        <v>21.2</v>
      </c>
      <c r="J82" s="36">
        <v>84.5</v>
      </c>
      <c r="K82" s="36">
        <v>100.0</v>
      </c>
      <c r="L82" s="36">
        <v>42.1</v>
      </c>
      <c r="M82" s="36">
        <v>93.0</v>
      </c>
      <c r="N82" s="36">
        <v>62.0</v>
      </c>
      <c r="O82" s="36">
        <v>16.0</v>
      </c>
      <c r="P82" s="36">
        <v>43.0</v>
      </c>
      <c r="Q82" s="36">
        <v>0.37</v>
      </c>
      <c r="R82" s="36">
        <v>1.36</v>
      </c>
      <c r="S82" s="36">
        <v>2.31</v>
      </c>
      <c r="T82" s="36">
        <v>3.67</v>
      </c>
      <c r="U82" s="21">
        <f t="shared" si="1"/>
        <v>3670</v>
      </c>
      <c r="V82" s="21">
        <f t="shared" si="2"/>
        <v>160000</v>
      </c>
    </row>
    <row r="83" ht="14.25" customHeight="1">
      <c r="A83" s="38">
        <v>0.3194444444444444</v>
      </c>
      <c r="B83" s="36">
        <v>107.0</v>
      </c>
      <c r="C83" s="36">
        <v>12.3</v>
      </c>
      <c r="D83" s="36">
        <v>1044.0</v>
      </c>
      <c r="E83" s="36">
        <v>960.0</v>
      </c>
      <c r="F83" s="36">
        <v>0.92</v>
      </c>
      <c r="G83" s="36">
        <v>18.0</v>
      </c>
      <c r="H83" s="36">
        <v>1.19</v>
      </c>
      <c r="I83" s="36">
        <v>21.9</v>
      </c>
      <c r="J83" s="36">
        <v>84.0</v>
      </c>
      <c r="K83" s="36">
        <v>99.0</v>
      </c>
      <c r="L83" s="36">
        <v>42.3</v>
      </c>
      <c r="M83" s="36">
        <v>94.0</v>
      </c>
      <c r="N83" s="36">
        <v>61.0</v>
      </c>
      <c r="O83" s="36">
        <v>18.0</v>
      </c>
      <c r="P83" s="36">
        <v>43.0</v>
      </c>
      <c r="Q83" s="36">
        <v>0.4</v>
      </c>
      <c r="R83" s="36">
        <v>1.31</v>
      </c>
      <c r="S83" s="36">
        <v>1.96</v>
      </c>
      <c r="T83" s="36">
        <v>3.27</v>
      </c>
      <c r="U83" s="21">
        <f t="shared" si="1"/>
        <v>3270</v>
      </c>
      <c r="V83" s="21">
        <f t="shared" si="2"/>
        <v>1276900</v>
      </c>
    </row>
    <row r="84" ht="14.25" customHeight="1">
      <c r="A84" s="38">
        <v>0.32569444444444445</v>
      </c>
      <c r="B84" s="36">
        <v>110.0</v>
      </c>
      <c r="C84" s="36">
        <v>12.2</v>
      </c>
      <c r="D84" s="36">
        <v>1036.0</v>
      </c>
      <c r="E84" s="36">
        <v>986.0</v>
      </c>
      <c r="F84" s="36">
        <v>0.95</v>
      </c>
      <c r="G84" s="36">
        <v>14.0</v>
      </c>
      <c r="H84" s="36">
        <v>1.59</v>
      </c>
      <c r="I84" s="36">
        <v>21.6</v>
      </c>
      <c r="J84" s="36">
        <v>84.2</v>
      </c>
      <c r="K84" s="36">
        <v>99.0</v>
      </c>
      <c r="L84" s="36">
        <v>42.2</v>
      </c>
      <c r="M84" s="36">
        <v>91.0</v>
      </c>
      <c r="N84" s="36">
        <v>62.0</v>
      </c>
      <c r="O84" s="36">
        <v>14.0</v>
      </c>
      <c r="P84" s="36">
        <v>43.0</v>
      </c>
      <c r="Q84" s="36">
        <v>0.34</v>
      </c>
      <c r="R84" s="36">
        <v>1.48</v>
      </c>
      <c r="S84" s="36">
        <v>2.92</v>
      </c>
      <c r="T84" s="36">
        <v>4.4</v>
      </c>
      <c r="U84" s="21">
        <f t="shared" si="1"/>
        <v>4400</v>
      </c>
      <c r="V84" s="21">
        <f t="shared" si="2"/>
        <v>1232100</v>
      </c>
    </row>
    <row r="85" ht="14.25" customHeight="1">
      <c r="A85" s="38">
        <v>0.3284722222222222</v>
      </c>
      <c r="B85" s="36">
        <v>111.0</v>
      </c>
      <c r="C85" s="36">
        <v>12.6</v>
      </c>
      <c r="D85" s="36">
        <v>1072.0</v>
      </c>
      <c r="E85" s="36">
        <v>981.0</v>
      </c>
      <c r="F85" s="36">
        <v>0.91</v>
      </c>
      <c r="G85" s="36">
        <v>18.0</v>
      </c>
      <c r="H85" s="36">
        <v>1.23</v>
      </c>
      <c r="I85" s="36">
        <v>22.3</v>
      </c>
      <c r="J85" s="36">
        <v>83.7</v>
      </c>
      <c r="K85" s="36">
        <v>101.0</v>
      </c>
      <c r="L85" s="36">
        <v>41.2</v>
      </c>
      <c r="M85" s="36">
        <v>94.0</v>
      </c>
      <c r="N85" s="36">
        <v>61.0</v>
      </c>
      <c r="O85" s="36">
        <v>18.0</v>
      </c>
      <c r="P85" s="36">
        <v>45.0</v>
      </c>
      <c r="Q85" s="36">
        <v>0.42</v>
      </c>
      <c r="R85" s="36">
        <v>1.37</v>
      </c>
      <c r="S85" s="36">
        <v>1.92</v>
      </c>
      <c r="T85" s="36">
        <v>3.29</v>
      </c>
      <c r="U85" s="21">
        <f t="shared" si="1"/>
        <v>3290</v>
      </c>
      <c r="V85" s="21">
        <f t="shared" si="2"/>
        <v>6400</v>
      </c>
    </row>
    <row r="86" ht="14.25" customHeight="1">
      <c r="A86" s="38">
        <v>0.33055555555555555</v>
      </c>
      <c r="B86" s="36">
        <v>112.0</v>
      </c>
      <c r="C86" s="36">
        <v>12.2</v>
      </c>
      <c r="D86" s="36">
        <v>1041.0</v>
      </c>
      <c r="E86" s="36">
        <v>960.0</v>
      </c>
      <c r="F86" s="36">
        <v>0.92</v>
      </c>
      <c r="G86" s="36">
        <v>18.0</v>
      </c>
      <c r="H86" s="36">
        <v>1.24</v>
      </c>
      <c r="I86" s="36">
        <v>22.2</v>
      </c>
      <c r="J86" s="36">
        <v>83.8</v>
      </c>
      <c r="K86" s="36">
        <v>102.0</v>
      </c>
      <c r="L86" s="36">
        <v>40.9</v>
      </c>
      <c r="M86" s="36">
        <v>95.0</v>
      </c>
      <c r="N86" s="36">
        <v>60.0</v>
      </c>
      <c r="O86" s="36">
        <v>18.0</v>
      </c>
      <c r="P86" s="36">
        <v>43.0</v>
      </c>
      <c r="Q86" s="36">
        <v>0.42</v>
      </c>
      <c r="R86" s="36">
        <v>1.4</v>
      </c>
      <c r="S86" s="36">
        <v>1.97</v>
      </c>
      <c r="T86" s="36">
        <v>3.37</v>
      </c>
      <c r="U86" s="21">
        <f t="shared" si="1"/>
        <v>3370</v>
      </c>
      <c r="V86" s="21">
        <f t="shared" si="2"/>
        <v>291600</v>
      </c>
    </row>
    <row r="87" ht="14.25" customHeight="1">
      <c r="A87" s="38">
        <v>0.3326388888888889</v>
      </c>
      <c r="B87" s="36">
        <v>113.0</v>
      </c>
      <c r="C87" s="36">
        <v>13.0</v>
      </c>
      <c r="D87" s="36">
        <v>1105.0</v>
      </c>
      <c r="E87" s="36">
        <v>1025.0</v>
      </c>
      <c r="F87" s="36">
        <v>0.93</v>
      </c>
      <c r="G87" s="36">
        <v>15.0</v>
      </c>
      <c r="H87" s="36">
        <v>1.48</v>
      </c>
      <c r="I87" s="36">
        <v>22.8</v>
      </c>
      <c r="J87" s="36">
        <v>83.4</v>
      </c>
      <c r="K87" s="36">
        <v>103.0</v>
      </c>
      <c r="L87" s="36">
        <v>40.0</v>
      </c>
      <c r="M87" s="36">
        <v>93.0</v>
      </c>
      <c r="N87" s="36">
        <v>61.0</v>
      </c>
      <c r="O87" s="36">
        <v>15.0</v>
      </c>
      <c r="P87" s="36">
        <v>46.0</v>
      </c>
      <c r="Q87" s="36">
        <v>0.38</v>
      </c>
      <c r="R87" s="36">
        <v>1.48</v>
      </c>
      <c r="S87" s="36">
        <v>2.42</v>
      </c>
      <c r="T87" s="36">
        <v>3.91</v>
      </c>
      <c r="U87" s="21">
        <f t="shared" si="1"/>
        <v>3910</v>
      </c>
      <c r="V87" s="21">
        <f t="shared" si="2"/>
        <v>28900</v>
      </c>
    </row>
    <row r="88" ht="14.25" customHeight="1">
      <c r="A88" s="38">
        <v>0.3347222222222222</v>
      </c>
      <c r="B88" s="36">
        <v>114.0</v>
      </c>
      <c r="C88" s="36">
        <v>13.3</v>
      </c>
      <c r="D88" s="36">
        <v>1134.0</v>
      </c>
      <c r="E88" s="36">
        <v>1060.0</v>
      </c>
      <c r="F88" s="36">
        <v>0.93</v>
      </c>
      <c r="G88" s="36">
        <v>16.0</v>
      </c>
      <c r="H88" s="36">
        <v>1.48</v>
      </c>
      <c r="I88" s="36">
        <v>23.7</v>
      </c>
      <c r="J88" s="36">
        <v>82.7</v>
      </c>
      <c r="K88" s="36">
        <v>103.0</v>
      </c>
      <c r="L88" s="36">
        <v>40.1</v>
      </c>
      <c r="M88" s="36">
        <v>94.0</v>
      </c>
      <c r="N88" s="36">
        <v>61.0</v>
      </c>
      <c r="O88" s="36">
        <v>16.0</v>
      </c>
      <c r="P88" s="36">
        <v>47.0</v>
      </c>
      <c r="Q88" s="36">
        <v>0.4</v>
      </c>
      <c r="R88" s="36">
        <v>1.48</v>
      </c>
      <c r="S88" s="36">
        <v>2.26</v>
      </c>
      <c r="T88" s="36">
        <v>3.74</v>
      </c>
      <c r="U88" s="21">
        <f t="shared" si="1"/>
        <v>3740</v>
      </c>
      <c r="V88" s="21">
        <f t="shared" si="2"/>
        <v>336400</v>
      </c>
    </row>
    <row r="89" ht="14.25" customHeight="1">
      <c r="A89" s="38">
        <v>0.3368055555555556</v>
      </c>
      <c r="B89" s="36">
        <v>115.0</v>
      </c>
      <c r="C89" s="36">
        <v>13.0</v>
      </c>
      <c r="D89" s="36">
        <v>1104.0</v>
      </c>
      <c r="E89" s="36">
        <v>1035.0</v>
      </c>
      <c r="F89" s="36">
        <v>0.94</v>
      </c>
      <c r="G89" s="36">
        <v>19.0</v>
      </c>
      <c r="H89" s="36">
        <v>1.27</v>
      </c>
      <c r="I89" s="36">
        <v>24.1</v>
      </c>
      <c r="J89" s="36">
        <v>82.4</v>
      </c>
      <c r="K89" s="36">
        <v>103.0</v>
      </c>
      <c r="L89" s="36">
        <v>40.0</v>
      </c>
      <c r="M89" s="36">
        <v>96.0</v>
      </c>
      <c r="N89" s="36">
        <v>60.0</v>
      </c>
      <c r="O89" s="36">
        <v>19.0</v>
      </c>
      <c r="P89" s="36">
        <v>46.0</v>
      </c>
      <c r="Q89" s="36">
        <v>0.43</v>
      </c>
      <c r="R89" s="36">
        <v>1.36</v>
      </c>
      <c r="S89" s="36">
        <v>1.8</v>
      </c>
      <c r="T89" s="36">
        <v>3.16</v>
      </c>
      <c r="U89" s="21">
        <f t="shared" si="1"/>
        <v>3160</v>
      </c>
      <c r="V89" s="21">
        <f t="shared" si="2"/>
        <v>291600</v>
      </c>
    </row>
    <row r="90" ht="14.25" customHeight="1">
      <c r="A90" s="38">
        <v>0.3402777777777778</v>
      </c>
      <c r="B90" s="36">
        <v>117.0</v>
      </c>
      <c r="C90" s="36">
        <v>13.9</v>
      </c>
      <c r="D90" s="36">
        <v>1180.0</v>
      </c>
      <c r="E90" s="36">
        <v>1109.0</v>
      </c>
      <c r="F90" s="36">
        <v>0.94</v>
      </c>
      <c r="G90" s="36">
        <v>16.0</v>
      </c>
      <c r="H90" s="36">
        <v>1.5</v>
      </c>
      <c r="I90" s="36">
        <v>24.3</v>
      </c>
      <c r="J90" s="36">
        <v>82.2</v>
      </c>
      <c r="K90" s="36">
        <v>104.0</v>
      </c>
      <c r="L90" s="36">
        <v>39.8</v>
      </c>
      <c r="M90" s="36">
        <v>94.0</v>
      </c>
      <c r="N90" s="36">
        <v>61.0</v>
      </c>
      <c r="O90" s="36">
        <v>16.0</v>
      </c>
      <c r="P90" s="36">
        <v>49.0</v>
      </c>
      <c r="Q90" s="36">
        <v>0.38</v>
      </c>
      <c r="R90" s="36">
        <v>1.42</v>
      </c>
      <c r="S90" s="36">
        <v>2.28</v>
      </c>
      <c r="T90" s="36">
        <v>3.7</v>
      </c>
      <c r="U90" s="21">
        <f t="shared" si="1"/>
        <v>3700</v>
      </c>
      <c r="V90" s="21">
        <f t="shared" si="2"/>
        <v>16900</v>
      </c>
    </row>
    <row r="91" ht="14.25" customHeight="1">
      <c r="A91" s="38">
        <v>0.3423611111111111</v>
      </c>
      <c r="B91" s="36">
        <v>118.0</v>
      </c>
      <c r="C91" s="36">
        <v>14.2</v>
      </c>
      <c r="D91" s="36">
        <v>1210.0</v>
      </c>
      <c r="E91" s="36">
        <v>1134.0</v>
      </c>
      <c r="F91" s="36">
        <v>0.94</v>
      </c>
      <c r="G91" s="36">
        <v>17.0</v>
      </c>
      <c r="H91" s="36">
        <v>1.48</v>
      </c>
      <c r="I91" s="36">
        <v>24.9</v>
      </c>
      <c r="J91" s="36">
        <v>81.8</v>
      </c>
      <c r="K91" s="36">
        <v>104.0</v>
      </c>
      <c r="L91" s="36">
        <v>39.5</v>
      </c>
      <c r="M91" s="36">
        <v>94.0</v>
      </c>
      <c r="N91" s="36">
        <v>61.0</v>
      </c>
      <c r="O91" s="36">
        <v>17.0</v>
      </c>
      <c r="P91" s="36">
        <v>50.0</v>
      </c>
      <c r="Q91" s="36">
        <v>0.4</v>
      </c>
      <c r="R91" s="36">
        <v>1.42</v>
      </c>
      <c r="S91" s="36">
        <v>2.15</v>
      </c>
      <c r="T91" s="36">
        <v>3.57</v>
      </c>
      <c r="U91" s="21">
        <f t="shared" si="1"/>
        <v>3570</v>
      </c>
      <c r="V91" s="21">
        <f t="shared" si="2"/>
        <v>16900</v>
      </c>
    </row>
    <row r="92" ht="14.25" customHeight="1">
      <c r="A92" s="38">
        <v>0.34444444444444444</v>
      </c>
      <c r="B92" s="36">
        <v>119.0</v>
      </c>
      <c r="C92" s="36">
        <v>14.4</v>
      </c>
      <c r="D92" s="36">
        <v>1226.0</v>
      </c>
      <c r="E92" s="36">
        <v>1163.0</v>
      </c>
      <c r="F92" s="36">
        <v>0.95</v>
      </c>
      <c r="G92" s="36">
        <v>17.0</v>
      </c>
      <c r="H92" s="36">
        <v>1.48</v>
      </c>
      <c r="I92" s="36">
        <v>25.7</v>
      </c>
      <c r="J92" s="36">
        <v>81.2</v>
      </c>
      <c r="K92" s="36">
        <v>105.0</v>
      </c>
      <c r="L92" s="36">
        <v>39.1</v>
      </c>
      <c r="M92" s="36">
        <v>95.0</v>
      </c>
      <c r="N92" s="36">
        <v>61.0</v>
      </c>
      <c r="O92" s="36">
        <v>17.0</v>
      </c>
      <c r="P92" s="36">
        <v>51.0</v>
      </c>
      <c r="Q92" s="36">
        <v>0.39</v>
      </c>
      <c r="R92" s="36">
        <v>1.33</v>
      </c>
      <c r="S92" s="36">
        <v>2.11</v>
      </c>
      <c r="T92" s="36">
        <v>3.44</v>
      </c>
      <c r="U92" s="21">
        <f t="shared" si="1"/>
        <v>3440</v>
      </c>
      <c r="V92" s="21">
        <f t="shared" si="2"/>
        <v>100</v>
      </c>
    </row>
    <row r="93" ht="14.25" customHeight="1">
      <c r="A93" s="38">
        <v>0.34652777777777777</v>
      </c>
      <c r="B93" s="36">
        <v>120.0</v>
      </c>
      <c r="C93" s="36">
        <v>14.7</v>
      </c>
      <c r="D93" s="36">
        <v>1250.0</v>
      </c>
      <c r="E93" s="36">
        <v>1191.0</v>
      </c>
      <c r="F93" s="36">
        <v>0.95</v>
      </c>
      <c r="G93" s="36">
        <v>17.0</v>
      </c>
      <c r="H93" s="36">
        <v>1.51</v>
      </c>
      <c r="I93" s="36">
        <v>26.2</v>
      </c>
      <c r="J93" s="36">
        <v>80.8</v>
      </c>
      <c r="K93" s="36">
        <v>106.0</v>
      </c>
      <c r="L93" s="36">
        <v>38.5</v>
      </c>
      <c r="M93" s="36">
        <v>94.0</v>
      </c>
      <c r="N93" s="36">
        <v>61.0</v>
      </c>
      <c r="O93" s="36">
        <v>17.0</v>
      </c>
      <c r="P93" s="36">
        <v>52.0</v>
      </c>
      <c r="Q93" s="36">
        <v>0.37</v>
      </c>
      <c r="R93" s="36">
        <v>1.29</v>
      </c>
      <c r="S93" s="36">
        <v>2.16</v>
      </c>
      <c r="T93" s="36">
        <v>3.45</v>
      </c>
      <c r="U93" s="21">
        <f t="shared" si="1"/>
        <v>3450</v>
      </c>
      <c r="V93" s="21">
        <f t="shared" si="2"/>
        <v>0</v>
      </c>
    </row>
    <row r="94" ht="14.25" customHeight="1">
      <c r="A94" s="38">
        <v>0.3486111111111111</v>
      </c>
      <c r="B94" s="36">
        <v>121.0</v>
      </c>
      <c r="C94" s="36">
        <v>14.7</v>
      </c>
      <c r="D94" s="36">
        <v>1250.0</v>
      </c>
      <c r="E94" s="36">
        <v>1191.0</v>
      </c>
      <c r="F94" s="36">
        <v>0.95</v>
      </c>
      <c r="G94" s="36">
        <v>17.0</v>
      </c>
      <c r="H94" s="36">
        <v>1.51</v>
      </c>
      <c r="I94" s="36">
        <v>26.2</v>
      </c>
      <c r="J94" s="36">
        <v>80.8</v>
      </c>
      <c r="K94" s="36">
        <v>107.0</v>
      </c>
      <c r="L94" s="36">
        <v>37.9</v>
      </c>
      <c r="M94" s="36">
        <v>94.0</v>
      </c>
      <c r="N94" s="36">
        <v>61.0</v>
      </c>
      <c r="O94" s="36">
        <v>17.0</v>
      </c>
      <c r="P94" s="36">
        <v>52.0</v>
      </c>
      <c r="Q94" s="36">
        <v>0.37</v>
      </c>
      <c r="R94" s="36">
        <v>1.29</v>
      </c>
      <c r="S94" s="36">
        <v>2.16</v>
      </c>
      <c r="T94" s="36">
        <v>3.45</v>
      </c>
      <c r="U94" s="21">
        <f t="shared" si="1"/>
        <v>3450</v>
      </c>
      <c r="V94" s="21">
        <f t="shared" si="2"/>
        <v>532900</v>
      </c>
    </row>
    <row r="95" ht="14.25" customHeight="1">
      <c r="A95" s="38">
        <v>0.3527777777777778</v>
      </c>
      <c r="B95" s="36">
        <v>123.0</v>
      </c>
      <c r="C95" s="36">
        <v>15.3</v>
      </c>
      <c r="D95" s="36">
        <v>1305.0</v>
      </c>
      <c r="E95" s="36">
        <v>1239.0</v>
      </c>
      <c r="F95" s="36">
        <v>0.95</v>
      </c>
      <c r="G95" s="36">
        <v>14.0</v>
      </c>
      <c r="H95" s="36">
        <v>1.78</v>
      </c>
      <c r="I95" s="36">
        <v>25.5</v>
      </c>
      <c r="J95" s="36">
        <v>81.3</v>
      </c>
      <c r="K95" s="36">
        <v>107.0</v>
      </c>
      <c r="L95" s="36">
        <v>37.6</v>
      </c>
      <c r="M95" s="36">
        <v>92.0</v>
      </c>
      <c r="N95" s="36">
        <v>63.0</v>
      </c>
      <c r="O95" s="36">
        <v>14.0</v>
      </c>
      <c r="P95" s="36">
        <v>54.0</v>
      </c>
      <c r="Q95" s="36">
        <v>0.38</v>
      </c>
      <c r="R95" s="36">
        <v>1.59</v>
      </c>
      <c r="S95" s="36">
        <v>2.59</v>
      </c>
      <c r="T95" s="36">
        <v>4.18</v>
      </c>
      <c r="U95" s="21">
        <f t="shared" si="1"/>
        <v>4180</v>
      </c>
      <c r="V95" s="21">
        <f t="shared" si="2"/>
        <v>1600</v>
      </c>
    </row>
    <row r="96" ht="14.25" customHeight="1">
      <c r="A96" s="38">
        <v>0.35555555555555557</v>
      </c>
      <c r="B96" s="36">
        <v>124.0</v>
      </c>
      <c r="C96" s="36">
        <v>15.2</v>
      </c>
      <c r="D96" s="36">
        <v>1294.0</v>
      </c>
      <c r="E96" s="36">
        <v>1227.0</v>
      </c>
      <c r="F96" s="36">
        <v>0.95</v>
      </c>
      <c r="G96" s="36">
        <v>14.0</v>
      </c>
      <c r="H96" s="36">
        <v>1.76</v>
      </c>
      <c r="I96" s="36">
        <v>25.5</v>
      </c>
      <c r="J96" s="36">
        <v>81.4</v>
      </c>
      <c r="K96" s="36">
        <v>108.0</v>
      </c>
      <c r="L96" s="36">
        <v>37.4</v>
      </c>
      <c r="M96" s="36">
        <v>92.0</v>
      </c>
      <c r="N96" s="36">
        <v>62.0</v>
      </c>
      <c r="O96" s="36">
        <v>14.0</v>
      </c>
      <c r="P96" s="36">
        <v>54.0</v>
      </c>
      <c r="Q96" s="36">
        <v>0.39</v>
      </c>
      <c r="R96" s="36">
        <v>1.63</v>
      </c>
      <c r="S96" s="36">
        <v>2.51</v>
      </c>
      <c r="T96" s="36">
        <v>4.14</v>
      </c>
      <c r="U96" s="21">
        <f t="shared" si="1"/>
        <v>4140</v>
      </c>
      <c r="V96" s="21">
        <f t="shared" si="2"/>
        <v>202500</v>
      </c>
    </row>
    <row r="97" ht="14.25" customHeight="1">
      <c r="A97" s="38">
        <v>0.3576388888888889</v>
      </c>
      <c r="B97" s="36">
        <v>125.0</v>
      </c>
      <c r="C97" s="36">
        <v>15.3</v>
      </c>
      <c r="D97" s="36">
        <v>1302.0</v>
      </c>
      <c r="E97" s="36">
        <v>1242.0</v>
      </c>
      <c r="F97" s="36">
        <v>0.95</v>
      </c>
      <c r="G97" s="36">
        <v>16.0</v>
      </c>
      <c r="H97" s="36">
        <v>1.63</v>
      </c>
      <c r="I97" s="36">
        <v>26.6</v>
      </c>
      <c r="J97" s="36">
        <v>80.5</v>
      </c>
      <c r="K97" s="36">
        <v>108.0</v>
      </c>
      <c r="L97" s="36">
        <v>37.2</v>
      </c>
      <c r="M97" s="36">
        <v>94.0</v>
      </c>
      <c r="N97" s="36">
        <v>61.0</v>
      </c>
      <c r="O97" s="36">
        <v>16.0</v>
      </c>
      <c r="P97" s="36">
        <v>54.0</v>
      </c>
      <c r="Q97" s="36">
        <v>0.43</v>
      </c>
      <c r="R97" s="36">
        <v>1.57</v>
      </c>
      <c r="S97" s="36">
        <v>2.11</v>
      </c>
      <c r="T97" s="36">
        <v>3.69</v>
      </c>
      <c r="U97" s="21">
        <f t="shared" si="1"/>
        <v>3690</v>
      </c>
      <c r="V97" s="21">
        <f t="shared" si="2"/>
        <v>1600</v>
      </c>
    </row>
    <row r="98" ht="14.25" customHeight="1">
      <c r="A98" s="38">
        <v>0.3597222222222222</v>
      </c>
      <c r="B98" s="36">
        <v>126.0</v>
      </c>
      <c r="C98" s="36">
        <v>15.8</v>
      </c>
      <c r="D98" s="36">
        <v>1340.0</v>
      </c>
      <c r="E98" s="36">
        <v>1287.0</v>
      </c>
      <c r="F98" s="36">
        <v>0.96</v>
      </c>
      <c r="G98" s="36">
        <v>16.0</v>
      </c>
      <c r="H98" s="36">
        <v>1.71</v>
      </c>
      <c r="I98" s="36">
        <v>27.5</v>
      </c>
      <c r="J98" s="36">
        <v>79.9</v>
      </c>
      <c r="K98" s="36">
        <v>109.0</v>
      </c>
      <c r="L98" s="36">
        <v>36.5</v>
      </c>
      <c r="M98" s="36">
        <v>94.0</v>
      </c>
      <c r="N98" s="36">
        <v>61.0</v>
      </c>
      <c r="O98" s="36">
        <v>16.0</v>
      </c>
      <c r="P98" s="36">
        <v>56.0</v>
      </c>
      <c r="Q98" s="36">
        <v>0.42</v>
      </c>
      <c r="R98" s="36">
        <v>1.55</v>
      </c>
      <c r="S98" s="36">
        <v>2.18</v>
      </c>
      <c r="T98" s="36">
        <v>3.73</v>
      </c>
      <c r="U98" s="21">
        <f t="shared" si="1"/>
        <v>3730</v>
      </c>
      <c r="V98" s="21">
        <f t="shared" si="2"/>
        <v>4900</v>
      </c>
    </row>
    <row r="99" ht="14.25" customHeight="1">
      <c r="A99" s="38">
        <v>0.36180555555555555</v>
      </c>
      <c r="B99" s="36">
        <v>127.0</v>
      </c>
      <c r="C99" s="36">
        <v>16.0</v>
      </c>
      <c r="D99" s="36">
        <v>1357.0</v>
      </c>
      <c r="E99" s="36">
        <v>1310.0</v>
      </c>
      <c r="F99" s="36">
        <v>0.97</v>
      </c>
      <c r="G99" s="36">
        <v>16.0</v>
      </c>
      <c r="H99" s="36">
        <v>1.77</v>
      </c>
      <c r="I99" s="36">
        <v>27.9</v>
      </c>
      <c r="J99" s="36">
        <v>79.6</v>
      </c>
      <c r="K99" s="36">
        <v>109.0</v>
      </c>
      <c r="L99" s="36">
        <v>36.7</v>
      </c>
      <c r="M99" s="36">
        <v>94.0</v>
      </c>
      <c r="N99" s="36">
        <v>62.0</v>
      </c>
      <c r="O99" s="36">
        <v>16.0</v>
      </c>
      <c r="P99" s="36">
        <v>57.0</v>
      </c>
      <c r="Q99" s="36">
        <v>0.41</v>
      </c>
      <c r="R99" s="36">
        <v>1.56</v>
      </c>
      <c r="S99" s="36">
        <v>2.25</v>
      </c>
      <c r="T99" s="36">
        <v>3.8</v>
      </c>
      <c r="U99" s="21">
        <f t="shared" si="1"/>
        <v>3800</v>
      </c>
      <c r="V99" s="21">
        <f t="shared" si="2"/>
        <v>6400</v>
      </c>
    </row>
    <row r="100" ht="14.25" customHeight="1">
      <c r="A100" s="38">
        <v>0.3638888888888889</v>
      </c>
      <c r="B100" s="36">
        <v>128.0</v>
      </c>
      <c r="C100" s="36">
        <v>15.1</v>
      </c>
      <c r="D100" s="36">
        <v>1281.0</v>
      </c>
      <c r="E100" s="36">
        <v>1240.0</v>
      </c>
      <c r="F100" s="36">
        <v>0.97</v>
      </c>
      <c r="G100" s="36">
        <v>15.0</v>
      </c>
      <c r="H100" s="36">
        <v>1.72</v>
      </c>
      <c r="I100" s="36">
        <v>26.6</v>
      </c>
      <c r="J100" s="36">
        <v>80.6</v>
      </c>
      <c r="K100" s="36">
        <v>109.0</v>
      </c>
      <c r="L100" s="36">
        <v>36.5</v>
      </c>
      <c r="M100" s="36">
        <v>95.0</v>
      </c>
      <c r="N100" s="36">
        <v>62.0</v>
      </c>
      <c r="O100" s="36">
        <v>15.0</v>
      </c>
      <c r="P100" s="36">
        <v>53.0</v>
      </c>
      <c r="Q100" s="36">
        <v>0.4</v>
      </c>
      <c r="R100" s="36">
        <v>1.56</v>
      </c>
      <c r="S100" s="36">
        <v>2.32</v>
      </c>
      <c r="T100" s="36">
        <v>3.88</v>
      </c>
      <c r="U100" s="21">
        <f t="shared" si="1"/>
        <v>3880</v>
      </c>
      <c r="V100" s="21">
        <f t="shared" si="2"/>
        <v>96100</v>
      </c>
    </row>
    <row r="101" ht="14.25" customHeight="1">
      <c r="A101" s="38">
        <v>0.36527777777777776</v>
      </c>
      <c r="B101" s="36">
        <v>129.0</v>
      </c>
      <c r="C101" s="36">
        <v>14.8</v>
      </c>
      <c r="D101" s="36">
        <v>1256.0</v>
      </c>
      <c r="E101" s="36">
        <v>1183.0</v>
      </c>
      <c r="F101" s="36">
        <v>0.94</v>
      </c>
      <c r="G101" s="36">
        <v>17.0</v>
      </c>
      <c r="H101" s="36">
        <v>1.53</v>
      </c>
      <c r="I101" s="36">
        <v>25.7</v>
      </c>
      <c r="J101" s="36">
        <v>81.2</v>
      </c>
      <c r="K101" s="36">
        <v>110.0</v>
      </c>
      <c r="L101" s="36">
        <v>36.3</v>
      </c>
      <c r="M101" s="36">
        <v>92.0</v>
      </c>
      <c r="N101" s="36">
        <v>63.0</v>
      </c>
      <c r="O101" s="36">
        <v>17.0</v>
      </c>
      <c r="P101" s="36">
        <v>52.0</v>
      </c>
      <c r="Q101" s="36">
        <v>0.37</v>
      </c>
      <c r="R101" s="36">
        <v>1.32</v>
      </c>
      <c r="S101" s="36">
        <v>2.25</v>
      </c>
      <c r="T101" s="36">
        <v>3.57</v>
      </c>
      <c r="U101" s="21">
        <f t="shared" si="1"/>
        <v>3570</v>
      </c>
      <c r="V101" s="21">
        <f t="shared" si="2"/>
        <v>490000</v>
      </c>
    </row>
    <row r="102" ht="14.25" customHeight="1">
      <c r="A102" s="38">
        <v>0.3680555555555556</v>
      </c>
      <c r="B102" s="36">
        <v>130.0</v>
      </c>
      <c r="C102" s="36">
        <v>14.3</v>
      </c>
      <c r="D102" s="36">
        <v>1215.0</v>
      </c>
      <c r="E102" s="36">
        <v>1156.0</v>
      </c>
      <c r="F102" s="36">
        <v>0.95</v>
      </c>
      <c r="G102" s="36">
        <v>21.0</v>
      </c>
      <c r="H102" s="36">
        <v>1.31</v>
      </c>
      <c r="I102" s="36">
        <v>27.4</v>
      </c>
      <c r="J102" s="36">
        <v>80.0</v>
      </c>
      <c r="K102" s="36">
        <v>109.0</v>
      </c>
      <c r="L102" s="36">
        <v>36.7</v>
      </c>
      <c r="M102" s="36">
        <v>95.0</v>
      </c>
      <c r="N102" s="36">
        <v>62.0</v>
      </c>
      <c r="O102" s="36">
        <v>21.0</v>
      </c>
      <c r="P102" s="36">
        <v>51.0</v>
      </c>
      <c r="Q102" s="36">
        <v>0.36</v>
      </c>
      <c r="R102" s="36">
        <v>1.04</v>
      </c>
      <c r="S102" s="36">
        <v>1.83</v>
      </c>
      <c r="T102" s="36">
        <v>2.87</v>
      </c>
      <c r="U102" s="21">
        <f t="shared" si="1"/>
        <v>2870</v>
      </c>
      <c r="V102" s="21">
        <f t="shared" si="2"/>
        <v>900</v>
      </c>
    </row>
    <row r="103" ht="14.25" customHeight="1">
      <c r="A103" s="38">
        <v>0.3701388888888889</v>
      </c>
      <c r="B103" s="36">
        <v>131.0</v>
      </c>
      <c r="C103" s="36">
        <v>15.3</v>
      </c>
      <c r="D103" s="36">
        <v>1301.0</v>
      </c>
      <c r="E103" s="36">
        <v>1224.0</v>
      </c>
      <c r="F103" s="36">
        <v>0.94</v>
      </c>
      <c r="G103" s="36">
        <v>21.0</v>
      </c>
      <c r="H103" s="36">
        <v>1.36</v>
      </c>
      <c r="I103" s="36">
        <v>28.7</v>
      </c>
      <c r="J103" s="36">
        <v>79.0</v>
      </c>
      <c r="K103" s="36">
        <v>110.0</v>
      </c>
      <c r="L103" s="36">
        <v>36.2</v>
      </c>
      <c r="M103" s="36">
        <v>94.0</v>
      </c>
      <c r="N103" s="36">
        <v>62.0</v>
      </c>
      <c r="O103" s="36">
        <v>21.0</v>
      </c>
      <c r="P103" s="36">
        <v>54.0</v>
      </c>
      <c r="Q103" s="36">
        <v>0.38</v>
      </c>
      <c r="R103" s="36">
        <v>1.08</v>
      </c>
      <c r="S103" s="36">
        <v>1.75</v>
      </c>
      <c r="T103" s="36">
        <v>2.84</v>
      </c>
      <c r="U103" s="21">
        <f t="shared" si="1"/>
        <v>2840</v>
      </c>
      <c r="V103" s="21">
        <f t="shared" si="2"/>
        <v>22500</v>
      </c>
    </row>
    <row r="104" ht="14.25" customHeight="1">
      <c r="A104" s="38">
        <v>0.37222222222222223</v>
      </c>
      <c r="B104" s="36">
        <v>132.0</v>
      </c>
      <c r="C104" s="36">
        <v>15.6</v>
      </c>
      <c r="D104" s="36">
        <v>1325.0</v>
      </c>
      <c r="E104" s="36">
        <v>1237.0</v>
      </c>
      <c r="F104" s="36">
        <v>0.93</v>
      </c>
      <c r="G104" s="36">
        <v>22.0</v>
      </c>
      <c r="H104" s="36">
        <v>1.31</v>
      </c>
      <c r="I104" s="36">
        <v>29.1</v>
      </c>
      <c r="J104" s="36">
        <v>78.7</v>
      </c>
      <c r="K104" s="36">
        <v>111.0</v>
      </c>
      <c r="L104" s="36">
        <v>35.8</v>
      </c>
      <c r="M104" s="36">
        <v>94.0</v>
      </c>
      <c r="N104" s="36">
        <v>62.0</v>
      </c>
      <c r="O104" s="36">
        <v>22.0</v>
      </c>
      <c r="P104" s="36">
        <v>55.0</v>
      </c>
      <c r="Q104" s="36">
        <v>0.37</v>
      </c>
      <c r="R104" s="36">
        <v>1.0</v>
      </c>
      <c r="S104" s="36">
        <v>1.69</v>
      </c>
      <c r="T104" s="36">
        <v>2.69</v>
      </c>
      <c r="U104" s="21">
        <f t="shared" si="1"/>
        <v>2690</v>
      </c>
      <c r="V104" s="21">
        <f t="shared" si="2"/>
        <v>14400</v>
      </c>
    </row>
    <row r="105" ht="14.25" customHeight="1">
      <c r="A105" s="38">
        <v>0.375</v>
      </c>
      <c r="B105" s="36">
        <v>133.0</v>
      </c>
      <c r="C105" s="36">
        <v>15.3</v>
      </c>
      <c r="D105" s="36">
        <v>1299.0</v>
      </c>
      <c r="E105" s="36">
        <v>1208.0</v>
      </c>
      <c r="F105" s="36">
        <v>0.93</v>
      </c>
      <c r="G105" s="36">
        <v>21.0</v>
      </c>
      <c r="H105" s="36">
        <v>1.33</v>
      </c>
      <c r="I105" s="36">
        <v>28.3</v>
      </c>
      <c r="J105" s="36">
        <v>79.3</v>
      </c>
      <c r="K105" s="36">
        <v>111.0</v>
      </c>
      <c r="L105" s="36">
        <v>35.6</v>
      </c>
      <c r="M105" s="36">
        <v>93.0</v>
      </c>
      <c r="N105" s="36">
        <v>62.0</v>
      </c>
      <c r="O105" s="36">
        <v>21.0</v>
      </c>
      <c r="P105" s="36">
        <v>54.0</v>
      </c>
      <c r="Q105" s="36">
        <v>0.37</v>
      </c>
      <c r="R105" s="36">
        <v>1.04</v>
      </c>
      <c r="S105" s="36">
        <v>1.77</v>
      </c>
      <c r="T105" s="36">
        <v>2.81</v>
      </c>
      <c r="U105" s="21">
        <f t="shared" si="1"/>
        <v>2810</v>
      </c>
      <c r="V105" s="21">
        <f t="shared" si="2"/>
        <v>52900</v>
      </c>
    </row>
    <row r="106" ht="14.25" customHeight="1">
      <c r="A106" s="38">
        <v>0.3763888888888889</v>
      </c>
      <c r="B106" s="36">
        <v>134.0</v>
      </c>
      <c r="C106" s="36">
        <v>16.3</v>
      </c>
      <c r="D106" s="36">
        <v>1383.0</v>
      </c>
      <c r="E106" s="36">
        <v>1263.0</v>
      </c>
      <c r="F106" s="36">
        <v>0.91</v>
      </c>
      <c r="G106" s="36">
        <v>20.0</v>
      </c>
      <c r="H106" s="36">
        <v>1.44</v>
      </c>
      <c r="I106" s="36">
        <v>28.4</v>
      </c>
      <c r="J106" s="36">
        <v>79.2</v>
      </c>
      <c r="K106" s="36">
        <v>111.0</v>
      </c>
      <c r="L106" s="36">
        <v>35.6</v>
      </c>
      <c r="M106" s="36">
        <v>91.0</v>
      </c>
      <c r="N106" s="36">
        <v>63.0</v>
      </c>
      <c r="O106" s="36">
        <v>20.0</v>
      </c>
      <c r="P106" s="36">
        <v>58.0</v>
      </c>
      <c r="Q106" s="36">
        <v>0.36</v>
      </c>
      <c r="R106" s="36">
        <v>1.11</v>
      </c>
      <c r="S106" s="36">
        <v>1.93</v>
      </c>
      <c r="T106" s="36">
        <v>3.04</v>
      </c>
      <c r="U106" s="21">
        <f t="shared" si="1"/>
        <v>3040</v>
      </c>
      <c r="V106" s="21">
        <f t="shared" si="2"/>
        <v>22500</v>
      </c>
    </row>
    <row r="107" ht="14.25" customHeight="1">
      <c r="A107" s="38">
        <v>0.37916666666666665</v>
      </c>
      <c r="B107" s="36">
        <v>136.0</v>
      </c>
      <c r="C107" s="36">
        <v>17.0</v>
      </c>
      <c r="D107" s="36">
        <v>1443.0</v>
      </c>
      <c r="E107" s="36">
        <v>1321.0</v>
      </c>
      <c r="F107" s="36">
        <v>0.92</v>
      </c>
      <c r="G107" s="36">
        <v>21.0</v>
      </c>
      <c r="H107" s="36">
        <v>1.44</v>
      </c>
      <c r="I107" s="36">
        <v>29.9</v>
      </c>
      <c r="J107" s="36">
        <v>78.2</v>
      </c>
      <c r="K107" s="36">
        <v>111.0</v>
      </c>
      <c r="L107" s="36">
        <v>35.4</v>
      </c>
      <c r="M107" s="36">
        <v>92.0</v>
      </c>
      <c r="N107" s="36">
        <v>63.0</v>
      </c>
      <c r="O107" s="36">
        <v>21.0</v>
      </c>
      <c r="P107" s="36">
        <v>60.0</v>
      </c>
      <c r="Q107" s="36">
        <v>0.35</v>
      </c>
      <c r="R107" s="36">
        <v>1.01</v>
      </c>
      <c r="S107" s="36">
        <v>1.88</v>
      </c>
      <c r="T107" s="36">
        <v>2.89</v>
      </c>
      <c r="U107" s="21">
        <f t="shared" si="1"/>
        <v>2890</v>
      </c>
      <c r="V107" s="21">
        <f t="shared" si="2"/>
        <v>62500</v>
      </c>
    </row>
    <row r="108" ht="14.25" customHeight="1">
      <c r="A108" s="38">
        <v>0.38125</v>
      </c>
      <c r="B108" s="36">
        <v>137.0</v>
      </c>
      <c r="C108" s="36">
        <v>17.1</v>
      </c>
      <c r="D108" s="36">
        <v>1451.0</v>
      </c>
      <c r="E108" s="36">
        <v>1362.0</v>
      </c>
      <c r="F108" s="36">
        <v>0.94</v>
      </c>
      <c r="G108" s="36">
        <v>19.0</v>
      </c>
      <c r="H108" s="36">
        <v>1.58</v>
      </c>
      <c r="I108" s="36">
        <v>30.1</v>
      </c>
      <c r="J108" s="36">
        <v>78.0</v>
      </c>
      <c r="K108" s="36">
        <v>111.0</v>
      </c>
      <c r="L108" s="36">
        <v>35.4</v>
      </c>
      <c r="M108" s="36">
        <v>93.0</v>
      </c>
      <c r="N108" s="36">
        <v>62.0</v>
      </c>
      <c r="O108" s="36">
        <v>19.0</v>
      </c>
      <c r="P108" s="36">
        <v>60.0</v>
      </c>
      <c r="Q108" s="36">
        <v>0.39</v>
      </c>
      <c r="R108" s="36">
        <v>1.24</v>
      </c>
      <c r="S108" s="36">
        <v>1.9</v>
      </c>
      <c r="T108" s="36">
        <v>3.14</v>
      </c>
      <c r="U108" s="21">
        <f t="shared" si="1"/>
        <v>3140</v>
      </c>
      <c r="V108" s="21">
        <f t="shared" si="2"/>
        <v>78400</v>
      </c>
    </row>
    <row r="109" ht="14.25" customHeight="1">
      <c r="A109" s="38">
        <v>0.38333333333333336</v>
      </c>
      <c r="B109" s="36">
        <v>138.0</v>
      </c>
      <c r="C109" s="36">
        <v>16.1</v>
      </c>
      <c r="D109" s="36">
        <v>1367.0</v>
      </c>
      <c r="E109" s="36">
        <v>1306.0</v>
      </c>
      <c r="F109" s="36">
        <v>0.96</v>
      </c>
      <c r="G109" s="36">
        <v>21.0</v>
      </c>
      <c r="H109" s="36">
        <v>1.44</v>
      </c>
      <c r="I109" s="36">
        <v>30.2</v>
      </c>
      <c r="J109" s="36">
        <v>77.9</v>
      </c>
      <c r="K109" s="36">
        <v>112.0</v>
      </c>
      <c r="L109" s="36">
        <v>35.2</v>
      </c>
      <c r="M109" s="36">
        <v>95.0</v>
      </c>
      <c r="N109" s="36">
        <v>61.0</v>
      </c>
      <c r="O109" s="36">
        <v>21.0</v>
      </c>
      <c r="P109" s="36">
        <v>57.0</v>
      </c>
      <c r="Q109" s="36">
        <v>0.41</v>
      </c>
      <c r="R109" s="36">
        <v>1.18</v>
      </c>
      <c r="S109" s="36">
        <v>1.68</v>
      </c>
      <c r="T109" s="36">
        <v>2.86</v>
      </c>
      <c r="U109" s="21">
        <f t="shared" si="1"/>
        <v>2860</v>
      </c>
      <c r="V109" s="21">
        <f t="shared" si="2"/>
        <v>4900</v>
      </c>
    </row>
    <row r="110" ht="14.25" customHeight="1">
      <c r="A110" s="38">
        <v>0.3861111111111111</v>
      </c>
      <c r="B110" s="36">
        <v>139.0</v>
      </c>
      <c r="C110" s="36">
        <v>17.0</v>
      </c>
      <c r="D110" s="36">
        <v>1441.0</v>
      </c>
      <c r="E110" s="36">
        <v>1383.0</v>
      </c>
      <c r="F110" s="36">
        <v>0.96</v>
      </c>
      <c r="G110" s="36">
        <v>20.0</v>
      </c>
      <c r="H110" s="36">
        <v>1.52</v>
      </c>
      <c r="I110" s="36">
        <v>31.1</v>
      </c>
      <c r="J110" s="36">
        <v>77.3</v>
      </c>
      <c r="K110" s="36">
        <v>112.0</v>
      </c>
      <c r="L110" s="36">
        <v>35.2</v>
      </c>
      <c r="M110" s="36">
        <v>95.0</v>
      </c>
      <c r="N110" s="36">
        <v>61.0</v>
      </c>
      <c r="O110" s="36">
        <v>20.0</v>
      </c>
      <c r="P110" s="36">
        <v>60.0</v>
      </c>
      <c r="Q110" s="36">
        <v>0.39</v>
      </c>
      <c r="R110" s="36">
        <v>1.14</v>
      </c>
      <c r="S110" s="36">
        <v>1.79</v>
      </c>
      <c r="T110" s="36">
        <v>2.93</v>
      </c>
      <c r="U110" s="21">
        <f t="shared" si="1"/>
        <v>2930</v>
      </c>
      <c r="V110" s="21">
        <f t="shared" si="2"/>
        <v>100</v>
      </c>
    </row>
    <row r="111" ht="14.25" customHeight="1">
      <c r="A111" s="38">
        <v>0.3875</v>
      </c>
      <c r="B111" s="36">
        <v>140.0</v>
      </c>
      <c r="C111" s="36">
        <v>17.0</v>
      </c>
      <c r="D111" s="36">
        <v>1446.0</v>
      </c>
      <c r="E111" s="36">
        <v>1398.0</v>
      </c>
      <c r="F111" s="36">
        <v>0.97</v>
      </c>
      <c r="G111" s="36">
        <v>20.0</v>
      </c>
      <c r="H111" s="36">
        <v>1.54</v>
      </c>
      <c r="I111" s="36">
        <v>31.3</v>
      </c>
      <c r="J111" s="36">
        <v>77.1</v>
      </c>
      <c r="K111" s="36">
        <v>112.0</v>
      </c>
      <c r="L111" s="36">
        <v>34.9</v>
      </c>
      <c r="M111" s="36">
        <v>95.0</v>
      </c>
      <c r="N111" s="36">
        <v>61.0</v>
      </c>
      <c r="O111" s="36">
        <v>20.0</v>
      </c>
      <c r="P111" s="36">
        <v>60.0</v>
      </c>
      <c r="Q111" s="36">
        <v>0.39</v>
      </c>
      <c r="R111" s="36">
        <v>1.16</v>
      </c>
      <c r="S111" s="36">
        <v>1.78</v>
      </c>
      <c r="T111" s="36">
        <v>2.94</v>
      </c>
      <c r="U111" s="21">
        <f t="shared" si="1"/>
        <v>2940</v>
      </c>
      <c r="V111" s="21">
        <f t="shared" si="2"/>
        <v>0</v>
      </c>
    </row>
    <row r="112" ht="14.25" customHeight="1">
      <c r="A112" s="38">
        <v>0.3923611111111111</v>
      </c>
      <c r="B112" s="36">
        <v>142.0</v>
      </c>
      <c r="C112" s="36">
        <v>17.0</v>
      </c>
      <c r="D112" s="36">
        <v>1446.0</v>
      </c>
      <c r="E112" s="36">
        <v>1398.0</v>
      </c>
      <c r="F112" s="36">
        <v>0.97</v>
      </c>
      <c r="G112" s="36">
        <v>20.0</v>
      </c>
      <c r="H112" s="36">
        <v>1.54</v>
      </c>
      <c r="I112" s="36">
        <v>31.3</v>
      </c>
      <c r="J112" s="36">
        <v>77.1</v>
      </c>
      <c r="K112" s="36">
        <v>113.0</v>
      </c>
      <c r="L112" s="36">
        <v>34.3</v>
      </c>
      <c r="M112" s="36">
        <v>95.0</v>
      </c>
      <c r="N112" s="36">
        <v>61.0</v>
      </c>
      <c r="O112" s="36">
        <v>20.0</v>
      </c>
      <c r="P112" s="36">
        <v>60.0</v>
      </c>
      <c r="Q112" s="36">
        <v>0.39</v>
      </c>
      <c r="R112" s="36">
        <v>1.16</v>
      </c>
      <c r="S112" s="36">
        <v>1.78</v>
      </c>
      <c r="T112" s="36">
        <v>2.94</v>
      </c>
      <c r="U112" s="21">
        <f t="shared" si="1"/>
        <v>2940</v>
      </c>
      <c r="V112" s="21">
        <f t="shared" si="2"/>
        <v>739600</v>
      </c>
    </row>
    <row r="113" ht="14.25" customHeight="1">
      <c r="A113" s="38">
        <v>0.39444444444444443</v>
      </c>
      <c r="B113" s="36">
        <v>143.0</v>
      </c>
      <c r="C113" s="36">
        <v>16.5</v>
      </c>
      <c r="D113" s="36">
        <v>1401.0</v>
      </c>
      <c r="E113" s="36">
        <v>1364.0</v>
      </c>
      <c r="F113" s="36">
        <v>0.97</v>
      </c>
      <c r="G113" s="36">
        <v>16.0</v>
      </c>
      <c r="H113" s="36">
        <v>1.83</v>
      </c>
      <c r="I113" s="36">
        <v>28.9</v>
      </c>
      <c r="J113" s="36">
        <v>78.9</v>
      </c>
      <c r="K113" s="36">
        <v>114.0</v>
      </c>
      <c r="L113" s="36">
        <v>33.8</v>
      </c>
      <c r="M113" s="36">
        <v>92.0</v>
      </c>
      <c r="N113" s="36">
        <v>63.0</v>
      </c>
      <c r="O113" s="36">
        <v>16.0</v>
      </c>
      <c r="P113" s="36">
        <v>58.0</v>
      </c>
      <c r="Q113" s="36">
        <v>0.36</v>
      </c>
      <c r="R113" s="36">
        <v>1.39</v>
      </c>
      <c r="S113" s="36">
        <v>2.42</v>
      </c>
      <c r="T113" s="36">
        <v>3.8</v>
      </c>
      <c r="U113" s="21">
        <f t="shared" si="1"/>
        <v>3800</v>
      </c>
      <c r="V113" s="21">
        <f t="shared" si="2"/>
        <v>0</v>
      </c>
    </row>
    <row r="114" ht="14.25" customHeight="1">
      <c r="A114" s="38">
        <v>0.3972222222222222</v>
      </c>
      <c r="B114" s="36">
        <v>144.0</v>
      </c>
      <c r="C114" s="36">
        <v>16.5</v>
      </c>
      <c r="D114" s="36">
        <v>1400.0</v>
      </c>
      <c r="E114" s="36">
        <v>1364.0</v>
      </c>
      <c r="F114" s="36">
        <v>0.97</v>
      </c>
      <c r="G114" s="36">
        <v>16.0</v>
      </c>
      <c r="H114" s="36">
        <v>1.83</v>
      </c>
      <c r="I114" s="36">
        <v>28.9</v>
      </c>
      <c r="J114" s="36">
        <v>78.9</v>
      </c>
      <c r="K114" s="36">
        <v>114.0</v>
      </c>
      <c r="L114" s="36">
        <v>33.8</v>
      </c>
      <c r="M114" s="36">
        <v>92.0</v>
      </c>
      <c r="N114" s="36">
        <v>63.0</v>
      </c>
      <c r="O114" s="36">
        <v>16.0</v>
      </c>
      <c r="P114" s="36">
        <v>58.0</v>
      </c>
      <c r="Q114" s="36">
        <v>0.36</v>
      </c>
      <c r="R114" s="36">
        <v>1.39</v>
      </c>
      <c r="S114" s="36">
        <v>2.42</v>
      </c>
      <c r="T114" s="36">
        <v>3.8</v>
      </c>
      <c r="U114" s="21">
        <f t="shared" si="1"/>
        <v>3800</v>
      </c>
      <c r="V114" s="8">
        <v>0.0</v>
      </c>
    </row>
    <row r="115" ht="14.25" customHeight="1">
      <c r="A115" s="36" t="s">
        <v>80</v>
      </c>
      <c r="U115" s="21">
        <f t="shared" si="1"/>
        <v>0</v>
      </c>
    </row>
    <row r="116" ht="14.25" customHeight="1">
      <c r="A116" s="38">
        <v>0.40069444444444446</v>
      </c>
      <c r="B116" s="36">
        <v>146.0</v>
      </c>
      <c r="C116" s="36">
        <v>16.6</v>
      </c>
      <c r="D116" s="36">
        <v>1408.0</v>
      </c>
      <c r="E116" s="36">
        <v>1363.0</v>
      </c>
      <c r="F116" s="36">
        <v>0.97</v>
      </c>
      <c r="G116" s="36">
        <v>14.0</v>
      </c>
      <c r="H116" s="36">
        <v>1.96</v>
      </c>
      <c r="I116" s="36">
        <v>27.9</v>
      </c>
      <c r="J116" s="36">
        <v>79.6</v>
      </c>
      <c r="K116" s="36">
        <v>114.0</v>
      </c>
      <c r="L116" s="36">
        <v>33.8</v>
      </c>
      <c r="M116" s="36">
        <v>91.0</v>
      </c>
      <c r="N116" s="36">
        <v>64.0</v>
      </c>
      <c r="O116" s="36">
        <v>14.0</v>
      </c>
      <c r="P116" s="36">
        <v>59.0</v>
      </c>
      <c r="Q116" s="36">
        <v>0.36</v>
      </c>
      <c r="R116" s="36">
        <v>1.5</v>
      </c>
      <c r="S116" s="36">
        <v>2.7</v>
      </c>
      <c r="T116" s="36">
        <v>4.21</v>
      </c>
      <c r="U116" s="21">
        <f t="shared" si="1"/>
        <v>4210</v>
      </c>
      <c r="V116" s="21">
        <f t="shared" ref="V116:V137" si="3">(U116-U117)^2</f>
        <v>100</v>
      </c>
      <c r="W116" s="21">
        <f>SQRT(AVERAGE(V116:V138))</f>
        <v>250.0695555</v>
      </c>
    </row>
    <row r="117" ht="14.25" customHeight="1">
      <c r="A117" s="38">
        <v>0.4027777777777778</v>
      </c>
      <c r="B117" s="36">
        <v>147.0</v>
      </c>
      <c r="C117" s="36">
        <v>17.1</v>
      </c>
      <c r="D117" s="36">
        <v>1454.0</v>
      </c>
      <c r="E117" s="36">
        <v>1404.0</v>
      </c>
      <c r="F117" s="36">
        <v>0.97</v>
      </c>
      <c r="G117" s="36">
        <v>14.0</v>
      </c>
      <c r="H117" s="36">
        <v>2.0</v>
      </c>
      <c r="I117" s="36">
        <v>28.6</v>
      </c>
      <c r="J117" s="36">
        <v>79.1</v>
      </c>
      <c r="K117" s="36">
        <v>115.0</v>
      </c>
      <c r="L117" s="36">
        <v>33.3</v>
      </c>
      <c r="M117" s="36">
        <v>90.0</v>
      </c>
      <c r="N117" s="36">
        <v>65.0</v>
      </c>
      <c r="O117" s="36">
        <v>14.0</v>
      </c>
      <c r="P117" s="36">
        <v>61.0</v>
      </c>
      <c r="Q117" s="36">
        <v>0.36</v>
      </c>
      <c r="R117" s="36">
        <v>1.5</v>
      </c>
      <c r="S117" s="36">
        <v>2.7</v>
      </c>
      <c r="T117" s="36">
        <v>4.2</v>
      </c>
      <c r="U117" s="21">
        <f t="shared" si="1"/>
        <v>4200</v>
      </c>
      <c r="V117" s="21">
        <f t="shared" si="3"/>
        <v>40000</v>
      </c>
    </row>
    <row r="118" ht="14.25" customHeight="1">
      <c r="A118" s="38">
        <v>0.4041666666666667</v>
      </c>
      <c r="B118" s="36">
        <v>148.0</v>
      </c>
      <c r="C118" s="36">
        <v>17.0</v>
      </c>
      <c r="D118" s="36">
        <v>1447.0</v>
      </c>
      <c r="E118" s="36">
        <v>1401.0</v>
      </c>
      <c r="F118" s="36">
        <v>0.97</v>
      </c>
      <c r="G118" s="36">
        <v>15.0</v>
      </c>
      <c r="H118" s="36">
        <v>1.93</v>
      </c>
      <c r="I118" s="36">
        <v>29.0</v>
      </c>
      <c r="J118" s="36">
        <v>78.8</v>
      </c>
      <c r="K118" s="36">
        <v>118.0</v>
      </c>
      <c r="L118" s="36">
        <v>31.4</v>
      </c>
      <c r="M118" s="36">
        <v>91.0</v>
      </c>
      <c r="N118" s="36">
        <v>64.0</v>
      </c>
      <c r="O118" s="36">
        <v>15.0</v>
      </c>
      <c r="P118" s="36">
        <v>60.0</v>
      </c>
      <c r="Q118" s="36">
        <v>0.38</v>
      </c>
      <c r="R118" s="36">
        <v>1.5</v>
      </c>
      <c r="S118" s="36">
        <v>2.5</v>
      </c>
      <c r="T118" s="36">
        <v>4.0</v>
      </c>
      <c r="U118" s="21">
        <f t="shared" si="1"/>
        <v>4000</v>
      </c>
      <c r="V118" s="21">
        <f t="shared" si="3"/>
        <v>10000</v>
      </c>
    </row>
    <row r="119" ht="14.25" customHeight="1">
      <c r="A119" s="38">
        <v>0.40694444444444444</v>
      </c>
      <c r="B119" s="36">
        <v>149.0</v>
      </c>
      <c r="C119" s="36">
        <v>17.2</v>
      </c>
      <c r="D119" s="36">
        <v>1463.0</v>
      </c>
      <c r="E119" s="36">
        <v>1426.0</v>
      </c>
      <c r="F119" s="36">
        <v>0.97</v>
      </c>
      <c r="G119" s="36">
        <v>15.0</v>
      </c>
      <c r="H119" s="36">
        <v>2.0</v>
      </c>
      <c r="I119" s="36">
        <v>29.3</v>
      </c>
      <c r="J119" s="36">
        <v>78.5</v>
      </c>
      <c r="K119" s="36">
        <v>121.0</v>
      </c>
      <c r="L119" s="36">
        <v>29.5</v>
      </c>
      <c r="M119" s="36">
        <v>91.0</v>
      </c>
      <c r="N119" s="36">
        <v>65.0</v>
      </c>
      <c r="O119" s="36">
        <v>15.0</v>
      </c>
      <c r="P119" s="36">
        <v>61.0</v>
      </c>
      <c r="Q119" s="36">
        <v>0.35</v>
      </c>
      <c r="R119" s="36">
        <v>1.45</v>
      </c>
      <c r="S119" s="36">
        <v>2.64</v>
      </c>
      <c r="T119" s="36">
        <v>4.1</v>
      </c>
      <c r="U119" s="21">
        <f t="shared" si="1"/>
        <v>4100</v>
      </c>
      <c r="V119" s="21">
        <f t="shared" si="3"/>
        <v>562500</v>
      </c>
    </row>
    <row r="120" ht="14.25" customHeight="1">
      <c r="A120" s="38">
        <v>0.40902777777777777</v>
      </c>
      <c r="B120" s="36">
        <v>150.0</v>
      </c>
      <c r="C120" s="36">
        <v>18.2</v>
      </c>
      <c r="D120" s="36">
        <v>1547.0</v>
      </c>
      <c r="E120" s="36">
        <v>1507.0</v>
      </c>
      <c r="F120" s="36">
        <v>0.97</v>
      </c>
      <c r="G120" s="36">
        <v>18.0</v>
      </c>
      <c r="H120" s="36">
        <v>1.79</v>
      </c>
      <c r="I120" s="36">
        <v>32.0</v>
      </c>
      <c r="J120" s="36">
        <v>76.6</v>
      </c>
      <c r="K120" s="36">
        <v>121.0</v>
      </c>
      <c r="L120" s="36">
        <v>29.5</v>
      </c>
      <c r="M120" s="36">
        <v>93.0</v>
      </c>
      <c r="N120" s="36">
        <v>64.0</v>
      </c>
      <c r="O120" s="36">
        <v>18.0</v>
      </c>
      <c r="P120" s="36">
        <v>64.0</v>
      </c>
      <c r="Q120" s="36">
        <v>0.38</v>
      </c>
      <c r="R120" s="36">
        <v>1.28</v>
      </c>
      <c r="S120" s="36">
        <v>2.07</v>
      </c>
      <c r="T120" s="36">
        <v>3.35</v>
      </c>
      <c r="U120" s="21">
        <f t="shared" si="1"/>
        <v>3350</v>
      </c>
      <c r="V120" s="21">
        <f t="shared" si="3"/>
        <v>22500</v>
      </c>
    </row>
    <row r="121" ht="14.25" customHeight="1">
      <c r="A121" s="38">
        <v>0.41041666666666665</v>
      </c>
      <c r="B121" s="36">
        <v>151.0</v>
      </c>
      <c r="C121" s="36">
        <v>19.4</v>
      </c>
      <c r="D121" s="36">
        <v>1649.0</v>
      </c>
      <c r="E121" s="36">
        <v>1610.0</v>
      </c>
      <c r="F121" s="36">
        <v>0.98</v>
      </c>
      <c r="G121" s="36">
        <v>19.0</v>
      </c>
      <c r="H121" s="36">
        <v>1.86</v>
      </c>
      <c r="I121" s="36">
        <v>34.9</v>
      </c>
      <c r="J121" s="36">
        <v>74.5</v>
      </c>
      <c r="K121" s="36">
        <v>122.0</v>
      </c>
      <c r="L121" s="36">
        <v>29.3</v>
      </c>
      <c r="M121" s="36">
        <v>94.0</v>
      </c>
      <c r="N121" s="36">
        <v>63.0</v>
      </c>
      <c r="O121" s="36">
        <v>19.0</v>
      </c>
      <c r="P121" s="36">
        <v>69.0</v>
      </c>
      <c r="Q121" s="36">
        <v>0.38</v>
      </c>
      <c r="R121" s="36">
        <v>1.22</v>
      </c>
      <c r="S121" s="36">
        <v>1.98</v>
      </c>
      <c r="T121" s="36">
        <v>3.2</v>
      </c>
      <c r="U121" s="21">
        <f t="shared" si="1"/>
        <v>3200</v>
      </c>
      <c r="V121" s="21">
        <f t="shared" si="3"/>
        <v>84100</v>
      </c>
    </row>
    <row r="122" ht="14.25" customHeight="1">
      <c r="A122" s="38">
        <v>0.4125</v>
      </c>
      <c r="B122" s="36">
        <v>152.0</v>
      </c>
      <c r="C122" s="36">
        <v>19.2</v>
      </c>
      <c r="D122" s="36">
        <v>1629.0</v>
      </c>
      <c r="E122" s="36">
        <v>1614.0</v>
      </c>
      <c r="F122" s="36">
        <v>0.99</v>
      </c>
      <c r="G122" s="36">
        <v>21.0</v>
      </c>
      <c r="H122" s="36">
        <v>1.73</v>
      </c>
      <c r="I122" s="36">
        <v>35.6</v>
      </c>
      <c r="J122" s="36">
        <v>74.0</v>
      </c>
      <c r="K122" s="36">
        <v>122.0</v>
      </c>
      <c r="L122" s="36">
        <v>29.1</v>
      </c>
      <c r="M122" s="36">
        <v>95.0</v>
      </c>
      <c r="N122" s="36">
        <v>62.0</v>
      </c>
      <c r="O122" s="36">
        <v>21.0</v>
      </c>
      <c r="P122" s="36">
        <v>68.0</v>
      </c>
      <c r="Q122" s="36">
        <v>0.39</v>
      </c>
      <c r="R122" s="36">
        <v>1.14</v>
      </c>
      <c r="S122" s="36">
        <v>1.78</v>
      </c>
      <c r="T122" s="36">
        <v>2.91</v>
      </c>
      <c r="U122" s="21">
        <f t="shared" si="1"/>
        <v>2910</v>
      </c>
      <c r="V122" s="21">
        <f t="shared" si="3"/>
        <v>16900</v>
      </c>
    </row>
    <row r="123" ht="14.25" customHeight="1">
      <c r="A123" s="38">
        <v>0.41458333333333336</v>
      </c>
      <c r="B123" s="36">
        <v>153.0</v>
      </c>
      <c r="C123" s="36">
        <v>19.8</v>
      </c>
      <c r="D123" s="36">
        <v>1684.0</v>
      </c>
      <c r="E123" s="36">
        <v>1670.0</v>
      </c>
      <c r="F123" s="36">
        <v>0.99</v>
      </c>
      <c r="G123" s="36">
        <v>22.0</v>
      </c>
      <c r="H123" s="36">
        <v>1.72</v>
      </c>
      <c r="I123" s="36">
        <v>37.1</v>
      </c>
      <c r="J123" s="36">
        <v>72.9</v>
      </c>
      <c r="K123" s="36">
        <v>122.0</v>
      </c>
      <c r="L123" s="36">
        <v>28.8</v>
      </c>
      <c r="M123" s="36">
        <v>96.0</v>
      </c>
      <c r="N123" s="36">
        <v>62.0</v>
      </c>
      <c r="O123" s="36">
        <v>22.0</v>
      </c>
      <c r="P123" s="36">
        <v>70.0</v>
      </c>
      <c r="Q123" s="36">
        <v>0.42</v>
      </c>
      <c r="R123" s="36">
        <v>1.18</v>
      </c>
      <c r="S123" s="36">
        <v>1.61</v>
      </c>
      <c r="T123" s="36">
        <v>2.78</v>
      </c>
      <c r="U123" s="21">
        <f t="shared" si="1"/>
        <v>2780</v>
      </c>
      <c r="V123" s="21">
        <f t="shared" si="3"/>
        <v>72900</v>
      </c>
    </row>
    <row r="124" ht="14.25" customHeight="1">
      <c r="A124" s="38">
        <v>0.4173611111111111</v>
      </c>
      <c r="B124" s="36">
        <v>154.0</v>
      </c>
      <c r="C124" s="36">
        <v>20.1</v>
      </c>
      <c r="D124" s="36">
        <v>1704.0</v>
      </c>
      <c r="E124" s="36">
        <v>1722.0</v>
      </c>
      <c r="F124" s="36">
        <v>1.01</v>
      </c>
      <c r="G124" s="36">
        <v>20.0</v>
      </c>
      <c r="H124" s="36">
        <v>1.9</v>
      </c>
      <c r="I124" s="36">
        <v>37.5</v>
      </c>
      <c r="J124" s="36">
        <v>72.6</v>
      </c>
      <c r="K124" s="36">
        <v>122.0</v>
      </c>
      <c r="L124" s="36">
        <v>28.8</v>
      </c>
      <c r="M124" s="36">
        <v>95.0</v>
      </c>
      <c r="N124" s="36">
        <v>63.0</v>
      </c>
      <c r="O124" s="36">
        <v>20.0</v>
      </c>
      <c r="P124" s="36">
        <v>71.0</v>
      </c>
      <c r="Q124" s="36">
        <v>0.38</v>
      </c>
      <c r="R124" s="36">
        <v>1.17</v>
      </c>
      <c r="S124" s="36">
        <v>1.88</v>
      </c>
      <c r="T124" s="36">
        <v>3.05</v>
      </c>
      <c r="U124" s="21">
        <f t="shared" si="1"/>
        <v>3050</v>
      </c>
      <c r="V124" s="21">
        <f t="shared" si="3"/>
        <v>900</v>
      </c>
    </row>
    <row r="125" ht="14.25" customHeight="1">
      <c r="A125" s="38">
        <v>0.41875</v>
      </c>
      <c r="B125" s="36">
        <v>155.0</v>
      </c>
      <c r="C125" s="36">
        <v>20.1</v>
      </c>
      <c r="D125" s="36">
        <v>1706.0</v>
      </c>
      <c r="E125" s="36">
        <v>1726.0</v>
      </c>
      <c r="F125" s="36">
        <v>1.01</v>
      </c>
      <c r="G125" s="36">
        <v>20.0</v>
      </c>
      <c r="H125" s="36">
        <v>1.87</v>
      </c>
      <c r="I125" s="36">
        <v>37.3</v>
      </c>
      <c r="J125" s="36">
        <v>72.8</v>
      </c>
      <c r="K125" s="36">
        <v>123.0</v>
      </c>
      <c r="L125" s="36">
        <v>28.7</v>
      </c>
      <c r="M125" s="36">
        <v>95.0</v>
      </c>
      <c r="N125" s="36">
        <v>63.0</v>
      </c>
      <c r="O125" s="36">
        <v>20.0</v>
      </c>
      <c r="P125" s="36">
        <v>71.0</v>
      </c>
      <c r="Q125" s="36">
        <v>0.39</v>
      </c>
      <c r="R125" s="36">
        <v>1.17</v>
      </c>
      <c r="S125" s="36">
        <v>1.85</v>
      </c>
      <c r="T125" s="36">
        <v>3.02</v>
      </c>
      <c r="U125" s="21">
        <f t="shared" si="1"/>
        <v>3020</v>
      </c>
      <c r="V125" s="21">
        <f t="shared" si="3"/>
        <v>0</v>
      </c>
    </row>
    <row r="126" ht="14.25" customHeight="1">
      <c r="A126" s="38">
        <v>0.4215277777777778</v>
      </c>
      <c r="B126" s="36">
        <v>156.0</v>
      </c>
      <c r="C126" s="36">
        <v>20.1</v>
      </c>
      <c r="D126" s="36">
        <v>1706.0</v>
      </c>
      <c r="E126" s="36">
        <v>1725.0</v>
      </c>
      <c r="F126" s="36">
        <v>1.01</v>
      </c>
      <c r="G126" s="36">
        <v>20.0</v>
      </c>
      <c r="H126" s="36">
        <v>1.87</v>
      </c>
      <c r="I126" s="36">
        <v>37.3</v>
      </c>
      <c r="J126" s="36">
        <v>72.8</v>
      </c>
      <c r="K126" s="36">
        <v>123.0</v>
      </c>
      <c r="L126" s="36">
        <v>28.7</v>
      </c>
      <c r="M126" s="36">
        <v>95.0</v>
      </c>
      <c r="N126" s="36">
        <v>63.0</v>
      </c>
      <c r="O126" s="36">
        <v>20.0</v>
      </c>
      <c r="P126" s="36">
        <v>71.0</v>
      </c>
      <c r="Q126" s="36">
        <v>0.39</v>
      </c>
      <c r="R126" s="36">
        <v>1.17</v>
      </c>
      <c r="S126" s="36">
        <v>1.85</v>
      </c>
      <c r="T126" s="36">
        <v>3.02</v>
      </c>
      <c r="U126" s="21">
        <f t="shared" si="1"/>
        <v>3020</v>
      </c>
      <c r="V126" s="21">
        <f t="shared" si="3"/>
        <v>184900</v>
      </c>
    </row>
    <row r="127" ht="14.25" customHeight="1">
      <c r="A127" s="38">
        <v>0.4222222222222222</v>
      </c>
      <c r="B127" s="36">
        <v>156.0</v>
      </c>
      <c r="C127" s="36">
        <v>19.6</v>
      </c>
      <c r="D127" s="36">
        <v>1664.0</v>
      </c>
      <c r="E127" s="36">
        <v>1697.0</v>
      </c>
      <c r="F127" s="36">
        <v>1.02</v>
      </c>
      <c r="G127" s="36">
        <v>23.0</v>
      </c>
      <c r="H127" s="36">
        <v>1.61</v>
      </c>
      <c r="I127" s="36">
        <v>37.3</v>
      </c>
      <c r="J127" s="36">
        <v>72.7</v>
      </c>
      <c r="K127" s="36">
        <v>123.0</v>
      </c>
      <c r="L127" s="36">
        <v>28.5</v>
      </c>
      <c r="M127" s="36">
        <v>94.0</v>
      </c>
      <c r="N127" s="36">
        <v>64.0</v>
      </c>
      <c r="O127" s="36">
        <v>23.0</v>
      </c>
      <c r="P127" s="36">
        <v>69.0</v>
      </c>
      <c r="Q127" s="36">
        <v>0.36</v>
      </c>
      <c r="R127" s="36">
        <v>0.94</v>
      </c>
      <c r="S127" s="36">
        <v>1.65</v>
      </c>
      <c r="T127" s="36">
        <v>2.59</v>
      </c>
      <c r="U127" s="21">
        <f t="shared" si="1"/>
        <v>2590</v>
      </c>
      <c r="V127" s="21">
        <f t="shared" si="3"/>
        <v>6400</v>
      </c>
    </row>
    <row r="128" ht="14.25" customHeight="1">
      <c r="A128" s="38">
        <v>0.42430555555555555</v>
      </c>
      <c r="B128" s="36">
        <v>157.0</v>
      </c>
      <c r="C128" s="36">
        <v>19.2</v>
      </c>
      <c r="D128" s="36">
        <v>1635.0</v>
      </c>
      <c r="E128" s="36">
        <v>1667.0</v>
      </c>
      <c r="F128" s="36">
        <v>1.02</v>
      </c>
      <c r="G128" s="36">
        <v>22.0</v>
      </c>
      <c r="H128" s="36">
        <v>1.62</v>
      </c>
      <c r="I128" s="36">
        <v>36.4</v>
      </c>
      <c r="J128" s="36">
        <v>73.4</v>
      </c>
      <c r="K128" s="36">
        <v>123.0</v>
      </c>
      <c r="L128" s="36">
        <v>28.5</v>
      </c>
      <c r="M128" s="36">
        <v>93.0</v>
      </c>
      <c r="N128" s="36">
        <v>64.0</v>
      </c>
      <c r="O128" s="36">
        <v>22.0</v>
      </c>
      <c r="P128" s="36">
        <v>68.0</v>
      </c>
      <c r="Q128" s="36">
        <v>0.37</v>
      </c>
      <c r="R128" s="36">
        <v>0.99</v>
      </c>
      <c r="S128" s="36">
        <v>1.68</v>
      </c>
      <c r="T128" s="36">
        <v>2.67</v>
      </c>
      <c r="U128" s="21">
        <f t="shared" si="1"/>
        <v>2670</v>
      </c>
      <c r="V128" s="21">
        <f t="shared" si="3"/>
        <v>900</v>
      </c>
    </row>
    <row r="129" ht="14.25" customHeight="1">
      <c r="A129" s="38">
        <v>0.42569444444444443</v>
      </c>
      <c r="B129" s="36">
        <v>158.0</v>
      </c>
      <c r="C129" s="36">
        <v>19.2</v>
      </c>
      <c r="D129" s="36">
        <v>1634.0</v>
      </c>
      <c r="E129" s="36">
        <v>1662.0</v>
      </c>
      <c r="F129" s="36">
        <v>1.02</v>
      </c>
      <c r="G129" s="36">
        <v>23.0</v>
      </c>
      <c r="H129" s="36">
        <v>1.6</v>
      </c>
      <c r="I129" s="36">
        <v>36.3</v>
      </c>
      <c r="J129" s="36">
        <v>73.5</v>
      </c>
      <c r="K129" s="36">
        <v>123.0</v>
      </c>
      <c r="L129" s="36">
        <v>28.7</v>
      </c>
      <c r="M129" s="36">
        <v>93.0</v>
      </c>
      <c r="N129" s="36">
        <v>65.0</v>
      </c>
      <c r="O129" s="36">
        <v>23.0</v>
      </c>
      <c r="P129" s="36">
        <v>68.0</v>
      </c>
      <c r="Q129" s="36">
        <v>0.37</v>
      </c>
      <c r="R129" s="36">
        <v>0.97</v>
      </c>
      <c r="S129" s="36">
        <v>1.68</v>
      </c>
      <c r="T129" s="36">
        <v>2.64</v>
      </c>
      <c r="U129" s="21">
        <f t="shared" si="1"/>
        <v>2640</v>
      </c>
      <c r="V129" s="21">
        <f t="shared" si="3"/>
        <v>2500</v>
      </c>
    </row>
    <row r="130" ht="14.25" customHeight="1">
      <c r="A130" s="38">
        <v>0.42777777777777776</v>
      </c>
      <c r="B130" s="36">
        <v>159.0</v>
      </c>
      <c r="C130" s="36">
        <v>19.0</v>
      </c>
      <c r="D130" s="36">
        <v>1619.0</v>
      </c>
      <c r="E130" s="36">
        <v>1658.0</v>
      </c>
      <c r="F130" s="36">
        <v>1.02</v>
      </c>
      <c r="G130" s="36">
        <v>22.0</v>
      </c>
      <c r="H130" s="36">
        <v>1.62</v>
      </c>
      <c r="I130" s="36">
        <v>36.1</v>
      </c>
      <c r="J130" s="36">
        <v>73.6</v>
      </c>
      <c r="K130" s="36">
        <v>123.0</v>
      </c>
      <c r="L130" s="36">
        <v>28.5</v>
      </c>
      <c r="M130" s="36">
        <v>93.0</v>
      </c>
      <c r="N130" s="36">
        <v>64.0</v>
      </c>
      <c r="O130" s="36">
        <v>22.0</v>
      </c>
      <c r="P130" s="36">
        <v>67.0</v>
      </c>
      <c r="Q130" s="36">
        <v>0.36</v>
      </c>
      <c r="R130" s="36">
        <v>0.97</v>
      </c>
      <c r="S130" s="36">
        <v>1.72</v>
      </c>
      <c r="T130" s="36">
        <v>2.69</v>
      </c>
      <c r="U130" s="21">
        <f t="shared" si="1"/>
        <v>2690</v>
      </c>
      <c r="V130" s="21">
        <f t="shared" si="3"/>
        <v>102400</v>
      </c>
    </row>
    <row r="131" ht="14.25" customHeight="1">
      <c r="A131" s="38">
        <v>0.4305555555555556</v>
      </c>
      <c r="B131" s="36">
        <v>160.0</v>
      </c>
      <c r="C131" s="36">
        <v>19.1</v>
      </c>
      <c r="D131" s="36">
        <v>1623.0</v>
      </c>
      <c r="E131" s="36">
        <v>1644.0</v>
      </c>
      <c r="F131" s="36">
        <v>1.01</v>
      </c>
      <c r="G131" s="36">
        <v>25.0</v>
      </c>
      <c r="H131" s="36">
        <v>1.44</v>
      </c>
      <c r="I131" s="36">
        <v>36.6</v>
      </c>
      <c r="J131" s="36">
        <v>73.2</v>
      </c>
      <c r="K131" s="36">
        <v>123.0</v>
      </c>
      <c r="L131" s="36">
        <v>28.5</v>
      </c>
      <c r="M131" s="36">
        <v>94.0</v>
      </c>
      <c r="N131" s="36">
        <v>64.0</v>
      </c>
      <c r="O131" s="36">
        <v>25.0</v>
      </c>
      <c r="P131" s="36">
        <v>68.0</v>
      </c>
      <c r="Q131" s="36">
        <v>0.4</v>
      </c>
      <c r="R131" s="36">
        <v>0.94</v>
      </c>
      <c r="S131" s="36">
        <v>1.43</v>
      </c>
      <c r="T131" s="36">
        <v>2.37</v>
      </c>
      <c r="U131" s="21">
        <f t="shared" si="1"/>
        <v>2370</v>
      </c>
      <c r="V131" s="21">
        <f t="shared" si="3"/>
        <v>28900</v>
      </c>
    </row>
    <row r="132" ht="14.25" customHeight="1">
      <c r="A132" s="38">
        <v>0.4326388888888889</v>
      </c>
      <c r="B132" s="36">
        <v>161.0</v>
      </c>
      <c r="C132" s="36">
        <v>18.4</v>
      </c>
      <c r="D132" s="36">
        <v>1566.0</v>
      </c>
      <c r="E132" s="36">
        <v>1598.0</v>
      </c>
      <c r="F132" s="36">
        <v>1.02</v>
      </c>
      <c r="G132" s="36">
        <v>24.0</v>
      </c>
      <c r="H132" s="36">
        <v>1.51</v>
      </c>
      <c r="I132" s="36">
        <v>35.6</v>
      </c>
      <c r="J132" s="36">
        <v>74.0</v>
      </c>
      <c r="K132" s="36">
        <v>124.0</v>
      </c>
      <c r="L132" s="36">
        <v>27.9</v>
      </c>
      <c r="M132" s="36">
        <v>94.0</v>
      </c>
      <c r="N132" s="36">
        <v>64.0</v>
      </c>
      <c r="O132" s="36">
        <v>24.0</v>
      </c>
      <c r="P132" s="36">
        <v>65.0</v>
      </c>
      <c r="Q132" s="36">
        <v>0.37</v>
      </c>
      <c r="R132" s="36">
        <v>0.95</v>
      </c>
      <c r="S132" s="36">
        <v>1.59</v>
      </c>
      <c r="T132" s="36">
        <v>2.54</v>
      </c>
      <c r="U132" s="21">
        <f t="shared" si="1"/>
        <v>2540</v>
      </c>
      <c r="V132" s="21">
        <f t="shared" si="3"/>
        <v>400</v>
      </c>
    </row>
    <row r="133" ht="14.25" customHeight="1">
      <c r="A133" s="38">
        <v>0.43333333333333335</v>
      </c>
      <c r="B133" s="36">
        <v>162.0</v>
      </c>
      <c r="C133" s="36">
        <v>17.8</v>
      </c>
      <c r="D133" s="36">
        <v>1515.0</v>
      </c>
      <c r="E133" s="36">
        <v>1549.0</v>
      </c>
      <c r="F133" s="36">
        <v>1.02</v>
      </c>
      <c r="G133" s="36">
        <v>24.0</v>
      </c>
      <c r="H133" s="36">
        <v>1.45</v>
      </c>
      <c r="I133" s="36">
        <v>34.6</v>
      </c>
      <c r="J133" s="36">
        <v>74.7</v>
      </c>
      <c r="K133" s="36">
        <v>124.0</v>
      </c>
      <c r="L133" s="36">
        <v>27.6</v>
      </c>
      <c r="M133" s="36">
        <v>95.0</v>
      </c>
      <c r="N133" s="36">
        <v>64.0</v>
      </c>
      <c r="O133" s="36">
        <v>24.0</v>
      </c>
      <c r="P133" s="36">
        <v>63.0</v>
      </c>
      <c r="Q133" s="36">
        <v>0.38</v>
      </c>
      <c r="R133" s="36">
        <v>0.97</v>
      </c>
      <c r="S133" s="36">
        <v>1.55</v>
      </c>
      <c r="T133" s="36">
        <v>2.52</v>
      </c>
      <c r="U133" s="21">
        <f t="shared" si="1"/>
        <v>2520</v>
      </c>
      <c r="V133" s="21">
        <f t="shared" si="3"/>
        <v>168100</v>
      </c>
    </row>
    <row r="134" ht="14.25" customHeight="1">
      <c r="A134" s="38">
        <v>0.4354166666666667</v>
      </c>
      <c r="B134" s="36">
        <v>163.0</v>
      </c>
      <c r="C134" s="36">
        <v>18.5</v>
      </c>
      <c r="D134" s="36">
        <v>1569.0</v>
      </c>
      <c r="E134" s="36">
        <v>1596.0</v>
      </c>
      <c r="F134" s="36">
        <v>1.02</v>
      </c>
      <c r="G134" s="36">
        <v>21.0</v>
      </c>
      <c r="H134" s="36">
        <v>1.72</v>
      </c>
      <c r="I134" s="36">
        <v>35.2</v>
      </c>
      <c r="J134" s="36">
        <v>74.3</v>
      </c>
      <c r="K134" s="36">
        <v>125.0</v>
      </c>
      <c r="L134" s="36">
        <v>27.5</v>
      </c>
      <c r="M134" s="36">
        <v>96.0</v>
      </c>
      <c r="N134" s="36">
        <v>63.0</v>
      </c>
      <c r="O134" s="36">
        <v>21.0</v>
      </c>
      <c r="P134" s="36">
        <v>65.0</v>
      </c>
      <c r="Q134" s="36">
        <v>0.41</v>
      </c>
      <c r="R134" s="36">
        <v>1.2</v>
      </c>
      <c r="S134" s="36">
        <v>1.72</v>
      </c>
      <c r="T134" s="36">
        <v>2.93</v>
      </c>
      <c r="U134" s="21">
        <f t="shared" si="1"/>
        <v>2930</v>
      </c>
      <c r="V134" s="21">
        <f t="shared" si="3"/>
        <v>6400</v>
      </c>
    </row>
    <row r="135" ht="14.25" customHeight="1">
      <c r="A135" s="38">
        <v>0.4375</v>
      </c>
      <c r="B135" s="36">
        <v>163.0</v>
      </c>
      <c r="C135" s="36">
        <v>18.6</v>
      </c>
      <c r="D135" s="36">
        <v>1581.0</v>
      </c>
      <c r="E135" s="36">
        <v>1612.0</v>
      </c>
      <c r="F135" s="36">
        <v>1.02</v>
      </c>
      <c r="G135" s="36">
        <v>21.0</v>
      </c>
      <c r="H135" s="36">
        <v>1.69</v>
      </c>
      <c r="I135" s="36">
        <v>35.6</v>
      </c>
      <c r="J135" s="36">
        <v>74.0</v>
      </c>
      <c r="K135" s="36">
        <v>124.0</v>
      </c>
      <c r="L135" s="36">
        <v>27.6</v>
      </c>
      <c r="M135" s="36">
        <v>97.0</v>
      </c>
      <c r="N135" s="36">
        <v>62.0</v>
      </c>
      <c r="O135" s="36">
        <v>21.0</v>
      </c>
      <c r="P135" s="36">
        <v>66.0</v>
      </c>
      <c r="Q135" s="36">
        <v>0.41</v>
      </c>
      <c r="R135" s="36">
        <v>1.17</v>
      </c>
      <c r="S135" s="36">
        <v>1.67</v>
      </c>
      <c r="T135" s="36">
        <v>2.85</v>
      </c>
      <c r="U135" s="21">
        <f t="shared" si="1"/>
        <v>2850</v>
      </c>
      <c r="V135" s="21">
        <f t="shared" si="3"/>
        <v>62500</v>
      </c>
    </row>
    <row r="136" ht="14.25" customHeight="1">
      <c r="A136" s="38">
        <v>0.4388888888888889</v>
      </c>
      <c r="B136" s="36">
        <v>164.0</v>
      </c>
      <c r="C136" s="36">
        <v>20.0</v>
      </c>
      <c r="D136" s="36">
        <v>1703.0</v>
      </c>
      <c r="E136" s="36">
        <v>1726.0</v>
      </c>
      <c r="F136" s="36">
        <v>1.01</v>
      </c>
      <c r="G136" s="36">
        <v>19.0</v>
      </c>
      <c r="H136" s="36">
        <v>1.86</v>
      </c>
      <c r="I136" s="36">
        <v>36.1</v>
      </c>
      <c r="J136" s="36">
        <v>73.6</v>
      </c>
      <c r="K136" s="36">
        <v>125.0</v>
      </c>
      <c r="L136" s="36">
        <v>27.3</v>
      </c>
      <c r="M136" s="36">
        <v>95.0</v>
      </c>
      <c r="N136" s="36">
        <v>63.0</v>
      </c>
      <c r="O136" s="36">
        <v>19.0</v>
      </c>
      <c r="P136" s="36">
        <v>71.0</v>
      </c>
      <c r="Q136" s="36">
        <v>0.4</v>
      </c>
      <c r="R136" s="36">
        <v>1.23</v>
      </c>
      <c r="S136" s="36">
        <v>1.87</v>
      </c>
      <c r="T136" s="36">
        <v>3.1</v>
      </c>
      <c r="U136" s="21">
        <f t="shared" si="1"/>
        <v>3100</v>
      </c>
      <c r="V136" s="21">
        <f t="shared" si="3"/>
        <v>2500</v>
      </c>
    </row>
    <row r="137" ht="14.25" customHeight="1">
      <c r="A137" s="38">
        <v>0.4409722222222222</v>
      </c>
      <c r="B137" s="36">
        <v>165.0</v>
      </c>
      <c r="C137" s="36">
        <v>20.5</v>
      </c>
      <c r="D137" s="36">
        <v>1741.0</v>
      </c>
      <c r="E137" s="36">
        <v>1764.0</v>
      </c>
      <c r="F137" s="36">
        <v>1.01</v>
      </c>
      <c r="G137" s="36">
        <v>20.0</v>
      </c>
      <c r="H137" s="36">
        <v>1.88</v>
      </c>
      <c r="I137" s="36">
        <v>36.8</v>
      </c>
      <c r="J137" s="36">
        <v>73.1</v>
      </c>
      <c r="K137" s="36">
        <v>126.0</v>
      </c>
      <c r="L137" s="36">
        <v>27.0</v>
      </c>
      <c r="M137" s="36">
        <v>95.0</v>
      </c>
      <c r="N137" s="36">
        <v>64.0</v>
      </c>
      <c r="O137" s="36">
        <v>20.0</v>
      </c>
      <c r="P137" s="36">
        <v>73.0</v>
      </c>
      <c r="Q137" s="36">
        <v>0.4</v>
      </c>
      <c r="R137" s="36">
        <v>1.22</v>
      </c>
      <c r="S137" s="36">
        <v>1.83</v>
      </c>
      <c r="T137" s="36">
        <v>3.05</v>
      </c>
      <c r="U137" s="21">
        <f t="shared" si="1"/>
        <v>3050</v>
      </c>
      <c r="V137" s="21">
        <f t="shared" si="3"/>
        <v>62500</v>
      </c>
    </row>
    <row r="138" ht="14.25" customHeight="1">
      <c r="A138" s="38">
        <v>0.44305555555555554</v>
      </c>
      <c r="B138" s="36">
        <v>166.0</v>
      </c>
      <c r="C138" s="36">
        <v>19.2</v>
      </c>
      <c r="D138" s="36">
        <v>1632.0</v>
      </c>
      <c r="E138" s="36">
        <v>1680.0</v>
      </c>
      <c r="F138" s="36">
        <v>1.03</v>
      </c>
      <c r="G138" s="36">
        <v>21.0</v>
      </c>
      <c r="H138" s="36">
        <v>1.72</v>
      </c>
      <c r="I138" s="36">
        <v>36.9</v>
      </c>
      <c r="J138" s="36">
        <v>73.0</v>
      </c>
      <c r="K138" s="36">
        <v>126.0</v>
      </c>
      <c r="L138" s="36">
        <v>26.9</v>
      </c>
      <c r="M138" s="36">
        <v>97.0</v>
      </c>
      <c r="N138" s="36">
        <v>63.0</v>
      </c>
      <c r="O138" s="36">
        <v>21.0</v>
      </c>
      <c r="P138" s="36">
        <v>68.0</v>
      </c>
      <c r="Q138" s="36">
        <v>0.42</v>
      </c>
      <c r="R138" s="36">
        <v>1.16</v>
      </c>
      <c r="S138" s="36">
        <v>1.63</v>
      </c>
      <c r="T138" s="36">
        <v>2.8</v>
      </c>
      <c r="U138" s="21">
        <f t="shared" si="1"/>
        <v>2800</v>
      </c>
      <c r="V138" s="8">
        <v>0.0</v>
      </c>
    </row>
    <row r="139" ht="14.25" customHeight="1">
      <c r="A139" s="36" t="s">
        <v>81</v>
      </c>
      <c r="U139" s="21">
        <f t="shared" si="1"/>
        <v>0</v>
      </c>
    </row>
    <row r="140" ht="14.25" customHeight="1">
      <c r="A140" s="38">
        <v>0.4444444444444444</v>
      </c>
      <c r="B140" s="36">
        <v>167.0</v>
      </c>
      <c r="C140" s="36">
        <v>21.2</v>
      </c>
      <c r="D140" s="36">
        <v>1801.0</v>
      </c>
      <c r="E140" s="36">
        <v>1862.0</v>
      </c>
      <c r="F140" s="36">
        <v>1.03</v>
      </c>
      <c r="G140" s="36">
        <v>23.0</v>
      </c>
      <c r="H140" s="36">
        <v>1.77</v>
      </c>
      <c r="I140" s="36">
        <v>41.0</v>
      </c>
      <c r="J140" s="36">
        <v>70.0</v>
      </c>
      <c r="K140" s="36">
        <v>127.0</v>
      </c>
      <c r="L140" s="36">
        <v>26.2</v>
      </c>
      <c r="M140" s="36">
        <v>97.0</v>
      </c>
      <c r="N140" s="36">
        <v>63.0</v>
      </c>
      <c r="O140" s="36">
        <v>23.0</v>
      </c>
      <c r="P140" s="36">
        <v>75.0</v>
      </c>
      <c r="Q140" s="36">
        <v>0.42</v>
      </c>
      <c r="R140" s="36">
        <v>1.09</v>
      </c>
      <c r="S140" s="36">
        <v>1.51</v>
      </c>
      <c r="T140" s="36">
        <v>2.59</v>
      </c>
      <c r="U140" s="21">
        <f t="shared" si="1"/>
        <v>2590</v>
      </c>
      <c r="V140" s="21">
        <f t="shared" ref="V140:V150" si="4">(U140-U141)^2</f>
        <v>0</v>
      </c>
      <c r="W140" s="21">
        <f>SQRT(AVERAGE(V140:V154))</f>
        <v>147.3353057</v>
      </c>
    </row>
    <row r="141" ht="14.25" customHeight="1">
      <c r="A141" s="38">
        <v>0.44722222222222224</v>
      </c>
      <c r="B141" s="36">
        <v>168.0</v>
      </c>
      <c r="C141" s="36">
        <v>21.2</v>
      </c>
      <c r="D141" s="36">
        <v>1801.0</v>
      </c>
      <c r="E141" s="36">
        <v>1862.0</v>
      </c>
      <c r="F141" s="36">
        <v>1.03</v>
      </c>
      <c r="G141" s="36">
        <v>23.0</v>
      </c>
      <c r="H141" s="36">
        <v>1.77</v>
      </c>
      <c r="I141" s="36">
        <v>41.0</v>
      </c>
      <c r="J141" s="36">
        <v>70.0</v>
      </c>
      <c r="K141" s="36">
        <v>128.0</v>
      </c>
      <c r="L141" s="36">
        <v>25.5</v>
      </c>
      <c r="M141" s="36">
        <v>97.0</v>
      </c>
      <c r="N141" s="36">
        <v>63.0</v>
      </c>
      <c r="O141" s="36">
        <v>23.0</v>
      </c>
      <c r="P141" s="36">
        <v>75.0</v>
      </c>
      <c r="Q141" s="36">
        <v>0.42</v>
      </c>
      <c r="R141" s="36">
        <v>1.09</v>
      </c>
      <c r="S141" s="36">
        <v>1.51</v>
      </c>
      <c r="T141" s="36">
        <v>2.59</v>
      </c>
      <c r="U141" s="21">
        <f t="shared" si="1"/>
        <v>2590</v>
      </c>
      <c r="V141" s="21">
        <f t="shared" si="4"/>
        <v>28900</v>
      </c>
    </row>
    <row r="142" ht="14.25" customHeight="1">
      <c r="A142" s="38">
        <v>0.44930555555555557</v>
      </c>
      <c r="B142" s="36">
        <v>169.0</v>
      </c>
      <c r="C142" s="36">
        <v>23.5</v>
      </c>
      <c r="D142" s="36">
        <v>1997.0</v>
      </c>
      <c r="E142" s="36">
        <v>2075.0</v>
      </c>
      <c r="F142" s="36">
        <v>1.04</v>
      </c>
      <c r="G142" s="36">
        <v>22.0</v>
      </c>
      <c r="H142" s="36">
        <v>1.98</v>
      </c>
      <c r="I142" s="36">
        <v>43.2</v>
      </c>
      <c r="J142" s="36">
        <v>68.4</v>
      </c>
      <c r="K142" s="36">
        <v>130.0</v>
      </c>
      <c r="L142" s="36">
        <v>24.7</v>
      </c>
      <c r="M142" s="36">
        <v>95.0</v>
      </c>
      <c r="N142" s="36">
        <v>64.0</v>
      </c>
      <c r="O142" s="36">
        <v>22.0</v>
      </c>
      <c r="P142" s="36">
        <v>83.0</v>
      </c>
      <c r="Q142" s="36">
        <v>0.4</v>
      </c>
      <c r="R142" s="36">
        <v>1.09</v>
      </c>
      <c r="S142" s="36">
        <v>1.67</v>
      </c>
      <c r="T142" s="36">
        <v>2.76</v>
      </c>
      <c r="U142" s="21">
        <f t="shared" si="1"/>
        <v>2760</v>
      </c>
      <c r="V142" s="21">
        <f t="shared" si="4"/>
        <v>100</v>
      </c>
    </row>
    <row r="143" ht="14.25" customHeight="1">
      <c r="A143" s="38">
        <v>0.4513888888888889</v>
      </c>
      <c r="B143" s="36">
        <v>170.0</v>
      </c>
      <c r="C143" s="36">
        <v>24.0</v>
      </c>
      <c r="D143" s="36">
        <v>2044.0</v>
      </c>
      <c r="E143" s="36">
        <v>2152.0</v>
      </c>
      <c r="F143" s="36">
        <v>1.05</v>
      </c>
      <c r="G143" s="36">
        <v>22.0</v>
      </c>
      <c r="H143" s="36">
        <v>2.08</v>
      </c>
      <c r="I143" s="36">
        <v>45.0</v>
      </c>
      <c r="J143" s="36">
        <v>67.1</v>
      </c>
      <c r="K143" s="36">
        <v>131.0</v>
      </c>
      <c r="L143" s="36">
        <v>23.7</v>
      </c>
      <c r="M143" s="36">
        <v>96.0</v>
      </c>
      <c r="N143" s="36">
        <v>64.0</v>
      </c>
      <c r="O143" s="36">
        <v>22.0</v>
      </c>
      <c r="P143" s="36">
        <v>85.0</v>
      </c>
      <c r="Q143" s="36">
        <v>0.39</v>
      </c>
      <c r="R143" s="36">
        <v>1.09</v>
      </c>
      <c r="S143" s="36">
        <v>1.68</v>
      </c>
      <c r="T143" s="36">
        <v>2.77</v>
      </c>
      <c r="U143" s="21">
        <f t="shared" si="1"/>
        <v>2770</v>
      </c>
      <c r="V143" s="21">
        <f t="shared" si="4"/>
        <v>12100</v>
      </c>
    </row>
    <row r="144" ht="14.25" customHeight="1">
      <c r="A144" s="38">
        <v>0.4534722222222222</v>
      </c>
      <c r="B144" s="36">
        <v>171.0</v>
      </c>
      <c r="C144" s="36">
        <v>22.1</v>
      </c>
      <c r="D144" s="36">
        <v>1878.0</v>
      </c>
      <c r="E144" s="36">
        <v>2018.0</v>
      </c>
      <c r="F144" s="36">
        <v>1.07</v>
      </c>
      <c r="G144" s="36">
        <v>23.0</v>
      </c>
      <c r="H144" s="36">
        <v>1.96</v>
      </c>
      <c r="I144" s="36">
        <v>44.3</v>
      </c>
      <c r="J144" s="36">
        <v>67.6</v>
      </c>
      <c r="K144" s="36">
        <v>133.0</v>
      </c>
      <c r="L144" s="36">
        <v>22.8</v>
      </c>
      <c r="M144" s="36">
        <v>98.0</v>
      </c>
      <c r="N144" s="36">
        <v>62.0</v>
      </c>
      <c r="O144" s="36">
        <v>23.0</v>
      </c>
      <c r="P144" s="36">
        <v>78.0</v>
      </c>
      <c r="Q144" s="36">
        <v>0.4</v>
      </c>
      <c r="R144" s="36">
        <v>1.06</v>
      </c>
      <c r="S144" s="36">
        <v>1.6</v>
      </c>
      <c r="T144" s="36">
        <v>2.66</v>
      </c>
      <c r="U144" s="21">
        <f t="shared" si="1"/>
        <v>2660</v>
      </c>
      <c r="V144" s="21">
        <f t="shared" si="4"/>
        <v>14400</v>
      </c>
    </row>
    <row r="145" ht="14.25" customHeight="1">
      <c r="A145" s="38">
        <v>0.45555555555555555</v>
      </c>
      <c r="B145" s="36">
        <v>172.0</v>
      </c>
      <c r="C145" s="36">
        <v>21.9</v>
      </c>
      <c r="D145" s="36">
        <v>1864.0</v>
      </c>
      <c r="E145" s="36">
        <v>2023.0</v>
      </c>
      <c r="F145" s="36">
        <v>1.09</v>
      </c>
      <c r="G145" s="36">
        <v>22.0</v>
      </c>
      <c r="H145" s="36">
        <v>2.02</v>
      </c>
      <c r="I145" s="36">
        <v>43.6</v>
      </c>
      <c r="J145" s="36">
        <v>68.1</v>
      </c>
      <c r="K145" s="36">
        <v>134.0</v>
      </c>
      <c r="L145" s="36">
        <v>22.2</v>
      </c>
      <c r="M145" s="36">
        <v>98.0</v>
      </c>
      <c r="N145" s="36">
        <v>63.0</v>
      </c>
      <c r="O145" s="36">
        <v>22.0</v>
      </c>
      <c r="P145" s="36">
        <v>78.0</v>
      </c>
      <c r="Q145" s="36">
        <v>0.38</v>
      </c>
      <c r="R145" s="36">
        <v>1.06</v>
      </c>
      <c r="S145" s="36">
        <v>1.73</v>
      </c>
      <c r="T145" s="36">
        <v>2.78</v>
      </c>
      <c r="U145" s="21">
        <f t="shared" si="1"/>
        <v>2780</v>
      </c>
      <c r="V145" s="21">
        <f t="shared" si="4"/>
        <v>100</v>
      </c>
    </row>
    <row r="146" ht="14.25" customHeight="1">
      <c r="A146" s="38">
        <v>0.4576388888888889</v>
      </c>
      <c r="B146" s="36">
        <v>173.0</v>
      </c>
      <c r="C146" s="36">
        <v>22.2</v>
      </c>
      <c r="D146" s="36">
        <v>1883.0</v>
      </c>
      <c r="E146" s="36">
        <v>2056.0</v>
      </c>
      <c r="F146" s="36">
        <v>1.09</v>
      </c>
      <c r="G146" s="36">
        <v>22.0</v>
      </c>
      <c r="H146" s="36">
        <v>2.05</v>
      </c>
      <c r="I146" s="36">
        <v>44.3</v>
      </c>
      <c r="J146" s="36">
        <v>67.6</v>
      </c>
      <c r="K146" s="36">
        <v>136.0</v>
      </c>
      <c r="L146" s="36">
        <v>21.1</v>
      </c>
      <c r="M146" s="36">
        <v>98.0</v>
      </c>
      <c r="N146" s="36">
        <v>63.0</v>
      </c>
      <c r="O146" s="36">
        <v>22.0</v>
      </c>
      <c r="P146" s="36">
        <v>78.0</v>
      </c>
      <c r="Q146" s="36">
        <v>0.38</v>
      </c>
      <c r="R146" s="36">
        <v>1.06</v>
      </c>
      <c r="S146" s="36">
        <v>1.71</v>
      </c>
      <c r="T146" s="36">
        <v>2.77</v>
      </c>
      <c r="U146" s="21">
        <f t="shared" si="1"/>
        <v>2770</v>
      </c>
      <c r="V146" s="21">
        <f t="shared" si="4"/>
        <v>78400</v>
      </c>
    </row>
    <row r="147" ht="14.25" customHeight="1">
      <c r="A147" s="38">
        <v>0.45902777777777776</v>
      </c>
      <c r="B147" s="36">
        <v>174.0</v>
      </c>
      <c r="C147" s="36">
        <v>23.6</v>
      </c>
      <c r="D147" s="36">
        <v>2004.0</v>
      </c>
      <c r="E147" s="36">
        <v>2157.0</v>
      </c>
      <c r="F147" s="36">
        <v>1.08</v>
      </c>
      <c r="G147" s="36">
        <v>20.0</v>
      </c>
      <c r="H147" s="36">
        <v>2.25</v>
      </c>
      <c r="I147" s="36">
        <v>44.2</v>
      </c>
      <c r="J147" s="36">
        <v>67.7</v>
      </c>
      <c r="K147" s="36">
        <v>136.0</v>
      </c>
      <c r="L147" s="36">
        <v>21.1</v>
      </c>
      <c r="M147" s="36">
        <v>96.0</v>
      </c>
      <c r="N147" s="36">
        <v>65.0</v>
      </c>
      <c r="O147" s="36">
        <v>20.0</v>
      </c>
      <c r="P147" s="36">
        <v>83.0</v>
      </c>
      <c r="Q147" s="36">
        <v>0.38</v>
      </c>
      <c r="R147" s="36">
        <v>1.15</v>
      </c>
      <c r="S147" s="36">
        <v>1.9</v>
      </c>
      <c r="T147" s="36">
        <v>3.05</v>
      </c>
      <c r="U147" s="21">
        <f t="shared" si="1"/>
        <v>3050</v>
      </c>
      <c r="V147" s="21">
        <f t="shared" si="4"/>
        <v>25600</v>
      </c>
    </row>
    <row r="148" ht="14.25" customHeight="1">
      <c r="A148" s="38">
        <v>0.46111111111111114</v>
      </c>
      <c r="B148" s="36">
        <v>175.0</v>
      </c>
      <c r="C148" s="36">
        <v>24.4</v>
      </c>
      <c r="D148" s="36">
        <v>2075.0</v>
      </c>
      <c r="E148" s="36">
        <v>2237.0</v>
      </c>
      <c r="F148" s="36">
        <v>1.08</v>
      </c>
      <c r="G148" s="36">
        <v>21.0</v>
      </c>
      <c r="H148" s="36">
        <v>2.21</v>
      </c>
      <c r="I148" s="36">
        <v>46.0</v>
      </c>
      <c r="J148" s="36">
        <v>66.4</v>
      </c>
      <c r="K148" s="36">
        <v>136.0</v>
      </c>
      <c r="L148" s="36">
        <v>21.1</v>
      </c>
      <c r="M148" s="36">
        <v>97.0</v>
      </c>
      <c r="N148" s="36">
        <v>64.0</v>
      </c>
      <c r="O148" s="36">
        <v>21.0</v>
      </c>
      <c r="P148" s="36">
        <v>86.0</v>
      </c>
      <c r="Q148" s="36">
        <v>0.38</v>
      </c>
      <c r="R148" s="36">
        <v>1.09</v>
      </c>
      <c r="S148" s="36">
        <v>1.79</v>
      </c>
      <c r="T148" s="36">
        <v>2.89</v>
      </c>
      <c r="U148" s="21">
        <f t="shared" si="1"/>
        <v>2890</v>
      </c>
      <c r="V148" s="21">
        <f t="shared" si="4"/>
        <v>12100</v>
      </c>
    </row>
    <row r="149" ht="14.25" customHeight="1">
      <c r="A149" s="38">
        <v>0.46319444444444446</v>
      </c>
      <c r="B149" s="36">
        <v>176.0</v>
      </c>
      <c r="C149" s="36">
        <v>22.6</v>
      </c>
      <c r="D149" s="36">
        <v>1918.0</v>
      </c>
      <c r="E149" s="36">
        <v>2112.0</v>
      </c>
      <c r="F149" s="36">
        <v>1.1</v>
      </c>
      <c r="G149" s="36">
        <v>22.0</v>
      </c>
      <c r="H149" s="36">
        <v>2.1</v>
      </c>
      <c r="I149" s="36">
        <v>45.3</v>
      </c>
      <c r="J149" s="36">
        <v>66.9</v>
      </c>
      <c r="K149" s="36">
        <v>137.0</v>
      </c>
      <c r="L149" s="36">
        <v>20.4</v>
      </c>
      <c r="M149" s="36">
        <v>99.0</v>
      </c>
      <c r="N149" s="36">
        <v>63.0</v>
      </c>
      <c r="O149" s="36">
        <v>22.0</v>
      </c>
      <c r="P149" s="36">
        <v>80.0</v>
      </c>
      <c r="Q149" s="36">
        <v>0.38</v>
      </c>
      <c r="R149" s="36">
        <v>1.07</v>
      </c>
      <c r="S149" s="36">
        <v>1.71</v>
      </c>
      <c r="T149" s="36">
        <v>2.78</v>
      </c>
      <c r="U149" s="21">
        <f t="shared" si="1"/>
        <v>2780</v>
      </c>
      <c r="V149" s="21">
        <f t="shared" si="4"/>
        <v>1600</v>
      </c>
    </row>
    <row r="150" ht="14.25" customHeight="1">
      <c r="A150" s="38">
        <v>0.4652777777777778</v>
      </c>
      <c r="B150" s="36">
        <v>177.0</v>
      </c>
      <c r="C150" s="36">
        <v>23.6</v>
      </c>
      <c r="D150" s="36">
        <v>2006.0</v>
      </c>
      <c r="E150" s="36">
        <v>2231.0</v>
      </c>
      <c r="F150" s="36">
        <v>1.11</v>
      </c>
      <c r="G150" s="36">
        <v>22.0</v>
      </c>
      <c r="H150" s="36">
        <v>2.15</v>
      </c>
      <c r="I150" s="36">
        <v>47.0</v>
      </c>
      <c r="J150" s="36">
        <v>65.7</v>
      </c>
      <c r="K150" s="36">
        <v>137.0</v>
      </c>
      <c r="L150" s="36">
        <v>20.4</v>
      </c>
      <c r="M150" s="36">
        <v>98.0</v>
      </c>
      <c r="N150" s="36">
        <v>64.0</v>
      </c>
      <c r="O150" s="36">
        <v>22.0</v>
      </c>
      <c r="P150" s="36">
        <v>83.0</v>
      </c>
      <c r="Q150" s="36">
        <v>0.37</v>
      </c>
      <c r="R150" s="36">
        <v>1.02</v>
      </c>
      <c r="S150" s="36">
        <v>1.72</v>
      </c>
      <c r="T150" s="36">
        <v>2.74</v>
      </c>
      <c r="U150" s="21">
        <f t="shared" si="1"/>
        <v>2740</v>
      </c>
      <c r="V150" s="21">
        <f t="shared" si="4"/>
        <v>12100</v>
      </c>
    </row>
    <row r="151" ht="14.25" customHeight="1">
      <c r="A151" s="38">
        <v>0.4666666666666667</v>
      </c>
      <c r="B151" s="36">
        <v>178.0</v>
      </c>
      <c r="C151" s="36">
        <v>24.1</v>
      </c>
      <c r="D151" s="36">
        <v>2053.0</v>
      </c>
      <c r="E151" s="36">
        <v>2296.0</v>
      </c>
      <c r="F151" s="36">
        <v>1.12</v>
      </c>
      <c r="G151" s="36">
        <v>23.0</v>
      </c>
      <c r="H151" s="36">
        <v>2.13</v>
      </c>
      <c r="I151" s="36">
        <v>48.5</v>
      </c>
      <c r="J151" s="36">
        <v>64.5</v>
      </c>
      <c r="K151" s="36">
        <v>140.0</v>
      </c>
      <c r="L151" s="36">
        <v>18.7</v>
      </c>
      <c r="M151" s="36">
        <v>99.0</v>
      </c>
      <c r="N151" s="36">
        <v>64.0</v>
      </c>
      <c r="O151" s="36">
        <v>23.0</v>
      </c>
      <c r="P151" s="36">
        <v>85.0</v>
      </c>
      <c r="Q151" s="36">
        <v>0.39</v>
      </c>
      <c r="R151" s="36">
        <v>1.01</v>
      </c>
      <c r="S151" s="36">
        <v>1.62</v>
      </c>
      <c r="T151" s="36">
        <v>2.63</v>
      </c>
      <c r="U151" s="21">
        <f t="shared" si="1"/>
        <v>2630</v>
      </c>
    </row>
    <row r="152" ht="14.25" customHeight="1">
      <c r="A152" s="36" t="s">
        <v>82</v>
      </c>
    </row>
    <row r="153" ht="14.25" customHeight="1">
      <c r="A153" s="38">
        <v>0.46875</v>
      </c>
      <c r="B153" s="36">
        <v>179.0</v>
      </c>
      <c r="C153" s="36">
        <v>24.9</v>
      </c>
      <c r="D153" s="36">
        <v>2120.0</v>
      </c>
      <c r="E153" s="36">
        <v>2404.0</v>
      </c>
      <c r="F153" s="36">
        <v>1.13</v>
      </c>
      <c r="G153" s="36">
        <v>23.0</v>
      </c>
      <c r="H153" s="36">
        <v>2.21</v>
      </c>
      <c r="I153" s="36">
        <v>51.1</v>
      </c>
      <c r="J153" s="36">
        <v>62.6</v>
      </c>
      <c r="K153" s="36">
        <v>140.0</v>
      </c>
      <c r="L153" s="36">
        <v>18.7</v>
      </c>
      <c r="M153" s="36">
        <v>100.0</v>
      </c>
      <c r="N153" s="36">
        <v>63.0</v>
      </c>
      <c r="O153" s="36">
        <v>23.0</v>
      </c>
      <c r="P153" s="36">
        <v>88.0</v>
      </c>
      <c r="Q153" s="36">
        <v>0.41</v>
      </c>
      <c r="R153" s="36">
        <v>1.07</v>
      </c>
      <c r="S153" s="36">
        <v>1.52</v>
      </c>
      <c r="T153" s="36">
        <v>2.59</v>
      </c>
      <c r="U153" s="21">
        <f t="shared" ref="U153:U180" si="5">(T153*1000)</f>
        <v>2590</v>
      </c>
      <c r="V153" s="21">
        <f>(U153-U154)^2</f>
        <v>48400</v>
      </c>
    </row>
    <row r="154" ht="14.25" customHeight="1">
      <c r="A154" s="38">
        <v>0.4708333333333333</v>
      </c>
      <c r="B154" s="36">
        <v>180.0</v>
      </c>
      <c r="C154" s="36">
        <v>24.2</v>
      </c>
      <c r="D154" s="36">
        <v>2058.0</v>
      </c>
      <c r="E154" s="36">
        <v>2348.0</v>
      </c>
      <c r="F154" s="36">
        <v>1.14</v>
      </c>
      <c r="G154" s="36">
        <v>21.0</v>
      </c>
      <c r="H154" s="36">
        <v>2.28</v>
      </c>
      <c r="I154" s="36">
        <v>48.7</v>
      </c>
      <c r="J154" s="36">
        <v>64.4</v>
      </c>
      <c r="K154" s="36">
        <v>140.0</v>
      </c>
      <c r="L154" s="36">
        <v>18.7</v>
      </c>
      <c r="M154" s="36">
        <v>100.0</v>
      </c>
      <c r="N154" s="36">
        <v>63.0</v>
      </c>
      <c r="O154" s="36">
        <v>21.0</v>
      </c>
      <c r="P154" s="36">
        <v>86.0</v>
      </c>
      <c r="Q154" s="36">
        <v>0.39</v>
      </c>
      <c r="R154" s="36">
        <v>1.1</v>
      </c>
      <c r="S154" s="36">
        <v>1.71</v>
      </c>
      <c r="T154" s="36">
        <v>2.81</v>
      </c>
      <c r="U154" s="21">
        <f t="shared" si="5"/>
        <v>2810</v>
      </c>
      <c r="V154" s="8">
        <v>48400.0</v>
      </c>
    </row>
    <row r="155" ht="14.25" customHeight="1">
      <c r="U155" s="21">
        <f t="shared" si="5"/>
        <v>0</v>
      </c>
    </row>
    <row r="156" ht="14.25" customHeight="1">
      <c r="U156" s="21">
        <f t="shared" si="5"/>
        <v>0</v>
      </c>
    </row>
    <row r="157" ht="14.25" customHeight="1">
      <c r="U157" s="21">
        <f t="shared" si="5"/>
        <v>0</v>
      </c>
    </row>
    <row r="158" ht="14.25" customHeight="1">
      <c r="U158" s="21">
        <f t="shared" si="5"/>
        <v>0</v>
      </c>
    </row>
    <row r="159" ht="14.25" customHeight="1">
      <c r="U159" s="21">
        <f t="shared" si="5"/>
        <v>0</v>
      </c>
    </row>
    <row r="160" ht="14.25" customHeight="1">
      <c r="U160" s="21">
        <f t="shared" si="5"/>
        <v>0</v>
      </c>
    </row>
    <row r="161" ht="14.25" customHeight="1">
      <c r="U161" s="21">
        <f t="shared" si="5"/>
        <v>0</v>
      </c>
    </row>
    <row r="162" ht="14.25" customHeight="1">
      <c r="U162" s="21">
        <f t="shared" si="5"/>
        <v>0</v>
      </c>
    </row>
    <row r="163" ht="14.25" customHeight="1">
      <c r="U163" s="21">
        <f t="shared" si="5"/>
        <v>0</v>
      </c>
    </row>
    <row r="164" ht="14.25" customHeight="1">
      <c r="U164" s="21">
        <f t="shared" si="5"/>
        <v>0</v>
      </c>
    </row>
    <row r="165" ht="14.25" customHeight="1">
      <c r="U165" s="21">
        <f t="shared" si="5"/>
        <v>0</v>
      </c>
    </row>
    <row r="166" ht="14.25" customHeight="1">
      <c r="U166" s="21">
        <f t="shared" si="5"/>
        <v>0</v>
      </c>
    </row>
    <row r="167" ht="14.25" customHeight="1">
      <c r="U167" s="21">
        <f t="shared" si="5"/>
        <v>0</v>
      </c>
    </row>
    <row r="168" ht="14.25" customHeight="1">
      <c r="U168" s="21">
        <f t="shared" si="5"/>
        <v>0</v>
      </c>
    </row>
    <row r="169" ht="14.25" customHeight="1">
      <c r="U169" s="21">
        <f t="shared" si="5"/>
        <v>0</v>
      </c>
    </row>
    <row r="170" ht="14.25" customHeight="1">
      <c r="U170" s="21">
        <f t="shared" si="5"/>
        <v>0</v>
      </c>
    </row>
    <row r="171" ht="14.25" customHeight="1">
      <c r="U171" s="21">
        <f t="shared" si="5"/>
        <v>0</v>
      </c>
    </row>
    <row r="172" ht="14.25" customHeight="1">
      <c r="U172" s="21">
        <f t="shared" si="5"/>
        <v>0</v>
      </c>
    </row>
    <row r="173" ht="14.25" customHeight="1">
      <c r="U173" s="21">
        <f t="shared" si="5"/>
        <v>0</v>
      </c>
    </row>
    <row r="174" ht="14.25" customHeight="1">
      <c r="U174" s="21">
        <f t="shared" si="5"/>
        <v>0</v>
      </c>
    </row>
    <row r="175" ht="14.25" customHeight="1">
      <c r="U175" s="21">
        <f t="shared" si="5"/>
        <v>0</v>
      </c>
    </row>
    <row r="176" ht="14.25" customHeight="1">
      <c r="U176" s="21">
        <f t="shared" si="5"/>
        <v>0</v>
      </c>
    </row>
    <row r="177" ht="14.25" customHeight="1">
      <c r="U177" s="21">
        <f t="shared" si="5"/>
        <v>0</v>
      </c>
    </row>
    <row r="178" ht="14.25" customHeight="1">
      <c r="U178" s="21">
        <f t="shared" si="5"/>
        <v>0</v>
      </c>
    </row>
    <row r="179" ht="14.25" customHeight="1">
      <c r="U179" s="21">
        <f t="shared" si="5"/>
        <v>0</v>
      </c>
    </row>
    <row r="180" ht="14.25" customHeight="1">
      <c r="U180" s="21">
        <f t="shared" si="5"/>
        <v>0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40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V2" s="36"/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  <c r="V3" s="37"/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8" t="s">
        <v>92</v>
      </c>
      <c r="V4" s="8" t="s">
        <v>85</v>
      </c>
      <c r="W4" s="8" t="s">
        <v>52</v>
      </c>
    </row>
    <row r="5" ht="14.25" customHeight="1">
      <c r="A5" s="36" t="s">
        <v>87</v>
      </c>
    </row>
    <row r="6" ht="14.25" customHeight="1">
      <c r="A6" s="38">
        <v>0.27708333333333335</v>
      </c>
      <c r="B6" s="36">
        <v>0.0</v>
      </c>
      <c r="C6" s="36">
        <v>4.2</v>
      </c>
      <c r="D6" s="36">
        <v>257.0</v>
      </c>
      <c r="E6" s="36">
        <v>247.0</v>
      </c>
      <c r="F6" s="36">
        <v>0.96</v>
      </c>
      <c r="G6" s="36">
        <v>18.0</v>
      </c>
      <c r="H6" s="36">
        <v>0.5</v>
      </c>
      <c r="I6" s="36">
        <v>9.0</v>
      </c>
      <c r="J6" s="36">
        <v>95.1</v>
      </c>
      <c r="K6" s="36">
        <v>100.0</v>
      </c>
      <c r="L6" s="36">
        <v>49.4</v>
      </c>
      <c r="M6" s="36">
        <v>102.0</v>
      </c>
      <c r="N6" s="36">
        <v>42.0</v>
      </c>
      <c r="O6" s="36">
        <v>18.0</v>
      </c>
      <c r="P6" s="36">
        <v>10.0</v>
      </c>
      <c r="Q6" s="36">
        <v>0.35</v>
      </c>
      <c r="R6" s="36">
        <v>1.17</v>
      </c>
      <c r="S6" s="36">
        <v>2.16</v>
      </c>
      <c r="T6" s="36">
        <v>3.32</v>
      </c>
      <c r="U6" s="21">
        <f t="shared" ref="U6:U159" si="1">T6*1000</f>
        <v>3320</v>
      </c>
      <c r="V6" s="21">
        <f t="shared" ref="V6:V83" si="2">(U6-U7)^2</f>
        <v>52900</v>
      </c>
      <c r="W6" s="21">
        <f>SQRT(AVERAGE(V6:V83))</f>
        <v>207.1014863</v>
      </c>
    </row>
    <row r="7" ht="14.25" customHeight="1">
      <c r="A7" s="38">
        <v>0.2791666666666667</v>
      </c>
      <c r="B7" s="36">
        <v>0.0</v>
      </c>
      <c r="C7" s="36">
        <v>5.1</v>
      </c>
      <c r="D7" s="36">
        <v>313.0</v>
      </c>
      <c r="E7" s="36">
        <v>300.0</v>
      </c>
      <c r="F7" s="36">
        <v>0.96</v>
      </c>
      <c r="G7" s="36">
        <v>17.0</v>
      </c>
      <c r="H7" s="36">
        <v>0.59</v>
      </c>
      <c r="I7" s="36">
        <v>10.0</v>
      </c>
      <c r="J7" s="36">
        <v>94.5</v>
      </c>
      <c r="K7" s="36">
        <v>102.0</v>
      </c>
      <c r="L7" s="36">
        <v>48.4</v>
      </c>
      <c r="M7" s="36">
        <v>101.0</v>
      </c>
      <c r="N7" s="36">
        <v>42.0</v>
      </c>
      <c r="O7" s="36">
        <v>17.0</v>
      </c>
      <c r="P7" s="36">
        <v>12.0</v>
      </c>
      <c r="Q7" s="36">
        <v>0.36</v>
      </c>
      <c r="R7" s="36">
        <v>1.29</v>
      </c>
      <c r="S7" s="36">
        <v>2.25</v>
      </c>
      <c r="T7" s="36">
        <v>3.55</v>
      </c>
      <c r="U7" s="21">
        <f t="shared" si="1"/>
        <v>3550</v>
      </c>
      <c r="V7" s="21">
        <f t="shared" si="2"/>
        <v>14400</v>
      </c>
    </row>
    <row r="8" ht="14.25" customHeight="1">
      <c r="A8" s="38">
        <v>0.28194444444444444</v>
      </c>
      <c r="B8" s="36">
        <v>0.0</v>
      </c>
      <c r="C8" s="36">
        <v>6.0</v>
      </c>
      <c r="D8" s="36">
        <v>365.0</v>
      </c>
      <c r="E8" s="36">
        <v>353.0</v>
      </c>
      <c r="F8" s="36">
        <v>0.97</v>
      </c>
      <c r="G8" s="36">
        <v>16.0</v>
      </c>
      <c r="H8" s="36">
        <v>0.67</v>
      </c>
      <c r="I8" s="36">
        <v>11.0</v>
      </c>
      <c r="J8" s="36">
        <v>94.0</v>
      </c>
      <c r="K8" s="36">
        <v>105.0</v>
      </c>
      <c r="L8" s="36">
        <v>46.8</v>
      </c>
      <c r="M8" s="36">
        <v>101.0</v>
      </c>
      <c r="N8" s="36">
        <v>43.0</v>
      </c>
      <c r="O8" s="36">
        <v>16.0</v>
      </c>
      <c r="P8" s="36">
        <v>14.0</v>
      </c>
      <c r="Q8" s="36">
        <v>0.35</v>
      </c>
      <c r="R8" s="36">
        <v>1.27</v>
      </c>
      <c r="S8" s="36">
        <v>2.4</v>
      </c>
      <c r="T8" s="36">
        <v>3.67</v>
      </c>
      <c r="U8" s="21">
        <f t="shared" si="1"/>
        <v>3670</v>
      </c>
      <c r="V8" s="21">
        <f t="shared" si="2"/>
        <v>100</v>
      </c>
    </row>
    <row r="9" ht="14.25" customHeight="1">
      <c r="A9" s="38">
        <v>0.2847222222222222</v>
      </c>
      <c r="B9" s="36">
        <v>0.0</v>
      </c>
      <c r="C9" s="36">
        <v>6.3</v>
      </c>
      <c r="D9" s="36">
        <v>382.0</v>
      </c>
      <c r="E9" s="36">
        <v>367.0</v>
      </c>
      <c r="F9" s="36">
        <v>0.96</v>
      </c>
      <c r="G9" s="36">
        <v>16.0</v>
      </c>
      <c r="H9" s="36">
        <v>0.69</v>
      </c>
      <c r="I9" s="36">
        <v>11.2</v>
      </c>
      <c r="J9" s="36">
        <v>93.9</v>
      </c>
      <c r="K9" s="36">
        <v>112.0</v>
      </c>
      <c r="L9" s="36">
        <v>43.1</v>
      </c>
      <c r="M9" s="36">
        <v>101.0</v>
      </c>
      <c r="N9" s="36">
        <v>43.0</v>
      </c>
      <c r="O9" s="36">
        <v>16.0</v>
      </c>
      <c r="P9" s="36">
        <v>15.0</v>
      </c>
      <c r="Q9" s="36">
        <v>0.36</v>
      </c>
      <c r="R9" s="36">
        <v>1.31</v>
      </c>
      <c r="S9" s="36">
        <v>2.36</v>
      </c>
      <c r="T9" s="36">
        <v>3.68</v>
      </c>
      <c r="U9" s="21">
        <f t="shared" si="1"/>
        <v>3680</v>
      </c>
      <c r="V9" s="21">
        <f t="shared" si="2"/>
        <v>52900</v>
      </c>
    </row>
    <row r="10" ht="14.25" customHeight="1">
      <c r="A10" s="38">
        <v>0.2875</v>
      </c>
      <c r="B10" s="36">
        <v>0.0</v>
      </c>
      <c r="C10" s="36">
        <v>6.3</v>
      </c>
      <c r="D10" s="36">
        <v>386.0</v>
      </c>
      <c r="E10" s="36">
        <v>374.0</v>
      </c>
      <c r="F10" s="36">
        <v>0.97</v>
      </c>
      <c r="G10" s="36">
        <v>15.0</v>
      </c>
      <c r="H10" s="36">
        <v>0.72</v>
      </c>
      <c r="I10" s="36">
        <v>11.0</v>
      </c>
      <c r="J10" s="36">
        <v>94.0</v>
      </c>
      <c r="K10" s="36">
        <v>112.0</v>
      </c>
      <c r="L10" s="36">
        <v>43.1</v>
      </c>
      <c r="M10" s="36">
        <v>101.0</v>
      </c>
      <c r="N10" s="36">
        <v>43.0</v>
      </c>
      <c r="O10" s="36">
        <v>15.0</v>
      </c>
      <c r="P10" s="36">
        <v>15.0</v>
      </c>
      <c r="Q10" s="36">
        <v>0.37</v>
      </c>
      <c r="R10" s="36">
        <v>1.45</v>
      </c>
      <c r="S10" s="36">
        <v>2.46</v>
      </c>
      <c r="T10" s="36">
        <v>3.91</v>
      </c>
      <c r="U10" s="21">
        <f t="shared" si="1"/>
        <v>3910</v>
      </c>
      <c r="V10" s="21">
        <f t="shared" si="2"/>
        <v>14400</v>
      </c>
    </row>
    <row r="11" ht="14.25" customHeight="1">
      <c r="A11" s="38">
        <v>0.28958333333333336</v>
      </c>
      <c r="B11" s="36">
        <v>0.0</v>
      </c>
      <c r="C11" s="36">
        <v>6.6</v>
      </c>
      <c r="D11" s="36">
        <v>401.0</v>
      </c>
      <c r="E11" s="36">
        <v>385.0</v>
      </c>
      <c r="F11" s="36">
        <v>0.96</v>
      </c>
      <c r="G11" s="36">
        <v>16.0</v>
      </c>
      <c r="H11" s="36">
        <v>0.71</v>
      </c>
      <c r="I11" s="36">
        <v>11.3</v>
      </c>
      <c r="J11" s="36">
        <v>93.9</v>
      </c>
      <c r="K11" s="36">
        <v>114.0</v>
      </c>
      <c r="L11" s="36">
        <v>42.2</v>
      </c>
      <c r="M11" s="36">
        <v>101.0</v>
      </c>
      <c r="N11" s="36">
        <v>43.0</v>
      </c>
      <c r="O11" s="36">
        <v>16.0</v>
      </c>
      <c r="P11" s="36">
        <v>16.0</v>
      </c>
      <c r="Q11" s="36">
        <v>0.38</v>
      </c>
      <c r="R11" s="36">
        <v>1.43</v>
      </c>
      <c r="S11" s="36">
        <v>2.36</v>
      </c>
      <c r="T11" s="36">
        <v>3.79</v>
      </c>
      <c r="U11" s="21">
        <f t="shared" si="1"/>
        <v>3790</v>
      </c>
      <c r="V11" s="21">
        <f t="shared" si="2"/>
        <v>32400</v>
      </c>
    </row>
    <row r="12" ht="14.25" customHeight="1">
      <c r="A12" s="38">
        <v>0.2923611111111111</v>
      </c>
      <c r="B12" s="36">
        <v>0.0</v>
      </c>
      <c r="C12" s="36">
        <v>6.5</v>
      </c>
      <c r="D12" s="36">
        <v>397.0</v>
      </c>
      <c r="E12" s="36">
        <v>382.0</v>
      </c>
      <c r="F12" s="36">
        <v>0.96</v>
      </c>
      <c r="G12" s="36">
        <v>17.0</v>
      </c>
      <c r="H12" s="36">
        <v>0.66</v>
      </c>
      <c r="I12" s="36">
        <v>11.0</v>
      </c>
      <c r="J12" s="36">
        <v>94.0</v>
      </c>
      <c r="K12" s="36">
        <v>116.0</v>
      </c>
      <c r="L12" s="36">
        <v>41.3</v>
      </c>
      <c r="M12" s="36">
        <v>100.0</v>
      </c>
      <c r="N12" s="36">
        <v>44.0</v>
      </c>
      <c r="O12" s="36">
        <v>17.0</v>
      </c>
      <c r="P12" s="36">
        <v>15.0</v>
      </c>
      <c r="Q12" s="36">
        <v>0.38</v>
      </c>
      <c r="R12" s="36">
        <v>1.36</v>
      </c>
      <c r="S12" s="36">
        <v>2.26</v>
      </c>
      <c r="T12" s="36">
        <v>3.61</v>
      </c>
      <c r="U12" s="21">
        <f t="shared" si="1"/>
        <v>3610</v>
      </c>
      <c r="V12" s="21">
        <f t="shared" si="2"/>
        <v>6400</v>
      </c>
    </row>
    <row r="13" ht="14.25" customHeight="1">
      <c r="A13" s="38">
        <v>0.29444444444444445</v>
      </c>
      <c r="B13" s="36">
        <v>0.0</v>
      </c>
      <c r="C13" s="36">
        <v>6.7</v>
      </c>
      <c r="D13" s="36">
        <v>410.0</v>
      </c>
      <c r="E13" s="36">
        <v>393.0</v>
      </c>
      <c r="F13" s="36">
        <v>0.96</v>
      </c>
      <c r="G13" s="36">
        <v>16.0</v>
      </c>
      <c r="H13" s="36">
        <v>0.67</v>
      </c>
      <c r="I13" s="36">
        <v>11.0</v>
      </c>
      <c r="J13" s="36">
        <v>94.0</v>
      </c>
      <c r="K13" s="36">
        <v>116.0</v>
      </c>
      <c r="L13" s="36">
        <v>41.3</v>
      </c>
      <c r="M13" s="36">
        <v>99.0</v>
      </c>
      <c r="N13" s="36">
        <v>45.0</v>
      </c>
      <c r="O13" s="36">
        <v>16.0</v>
      </c>
      <c r="P13" s="36">
        <v>16.0</v>
      </c>
      <c r="Q13" s="36">
        <v>0.37</v>
      </c>
      <c r="R13" s="36">
        <v>1.37</v>
      </c>
      <c r="S13" s="36">
        <v>2.32</v>
      </c>
      <c r="T13" s="36">
        <v>3.69</v>
      </c>
      <c r="U13" s="21">
        <f t="shared" si="1"/>
        <v>3690</v>
      </c>
      <c r="V13" s="21">
        <f t="shared" si="2"/>
        <v>6400</v>
      </c>
    </row>
    <row r="14" ht="14.25" customHeight="1">
      <c r="A14" s="38">
        <v>0.2972222222222222</v>
      </c>
      <c r="B14" s="36">
        <v>0.0</v>
      </c>
      <c r="C14" s="36">
        <v>6.6</v>
      </c>
      <c r="D14" s="36">
        <v>401.0</v>
      </c>
      <c r="E14" s="36">
        <v>382.0</v>
      </c>
      <c r="F14" s="36">
        <v>0.95</v>
      </c>
      <c r="G14" s="36">
        <v>17.0</v>
      </c>
      <c r="H14" s="36">
        <v>0.64</v>
      </c>
      <c r="I14" s="36">
        <v>10.7</v>
      </c>
      <c r="J14" s="36">
        <v>94.2</v>
      </c>
      <c r="K14" s="36">
        <v>116.0</v>
      </c>
      <c r="L14" s="36">
        <v>41.0</v>
      </c>
      <c r="M14" s="36">
        <v>99.0</v>
      </c>
      <c r="N14" s="36">
        <v>45.0</v>
      </c>
      <c r="O14" s="36">
        <v>17.0</v>
      </c>
      <c r="P14" s="36">
        <v>16.0</v>
      </c>
      <c r="Q14" s="36">
        <v>0.39</v>
      </c>
      <c r="R14" s="36">
        <v>1.42</v>
      </c>
      <c r="S14" s="36">
        <v>2.19</v>
      </c>
      <c r="T14" s="36">
        <v>3.61</v>
      </c>
      <c r="U14" s="21">
        <f t="shared" si="1"/>
        <v>3610</v>
      </c>
      <c r="V14" s="21">
        <f t="shared" si="2"/>
        <v>0</v>
      </c>
    </row>
    <row r="15" ht="14.25" customHeight="1">
      <c r="A15" s="38">
        <v>0.29930555555555555</v>
      </c>
      <c r="B15" s="36">
        <v>0.0</v>
      </c>
      <c r="C15" s="36">
        <v>6.6</v>
      </c>
      <c r="D15" s="36">
        <v>401.0</v>
      </c>
      <c r="E15" s="36">
        <v>382.0</v>
      </c>
      <c r="F15" s="36">
        <v>0.95</v>
      </c>
      <c r="G15" s="36">
        <v>17.0</v>
      </c>
      <c r="H15" s="36">
        <v>0.64</v>
      </c>
      <c r="I15" s="36">
        <v>10.7</v>
      </c>
      <c r="J15" s="36">
        <v>94.2</v>
      </c>
      <c r="K15" s="36">
        <v>117.0</v>
      </c>
      <c r="L15" s="36">
        <v>40.6</v>
      </c>
      <c r="M15" s="36">
        <v>99.0</v>
      </c>
      <c r="N15" s="36">
        <v>45.0</v>
      </c>
      <c r="O15" s="36">
        <v>17.0</v>
      </c>
      <c r="P15" s="36">
        <v>16.0</v>
      </c>
      <c r="Q15" s="36">
        <v>0.39</v>
      </c>
      <c r="R15" s="36">
        <v>1.42</v>
      </c>
      <c r="S15" s="36">
        <v>2.19</v>
      </c>
      <c r="T15" s="36">
        <v>3.61</v>
      </c>
      <c r="U15" s="21">
        <f t="shared" si="1"/>
        <v>3610</v>
      </c>
      <c r="V15" s="21">
        <f t="shared" si="2"/>
        <v>2500</v>
      </c>
    </row>
    <row r="16" ht="14.25" customHeight="1">
      <c r="A16" s="38">
        <v>0.3020833333333333</v>
      </c>
      <c r="B16" s="36">
        <v>0.0</v>
      </c>
      <c r="C16" s="36">
        <v>6.9</v>
      </c>
      <c r="D16" s="36">
        <v>421.0</v>
      </c>
      <c r="E16" s="36">
        <v>398.0</v>
      </c>
      <c r="F16" s="36">
        <v>0.95</v>
      </c>
      <c r="G16" s="36">
        <v>17.0</v>
      </c>
      <c r="H16" s="36">
        <v>0.66</v>
      </c>
      <c r="I16" s="36">
        <v>11.2</v>
      </c>
      <c r="J16" s="36">
        <v>93.9</v>
      </c>
      <c r="K16" s="36">
        <v>117.0</v>
      </c>
      <c r="L16" s="36">
        <v>40.5</v>
      </c>
      <c r="M16" s="36">
        <v>99.0</v>
      </c>
      <c r="N16" s="36">
        <v>45.0</v>
      </c>
      <c r="O16" s="36">
        <v>17.0</v>
      </c>
      <c r="P16" s="36">
        <v>16.0</v>
      </c>
      <c r="Q16" s="36">
        <v>0.41</v>
      </c>
      <c r="R16" s="36">
        <v>1.44</v>
      </c>
      <c r="S16" s="36">
        <v>2.12</v>
      </c>
      <c r="T16" s="36">
        <v>3.56</v>
      </c>
      <c r="U16" s="21">
        <f t="shared" si="1"/>
        <v>3560</v>
      </c>
      <c r="V16" s="21">
        <f t="shared" si="2"/>
        <v>100</v>
      </c>
    </row>
    <row r="17" ht="14.25" customHeight="1">
      <c r="A17" s="38">
        <v>0.30486111111111114</v>
      </c>
      <c r="B17" s="36">
        <v>0.0</v>
      </c>
      <c r="C17" s="36">
        <v>7.0</v>
      </c>
      <c r="D17" s="36">
        <v>425.0</v>
      </c>
      <c r="E17" s="36">
        <v>406.0</v>
      </c>
      <c r="F17" s="36">
        <v>0.96</v>
      </c>
      <c r="G17" s="36">
        <v>17.0</v>
      </c>
      <c r="H17" s="36">
        <v>0.67</v>
      </c>
      <c r="I17" s="36">
        <v>11.3</v>
      </c>
      <c r="J17" s="36">
        <v>93.8</v>
      </c>
      <c r="K17" s="36">
        <v>117.0</v>
      </c>
      <c r="L17" s="36">
        <v>40.8</v>
      </c>
      <c r="M17" s="36">
        <v>98.0</v>
      </c>
      <c r="N17" s="36">
        <v>45.0</v>
      </c>
      <c r="O17" s="36">
        <v>17.0</v>
      </c>
      <c r="P17" s="36">
        <v>17.0</v>
      </c>
      <c r="Q17" s="36">
        <v>0.41</v>
      </c>
      <c r="R17" s="36">
        <v>1.47</v>
      </c>
      <c r="S17" s="36">
        <v>2.09</v>
      </c>
      <c r="T17" s="36">
        <v>3.57</v>
      </c>
      <c r="U17" s="21">
        <f t="shared" si="1"/>
        <v>3570</v>
      </c>
      <c r="V17" s="21">
        <f t="shared" si="2"/>
        <v>2500</v>
      </c>
    </row>
    <row r="18" ht="14.25" customHeight="1">
      <c r="A18" s="38">
        <v>0.3076388888888889</v>
      </c>
      <c r="B18" s="36">
        <v>0.0</v>
      </c>
      <c r="C18" s="36">
        <v>7.2</v>
      </c>
      <c r="D18" s="36">
        <v>437.0</v>
      </c>
      <c r="E18" s="36">
        <v>418.0</v>
      </c>
      <c r="F18" s="36">
        <v>0.96</v>
      </c>
      <c r="G18" s="36">
        <v>17.0</v>
      </c>
      <c r="H18" s="36">
        <v>0.69</v>
      </c>
      <c r="I18" s="36">
        <v>11.5</v>
      </c>
      <c r="J18" s="36">
        <v>93.7</v>
      </c>
      <c r="K18" s="36">
        <v>116.0</v>
      </c>
      <c r="L18" s="36">
        <v>41.0</v>
      </c>
      <c r="M18" s="36">
        <v>98.0</v>
      </c>
      <c r="N18" s="36">
        <v>45.0</v>
      </c>
      <c r="O18" s="36">
        <v>17.0</v>
      </c>
      <c r="P18" s="36">
        <v>17.0</v>
      </c>
      <c r="Q18" s="36">
        <v>0.39</v>
      </c>
      <c r="R18" s="36">
        <v>1.42</v>
      </c>
      <c r="S18" s="36">
        <v>2.2</v>
      </c>
      <c r="T18" s="36">
        <v>3.62</v>
      </c>
      <c r="U18" s="21">
        <f t="shared" si="1"/>
        <v>3620</v>
      </c>
      <c r="V18" s="21">
        <f t="shared" si="2"/>
        <v>8100</v>
      </c>
    </row>
    <row r="19" ht="14.25" customHeight="1">
      <c r="A19" s="38">
        <v>0.30972222222222223</v>
      </c>
      <c r="B19" s="36">
        <v>0.0</v>
      </c>
      <c r="C19" s="36">
        <v>7.0</v>
      </c>
      <c r="D19" s="36">
        <v>428.0</v>
      </c>
      <c r="E19" s="36">
        <v>409.0</v>
      </c>
      <c r="F19" s="36">
        <v>0.96</v>
      </c>
      <c r="G19" s="36">
        <v>17.0</v>
      </c>
      <c r="H19" s="36">
        <v>0.67</v>
      </c>
      <c r="I19" s="36">
        <v>11.4</v>
      </c>
      <c r="J19" s="36">
        <v>93.8</v>
      </c>
      <c r="K19" s="36">
        <v>116.0</v>
      </c>
      <c r="L19" s="36">
        <v>41.1</v>
      </c>
      <c r="M19" s="36">
        <v>98.0</v>
      </c>
      <c r="N19" s="36">
        <v>45.0</v>
      </c>
      <c r="O19" s="36">
        <v>17.0</v>
      </c>
      <c r="P19" s="36">
        <v>17.0</v>
      </c>
      <c r="Q19" s="36">
        <v>0.4</v>
      </c>
      <c r="R19" s="36">
        <v>1.43</v>
      </c>
      <c r="S19" s="36">
        <v>2.1</v>
      </c>
      <c r="T19" s="36">
        <v>3.53</v>
      </c>
      <c r="U19" s="21">
        <f t="shared" si="1"/>
        <v>3530</v>
      </c>
      <c r="V19" s="21">
        <f t="shared" si="2"/>
        <v>100</v>
      </c>
    </row>
    <row r="20" ht="14.25" customHeight="1">
      <c r="A20" s="38">
        <v>0.31180555555555556</v>
      </c>
      <c r="B20" s="36">
        <v>0.0</v>
      </c>
      <c r="C20" s="36">
        <v>6.8</v>
      </c>
      <c r="D20" s="36">
        <v>413.0</v>
      </c>
      <c r="E20" s="36">
        <v>395.0</v>
      </c>
      <c r="F20" s="36">
        <v>0.96</v>
      </c>
      <c r="G20" s="36">
        <v>17.0</v>
      </c>
      <c r="H20" s="36">
        <v>0.65</v>
      </c>
      <c r="I20" s="36">
        <v>11.2</v>
      </c>
      <c r="J20" s="36">
        <v>93.9</v>
      </c>
      <c r="K20" s="36">
        <v>115.0</v>
      </c>
      <c r="L20" s="36">
        <v>41.8</v>
      </c>
      <c r="M20" s="36">
        <v>99.0</v>
      </c>
      <c r="N20" s="36">
        <v>45.0</v>
      </c>
      <c r="O20" s="36">
        <v>17.0</v>
      </c>
      <c r="P20" s="36">
        <v>16.0</v>
      </c>
      <c r="Q20" s="36">
        <v>0.41</v>
      </c>
      <c r="R20" s="36">
        <v>1.43</v>
      </c>
      <c r="S20" s="36">
        <v>2.09</v>
      </c>
      <c r="T20" s="36">
        <v>3.52</v>
      </c>
      <c r="U20" s="21">
        <f t="shared" si="1"/>
        <v>3520</v>
      </c>
      <c r="V20" s="21">
        <f t="shared" si="2"/>
        <v>900</v>
      </c>
    </row>
    <row r="21" ht="14.25" customHeight="1">
      <c r="A21" s="38">
        <v>0.3145833333333333</v>
      </c>
      <c r="B21" s="36">
        <v>0.0</v>
      </c>
      <c r="C21" s="36">
        <v>7.0</v>
      </c>
      <c r="D21" s="36">
        <v>427.0</v>
      </c>
      <c r="E21" s="36">
        <v>407.0</v>
      </c>
      <c r="F21" s="36">
        <v>0.95</v>
      </c>
      <c r="G21" s="36">
        <v>17.0</v>
      </c>
      <c r="H21" s="36">
        <v>0.66</v>
      </c>
      <c r="I21" s="36">
        <v>11.4</v>
      </c>
      <c r="J21" s="36">
        <v>93.8</v>
      </c>
      <c r="K21" s="36">
        <v>113.0</v>
      </c>
      <c r="L21" s="36">
        <v>42.5</v>
      </c>
      <c r="M21" s="36">
        <v>98.0</v>
      </c>
      <c r="N21" s="36">
        <v>45.0</v>
      </c>
      <c r="O21" s="36">
        <v>17.0</v>
      </c>
      <c r="P21" s="36">
        <v>17.0</v>
      </c>
      <c r="Q21" s="36">
        <v>0.38</v>
      </c>
      <c r="R21" s="36">
        <v>1.34</v>
      </c>
      <c r="S21" s="36">
        <v>2.15</v>
      </c>
      <c r="T21" s="36">
        <v>3.49</v>
      </c>
      <c r="U21" s="21">
        <f t="shared" si="1"/>
        <v>3490</v>
      </c>
      <c r="V21" s="21">
        <f t="shared" si="2"/>
        <v>44100</v>
      </c>
    </row>
    <row r="22" ht="14.25" customHeight="1">
      <c r="A22" s="38">
        <v>0.3173611111111111</v>
      </c>
      <c r="B22" s="36">
        <v>0.0</v>
      </c>
      <c r="C22" s="36">
        <v>6.9</v>
      </c>
      <c r="D22" s="36">
        <v>420.0</v>
      </c>
      <c r="E22" s="36">
        <v>400.0</v>
      </c>
      <c r="F22" s="36">
        <v>0.95</v>
      </c>
      <c r="G22" s="36">
        <v>16.0</v>
      </c>
      <c r="H22" s="36">
        <v>0.68</v>
      </c>
      <c r="I22" s="36">
        <v>11.1</v>
      </c>
      <c r="J22" s="36">
        <v>93.9</v>
      </c>
      <c r="K22" s="36">
        <v>113.0</v>
      </c>
      <c r="L22" s="36">
        <v>42.4</v>
      </c>
      <c r="M22" s="36">
        <v>98.0</v>
      </c>
      <c r="N22" s="36">
        <v>46.0</v>
      </c>
      <c r="O22" s="36">
        <v>16.0</v>
      </c>
      <c r="P22" s="36">
        <v>16.0</v>
      </c>
      <c r="Q22" s="36">
        <v>0.41</v>
      </c>
      <c r="R22" s="36">
        <v>1.53</v>
      </c>
      <c r="S22" s="36">
        <v>2.17</v>
      </c>
      <c r="T22" s="36">
        <v>3.7</v>
      </c>
      <c r="U22" s="21">
        <f t="shared" si="1"/>
        <v>3700</v>
      </c>
      <c r="V22" s="21">
        <f t="shared" si="2"/>
        <v>100</v>
      </c>
    </row>
    <row r="23" ht="14.25" customHeight="1">
      <c r="A23" s="38">
        <v>0.32013888888888886</v>
      </c>
      <c r="B23" s="36">
        <v>0.0</v>
      </c>
      <c r="C23" s="36">
        <v>7.3</v>
      </c>
      <c r="D23" s="36">
        <v>447.0</v>
      </c>
      <c r="E23" s="36">
        <v>426.0</v>
      </c>
      <c r="F23" s="36">
        <v>0.95</v>
      </c>
      <c r="G23" s="36">
        <v>16.0</v>
      </c>
      <c r="H23" s="36">
        <v>0.71</v>
      </c>
      <c r="I23" s="36">
        <v>11.6</v>
      </c>
      <c r="J23" s="36">
        <v>93.7</v>
      </c>
      <c r="K23" s="36">
        <v>112.0</v>
      </c>
      <c r="L23" s="36">
        <v>43.2</v>
      </c>
      <c r="M23" s="36">
        <v>98.0</v>
      </c>
      <c r="N23" s="36">
        <v>46.0</v>
      </c>
      <c r="O23" s="36">
        <v>16.0</v>
      </c>
      <c r="P23" s="36">
        <v>17.0</v>
      </c>
      <c r="Q23" s="36">
        <v>0.42</v>
      </c>
      <c r="R23" s="36">
        <v>1.56</v>
      </c>
      <c r="S23" s="36">
        <v>2.14</v>
      </c>
      <c r="T23" s="36">
        <v>3.69</v>
      </c>
      <c r="U23" s="21">
        <f t="shared" si="1"/>
        <v>3690</v>
      </c>
      <c r="V23" s="21">
        <f t="shared" si="2"/>
        <v>2500</v>
      </c>
    </row>
    <row r="24" ht="14.25" customHeight="1">
      <c r="A24" s="38">
        <v>0.32222222222222224</v>
      </c>
      <c r="B24" s="36">
        <v>0.0</v>
      </c>
      <c r="C24" s="36">
        <v>7.6</v>
      </c>
      <c r="D24" s="36">
        <v>466.0</v>
      </c>
      <c r="E24" s="36">
        <v>438.0</v>
      </c>
      <c r="F24" s="36">
        <v>0.94</v>
      </c>
      <c r="G24" s="36">
        <v>16.0</v>
      </c>
      <c r="H24" s="36">
        <v>0.73</v>
      </c>
      <c r="I24" s="36">
        <v>11.8</v>
      </c>
      <c r="J24" s="36">
        <v>93.6</v>
      </c>
      <c r="K24" s="36">
        <v>111.0</v>
      </c>
      <c r="L24" s="36">
        <v>43.6</v>
      </c>
      <c r="M24" s="36">
        <v>98.0</v>
      </c>
      <c r="N24" s="36">
        <v>46.0</v>
      </c>
      <c r="O24" s="36">
        <v>16.0</v>
      </c>
      <c r="P24" s="36">
        <v>18.0</v>
      </c>
      <c r="Q24" s="36">
        <v>0.42</v>
      </c>
      <c r="R24" s="36">
        <v>1.58</v>
      </c>
      <c r="S24" s="36">
        <v>2.16</v>
      </c>
      <c r="T24" s="36">
        <v>3.74</v>
      </c>
      <c r="U24" s="21">
        <f t="shared" si="1"/>
        <v>3740</v>
      </c>
      <c r="V24" s="21">
        <f t="shared" si="2"/>
        <v>32400</v>
      </c>
    </row>
    <row r="25" ht="14.25" customHeight="1">
      <c r="A25" s="38">
        <v>0.325</v>
      </c>
      <c r="B25" s="36">
        <v>0.0</v>
      </c>
      <c r="C25" s="36">
        <v>7.0</v>
      </c>
      <c r="D25" s="36">
        <v>428.0</v>
      </c>
      <c r="E25" s="36">
        <v>401.0</v>
      </c>
      <c r="F25" s="36">
        <v>0.94</v>
      </c>
      <c r="G25" s="36">
        <v>17.0</v>
      </c>
      <c r="H25" s="36">
        <v>0.66</v>
      </c>
      <c r="I25" s="36">
        <v>11.1</v>
      </c>
      <c r="J25" s="36">
        <v>93.9</v>
      </c>
      <c r="K25" s="36">
        <v>110.0</v>
      </c>
      <c r="L25" s="36">
        <v>44.2</v>
      </c>
      <c r="M25" s="36">
        <v>97.0</v>
      </c>
      <c r="N25" s="36">
        <v>46.0</v>
      </c>
      <c r="O25" s="36">
        <v>17.0</v>
      </c>
      <c r="P25" s="36">
        <v>17.0</v>
      </c>
      <c r="Q25" s="36">
        <v>0.42</v>
      </c>
      <c r="R25" s="36">
        <v>1.49</v>
      </c>
      <c r="S25" s="36">
        <v>2.07</v>
      </c>
      <c r="T25" s="36">
        <v>3.56</v>
      </c>
      <c r="U25" s="21">
        <f t="shared" si="1"/>
        <v>3560</v>
      </c>
      <c r="V25" s="21">
        <f t="shared" si="2"/>
        <v>8100</v>
      </c>
    </row>
    <row r="26" ht="14.25" customHeight="1">
      <c r="A26" s="38">
        <v>0.32708333333333334</v>
      </c>
      <c r="B26" s="36">
        <v>0.0</v>
      </c>
      <c r="C26" s="36">
        <v>7.7</v>
      </c>
      <c r="D26" s="36">
        <v>468.0</v>
      </c>
      <c r="E26" s="36">
        <v>437.0</v>
      </c>
      <c r="F26" s="36">
        <v>0.93</v>
      </c>
      <c r="G26" s="36">
        <v>16.0</v>
      </c>
      <c r="H26" s="36">
        <v>0.72</v>
      </c>
      <c r="I26" s="36">
        <v>11.8</v>
      </c>
      <c r="J26" s="36">
        <v>93.6</v>
      </c>
      <c r="K26" s="36">
        <v>109.0</v>
      </c>
      <c r="L26" s="36">
        <v>44.6</v>
      </c>
      <c r="M26" s="36">
        <v>97.0</v>
      </c>
      <c r="N26" s="36">
        <v>47.0</v>
      </c>
      <c r="O26" s="36">
        <v>16.0</v>
      </c>
      <c r="P26" s="36">
        <v>18.0</v>
      </c>
      <c r="Q26" s="36">
        <v>0.42</v>
      </c>
      <c r="R26" s="36">
        <v>1.53</v>
      </c>
      <c r="S26" s="36">
        <v>2.12</v>
      </c>
      <c r="T26" s="36">
        <v>3.65</v>
      </c>
      <c r="U26" s="21">
        <f t="shared" si="1"/>
        <v>3650</v>
      </c>
      <c r="V26" s="21">
        <f t="shared" si="2"/>
        <v>6400</v>
      </c>
    </row>
    <row r="27" ht="14.25" customHeight="1">
      <c r="A27" s="38">
        <v>0.3298611111111111</v>
      </c>
      <c r="B27" s="36">
        <v>0.0</v>
      </c>
      <c r="C27" s="36">
        <v>8.3</v>
      </c>
      <c r="D27" s="36">
        <v>509.0</v>
      </c>
      <c r="E27" s="36">
        <v>479.0</v>
      </c>
      <c r="F27" s="36">
        <v>0.94</v>
      </c>
      <c r="G27" s="36">
        <v>16.0</v>
      </c>
      <c r="H27" s="36">
        <v>0.78</v>
      </c>
      <c r="I27" s="36">
        <v>12.6</v>
      </c>
      <c r="J27" s="36">
        <v>93.1</v>
      </c>
      <c r="K27" s="36">
        <v>109.0</v>
      </c>
      <c r="L27" s="36">
        <v>44.7</v>
      </c>
      <c r="M27" s="36">
        <v>97.0</v>
      </c>
      <c r="N27" s="36">
        <v>47.0</v>
      </c>
      <c r="O27" s="36">
        <v>16.0</v>
      </c>
      <c r="P27" s="36">
        <v>20.0</v>
      </c>
      <c r="Q27" s="36">
        <v>0.41</v>
      </c>
      <c r="R27" s="36">
        <v>1.54</v>
      </c>
      <c r="S27" s="36">
        <v>2.2</v>
      </c>
      <c r="T27" s="36">
        <v>3.73</v>
      </c>
      <c r="U27" s="21">
        <f t="shared" si="1"/>
        <v>3730</v>
      </c>
      <c r="V27" s="21">
        <f t="shared" si="2"/>
        <v>1600</v>
      </c>
    </row>
    <row r="28" ht="14.25" customHeight="1">
      <c r="A28" s="38">
        <v>0.33194444444444443</v>
      </c>
      <c r="B28" s="36">
        <v>0.0</v>
      </c>
      <c r="C28" s="36">
        <v>8.5</v>
      </c>
      <c r="D28" s="36">
        <v>517.0</v>
      </c>
      <c r="E28" s="36">
        <v>487.0</v>
      </c>
      <c r="F28" s="36">
        <v>0.94</v>
      </c>
      <c r="G28" s="36">
        <v>16.0</v>
      </c>
      <c r="H28" s="36">
        <v>0.8</v>
      </c>
      <c r="I28" s="36">
        <v>12.7</v>
      </c>
      <c r="J28" s="36">
        <v>93.1</v>
      </c>
      <c r="K28" s="36">
        <v>110.0</v>
      </c>
      <c r="L28" s="36">
        <v>44.2</v>
      </c>
      <c r="M28" s="36">
        <v>97.0</v>
      </c>
      <c r="N28" s="36">
        <v>47.0</v>
      </c>
      <c r="O28" s="36">
        <v>16.0</v>
      </c>
      <c r="P28" s="36">
        <v>20.0</v>
      </c>
      <c r="Q28" s="36">
        <v>0.42</v>
      </c>
      <c r="R28" s="36">
        <v>1.6</v>
      </c>
      <c r="S28" s="36">
        <v>2.17</v>
      </c>
      <c r="T28" s="36">
        <v>3.77</v>
      </c>
      <c r="U28" s="21">
        <f t="shared" si="1"/>
        <v>3770</v>
      </c>
      <c r="V28" s="21">
        <f t="shared" si="2"/>
        <v>122500</v>
      </c>
    </row>
    <row r="29" ht="14.25" customHeight="1">
      <c r="A29" s="38">
        <v>0.33402777777777776</v>
      </c>
      <c r="B29" s="36">
        <v>0.0</v>
      </c>
      <c r="C29" s="36">
        <v>8.6</v>
      </c>
      <c r="D29" s="36">
        <v>525.0</v>
      </c>
      <c r="E29" s="36">
        <v>500.0</v>
      </c>
      <c r="F29" s="36">
        <v>0.95</v>
      </c>
      <c r="G29" s="36">
        <v>18.0</v>
      </c>
      <c r="H29" s="36">
        <v>0.75</v>
      </c>
      <c r="I29" s="36">
        <v>13.2</v>
      </c>
      <c r="J29" s="36">
        <v>92.8</v>
      </c>
      <c r="K29" s="36">
        <v>109.0</v>
      </c>
      <c r="L29" s="36">
        <v>44.5</v>
      </c>
      <c r="M29" s="36">
        <v>97.0</v>
      </c>
      <c r="N29" s="36">
        <v>47.0</v>
      </c>
      <c r="O29" s="36">
        <v>18.0</v>
      </c>
      <c r="P29" s="36">
        <v>20.0</v>
      </c>
      <c r="Q29" s="36">
        <v>0.4</v>
      </c>
      <c r="R29" s="36">
        <v>1.38</v>
      </c>
      <c r="S29" s="36">
        <v>2.04</v>
      </c>
      <c r="T29" s="36">
        <v>3.42</v>
      </c>
      <c r="U29" s="21">
        <f t="shared" si="1"/>
        <v>3420</v>
      </c>
      <c r="V29" s="21">
        <f t="shared" si="2"/>
        <v>8100</v>
      </c>
    </row>
    <row r="30" ht="14.25" customHeight="1">
      <c r="A30" s="38">
        <v>0.33611111111111114</v>
      </c>
      <c r="B30" s="36">
        <v>0.0</v>
      </c>
      <c r="C30" s="36">
        <v>7.9</v>
      </c>
      <c r="D30" s="36">
        <v>480.0</v>
      </c>
      <c r="E30" s="36">
        <v>454.0</v>
      </c>
      <c r="F30" s="36">
        <v>0.94</v>
      </c>
      <c r="G30" s="36">
        <v>18.0</v>
      </c>
      <c r="H30" s="36">
        <v>0.69</v>
      </c>
      <c r="I30" s="36">
        <v>12.3</v>
      </c>
      <c r="J30" s="36">
        <v>93.3</v>
      </c>
      <c r="K30" s="36">
        <v>109.0</v>
      </c>
      <c r="L30" s="36">
        <v>44.5</v>
      </c>
      <c r="M30" s="36">
        <v>97.0</v>
      </c>
      <c r="N30" s="36">
        <v>47.0</v>
      </c>
      <c r="O30" s="36">
        <v>18.0</v>
      </c>
      <c r="P30" s="36">
        <v>19.0</v>
      </c>
      <c r="Q30" s="36">
        <v>0.41</v>
      </c>
      <c r="R30" s="36">
        <v>1.37</v>
      </c>
      <c r="S30" s="36">
        <v>1.96</v>
      </c>
      <c r="T30" s="36">
        <v>3.33</v>
      </c>
      <c r="U30" s="21">
        <f t="shared" si="1"/>
        <v>3330</v>
      </c>
      <c r="V30" s="21">
        <f t="shared" si="2"/>
        <v>10000</v>
      </c>
    </row>
    <row r="31" ht="14.25" customHeight="1">
      <c r="A31" s="38">
        <v>0.33819444444444446</v>
      </c>
      <c r="B31" s="36">
        <v>0.0</v>
      </c>
      <c r="C31" s="36">
        <v>8.3</v>
      </c>
      <c r="D31" s="36">
        <v>503.0</v>
      </c>
      <c r="E31" s="36">
        <v>476.0</v>
      </c>
      <c r="F31" s="36">
        <v>0.95</v>
      </c>
      <c r="G31" s="36">
        <v>19.0</v>
      </c>
      <c r="H31" s="36">
        <v>0.69</v>
      </c>
      <c r="I31" s="36">
        <v>12.9</v>
      </c>
      <c r="J31" s="36">
        <v>93.0</v>
      </c>
      <c r="K31" s="36">
        <v>111.0</v>
      </c>
      <c r="L31" s="36">
        <v>43.7</v>
      </c>
      <c r="M31" s="36">
        <v>97.0</v>
      </c>
      <c r="N31" s="36">
        <v>47.0</v>
      </c>
      <c r="O31" s="36">
        <v>19.0</v>
      </c>
      <c r="P31" s="36">
        <v>20.0</v>
      </c>
      <c r="Q31" s="36">
        <v>0.4</v>
      </c>
      <c r="R31" s="36">
        <v>1.3</v>
      </c>
      <c r="S31" s="36">
        <v>1.93</v>
      </c>
      <c r="T31" s="36">
        <v>3.23</v>
      </c>
      <c r="U31" s="21">
        <f t="shared" si="1"/>
        <v>3230</v>
      </c>
      <c r="V31" s="21">
        <f t="shared" si="2"/>
        <v>84100</v>
      </c>
    </row>
    <row r="32" ht="14.25" customHeight="1">
      <c r="A32" s="38">
        <v>0.3416666666666667</v>
      </c>
      <c r="B32" s="36">
        <v>0.0</v>
      </c>
      <c r="C32" s="36">
        <v>8.5</v>
      </c>
      <c r="D32" s="36">
        <v>520.0</v>
      </c>
      <c r="E32" s="36">
        <v>496.0</v>
      </c>
      <c r="F32" s="36">
        <v>0.95</v>
      </c>
      <c r="G32" s="36">
        <v>17.0</v>
      </c>
      <c r="H32" s="36">
        <v>0.77</v>
      </c>
      <c r="I32" s="36">
        <v>13.1</v>
      </c>
      <c r="J32" s="36">
        <v>92.9</v>
      </c>
      <c r="K32" s="36">
        <v>111.0</v>
      </c>
      <c r="L32" s="36">
        <v>43.7</v>
      </c>
      <c r="M32" s="36">
        <v>97.0</v>
      </c>
      <c r="N32" s="36">
        <v>47.0</v>
      </c>
      <c r="O32" s="36">
        <v>17.0</v>
      </c>
      <c r="P32" s="36">
        <v>20.0</v>
      </c>
      <c r="Q32" s="36">
        <v>0.42</v>
      </c>
      <c r="R32" s="36">
        <v>1.46</v>
      </c>
      <c r="S32" s="36">
        <v>2.06</v>
      </c>
      <c r="T32" s="36">
        <v>3.52</v>
      </c>
      <c r="U32" s="21">
        <f t="shared" si="1"/>
        <v>3520</v>
      </c>
      <c r="V32" s="21">
        <f t="shared" si="2"/>
        <v>12100</v>
      </c>
    </row>
    <row r="33" ht="14.25" customHeight="1">
      <c r="A33" s="38">
        <v>0.34375</v>
      </c>
      <c r="B33" s="36">
        <v>0.0</v>
      </c>
      <c r="C33" s="36">
        <v>8.4</v>
      </c>
      <c r="D33" s="36">
        <v>512.0</v>
      </c>
      <c r="E33" s="36">
        <v>491.0</v>
      </c>
      <c r="F33" s="36">
        <v>0.96</v>
      </c>
      <c r="G33" s="36">
        <v>18.0</v>
      </c>
      <c r="H33" s="36">
        <v>0.74</v>
      </c>
      <c r="I33" s="36">
        <v>13.1</v>
      </c>
      <c r="J33" s="36">
        <v>92.9</v>
      </c>
      <c r="K33" s="36">
        <v>111.0</v>
      </c>
      <c r="L33" s="36">
        <v>43.5</v>
      </c>
      <c r="M33" s="36">
        <v>97.0</v>
      </c>
      <c r="N33" s="36">
        <v>47.0</v>
      </c>
      <c r="O33" s="36">
        <v>18.0</v>
      </c>
      <c r="P33" s="36">
        <v>20.0</v>
      </c>
      <c r="Q33" s="36">
        <v>0.42</v>
      </c>
      <c r="R33" s="36">
        <v>1.43</v>
      </c>
      <c r="S33" s="36">
        <v>1.99</v>
      </c>
      <c r="T33" s="36">
        <v>3.41</v>
      </c>
      <c r="U33" s="21">
        <f t="shared" si="1"/>
        <v>3410</v>
      </c>
      <c r="V33" s="21">
        <f t="shared" si="2"/>
        <v>25600</v>
      </c>
    </row>
    <row r="34" ht="14.25" customHeight="1">
      <c r="A34" s="38">
        <v>0.34652777777777777</v>
      </c>
      <c r="B34" s="36">
        <v>0.0</v>
      </c>
      <c r="C34" s="36">
        <v>8.0</v>
      </c>
      <c r="D34" s="36">
        <v>490.0</v>
      </c>
      <c r="E34" s="36">
        <v>472.0</v>
      </c>
      <c r="F34" s="36">
        <v>0.96</v>
      </c>
      <c r="G34" s="36">
        <v>17.0</v>
      </c>
      <c r="H34" s="36">
        <v>0.74</v>
      </c>
      <c r="I34" s="36">
        <v>12.5</v>
      </c>
      <c r="J34" s="36">
        <v>93.2</v>
      </c>
      <c r="K34" s="36">
        <v>110.0</v>
      </c>
      <c r="L34" s="36">
        <v>44.0</v>
      </c>
      <c r="M34" s="36">
        <v>97.0</v>
      </c>
      <c r="N34" s="36">
        <v>47.0</v>
      </c>
      <c r="O34" s="36">
        <v>17.0</v>
      </c>
      <c r="P34" s="36">
        <v>19.0</v>
      </c>
      <c r="Q34" s="36">
        <v>0.42</v>
      </c>
      <c r="R34" s="36">
        <v>1.49</v>
      </c>
      <c r="S34" s="36">
        <v>2.08</v>
      </c>
      <c r="T34" s="36">
        <v>3.57</v>
      </c>
      <c r="U34" s="21">
        <f t="shared" si="1"/>
        <v>3570</v>
      </c>
      <c r="V34" s="21">
        <f t="shared" si="2"/>
        <v>900</v>
      </c>
    </row>
    <row r="35" ht="14.25" customHeight="1">
      <c r="A35" s="38">
        <v>0.3486111111111111</v>
      </c>
      <c r="B35" s="36">
        <v>0.0</v>
      </c>
      <c r="C35" s="36">
        <v>7.6</v>
      </c>
      <c r="D35" s="36">
        <v>465.0</v>
      </c>
      <c r="E35" s="36">
        <v>449.0</v>
      </c>
      <c r="F35" s="36">
        <v>0.97</v>
      </c>
      <c r="G35" s="36">
        <v>17.0</v>
      </c>
      <c r="H35" s="36">
        <v>0.72</v>
      </c>
      <c r="I35" s="36">
        <v>12.0</v>
      </c>
      <c r="J35" s="36">
        <v>93.4</v>
      </c>
      <c r="K35" s="36">
        <v>110.0</v>
      </c>
      <c r="L35" s="36">
        <v>44.3</v>
      </c>
      <c r="M35" s="36">
        <v>97.0</v>
      </c>
      <c r="N35" s="36">
        <v>47.0</v>
      </c>
      <c r="O35" s="36">
        <v>17.0</v>
      </c>
      <c r="P35" s="36">
        <v>18.0</v>
      </c>
      <c r="Q35" s="36">
        <v>0.42</v>
      </c>
      <c r="R35" s="36">
        <v>1.53</v>
      </c>
      <c r="S35" s="36">
        <v>2.07</v>
      </c>
      <c r="T35" s="36">
        <v>3.6</v>
      </c>
      <c r="U35" s="21">
        <f t="shared" si="1"/>
        <v>3600</v>
      </c>
      <c r="V35" s="21">
        <f t="shared" si="2"/>
        <v>115600</v>
      </c>
    </row>
    <row r="36" ht="14.25" customHeight="1">
      <c r="A36" s="38">
        <v>0.35208333333333336</v>
      </c>
      <c r="B36" s="36">
        <v>0.0</v>
      </c>
      <c r="C36" s="36">
        <v>8.0</v>
      </c>
      <c r="D36" s="36">
        <v>491.0</v>
      </c>
      <c r="E36" s="36">
        <v>469.0</v>
      </c>
      <c r="F36" s="36">
        <v>0.96</v>
      </c>
      <c r="G36" s="36">
        <v>15.0</v>
      </c>
      <c r="H36" s="36">
        <v>0.8</v>
      </c>
      <c r="I36" s="36">
        <v>12.2</v>
      </c>
      <c r="J36" s="36">
        <v>93.4</v>
      </c>
      <c r="K36" s="36">
        <v>109.0</v>
      </c>
      <c r="L36" s="36">
        <v>44.5</v>
      </c>
      <c r="M36" s="36">
        <v>97.0</v>
      </c>
      <c r="N36" s="36">
        <v>47.0</v>
      </c>
      <c r="O36" s="36">
        <v>15.0</v>
      </c>
      <c r="P36" s="36">
        <v>19.0</v>
      </c>
      <c r="Q36" s="36">
        <v>0.43</v>
      </c>
      <c r="R36" s="36">
        <v>1.7</v>
      </c>
      <c r="S36" s="36">
        <v>2.24</v>
      </c>
      <c r="T36" s="36">
        <v>3.94</v>
      </c>
      <c r="U36" s="21">
        <f t="shared" si="1"/>
        <v>3940</v>
      </c>
      <c r="V36" s="21">
        <f t="shared" si="2"/>
        <v>400</v>
      </c>
    </row>
    <row r="37" ht="14.25" customHeight="1">
      <c r="A37" s="38">
        <v>0.3541666666666667</v>
      </c>
      <c r="B37" s="36">
        <v>0.0</v>
      </c>
      <c r="C37" s="36">
        <v>8.3</v>
      </c>
      <c r="D37" s="36">
        <v>507.0</v>
      </c>
      <c r="E37" s="36">
        <v>483.0</v>
      </c>
      <c r="F37" s="36">
        <v>0.95</v>
      </c>
      <c r="G37" s="36">
        <v>15.0</v>
      </c>
      <c r="H37" s="36">
        <v>0.81</v>
      </c>
      <c r="I37" s="36">
        <v>12.5</v>
      </c>
      <c r="J37" s="36">
        <v>93.2</v>
      </c>
      <c r="K37" s="36">
        <v>108.0</v>
      </c>
      <c r="L37" s="36">
        <v>45.1</v>
      </c>
      <c r="M37" s="36">
        <v>97.0</v>
      </c>
      <c r="N37" s="36">
        <v>47.0</v>
      </c>
      <c r="O37" s="36">
        <v>15.0</v>
      </c>
      <c r="P37" s="36">
        <v>20.0</v>
      </c>
      <c r="Q37" s="36">
        <v>0.42</v>
      </c>
      <c r="R37" s="36">
        <v>1.65</v>
      </c>
      <c r="S37" s="36">
        <v>2.28</v>
      </c>
      <c r="T37" s="36">
        <v>3.92</v>
      </c>
      <c r="U37" s="21">
        <f t="shared" si="1"/>
        <v>3920</v>
      </c>
      <c r="V37" s="21">
        <f t="shared" si="2"/>
        <v>52900</v>
      </c>
    </row>
    <row r="38" ht="14.25" customHeight="1">
      <c r="A38" s="38">
        <v>0.35625</v>
      </c>
      <c r="B38" s="36">
        <v>0.0</v>
      </c>
      <c r="C38" s="36">
        <v>7.8</v>
      </c>
      <c r="D38" s="36">
        <v>474.0</v>
      </c>
      <c r="E38" s="36">
        <v>453.0</v>
      </c>
      <c r="F38" s="36">
        <v>0.95</v>
      </c>
      <c r="G38" s="36">
        <v>16.0</v>
      </c>
      <c r="H38" s="36">
        <v>0.74</v>
      </c>
      <c r="I38" s="36">
        <v>12.0</v>
      </c>
      <c r="J38" s="36">
        <v>93.4</v>
      </c>
      <c r="K38" s="36">
        <v>108.0</v>
      </c>
      <c r="L38" s="36">
        <v>45.1</v>
      </c>
      <c r="M38" s="36">
        <v>97.0</v>
      </c>
      <c r="N38" s="36">
        <v>47.0</v>
      </c>
      <c r="O38" s="36">
        <v>16.0</v>
      </c>
      <c r="P38" s="36">
        <v>18.0</v>
      </c>
      <c r="Q38" s="36">
        <v>0.42</v>
      </c>
      <c r="R38" s="36">
        <v>1.55</v>
      </c>
      <c r="S38" s="36">
        <v>2.14</v>
      </c>
      <c r="T38" s="36">
        <v>3.69</v>
      </c>
      <c r="U38" s="21">
        <f t="shared" si="1"/>
        <v>3690</v>
      </c>
      <c r="V38" s="21">
        <f t="shared" si="2"/>
        <v>1600</v>
      </c>
    </row>
    <row r="39" ht="14.25" customHeight="1">
      <c r="A39" s="38">
        <v>0.36041666666666666</v>
      </c>
      <c r="B39" s="36">
        <v>0.0</v>
      </c>
      <c r="C39" s="36">
        <v>8.0</v>
      </c>
      <c r="D39" s="36">
        <v>487.0</v>
      </c>
      <c r="E39" s="36">
        <v>463.0</v>
      </c>
      <c r="F39" s="36">
        <v>0.95</v>
      </c>
      <c r="G39" s="36">
        <v>16.0</v>
      </c>
      <c r="H39" s="36">
        <v>0.74</v>
      </c>
      <c r="I39" s="36">
        <v>12.2</v>
      </c>
      <c r="J39" s="36">
        <v>93.3</v>
      </c>
      <c r="K39" s="36">
        <v>109.0</v>
      </c>
      <c r="L39" s="36">
        <v>44.7</v>
      </c>
      <c r="M39" s="36">
        <v>97.0</v>
      </c>
      <c r="N39" s="36">
        <v>47.0</v>
      </c>
      <c r="O39" s="36">
        <v>16.0</v>
      </c>
      <c r="P39" s="36">
        <v>19.0</v>
      </c>
      <c r="Q39" s="36">
        <v>0.41</v>
      </c>
      <c r="R39" s="36">
        <v>1.49</v>
      </c>
      <c r="S39" s="36">
        <v>2.16</v>
      </c>
      <c r="T39" s="36">
        <v>3.65</v>
      </c>
      <c r="U39" s="21">
        <f t="shared" si="1"/>
        <v>3650</v>
      </c>
      <c r="V39" s="21">
        <f t="shared" si="2"/>
        <v>400</v>
      </c>
    </row>
    <row r="40" ht="14.25" customHeight="1">
      <c r="A40" s="38">
        <v>0.36180555555555555</v>
      </c>
      <c r="B40" s="36">
        <v>1.0</v>
      </c>
      <c r="C40" s="36">
        <v>7.6</v>
      </c>
      <c r="D40" s="36">
        <v>463.0</v>
      </c>
      <c r="E40" s="36">
        <v>438.0</v>
      </c>
      <c r="F40" s="36">
        <v>0.94</v>
      </c>
      <c r="G40" s="36">
        <v>17.0</v>
      </c>
      <c r="H40" s="36">
        <v>0.7</v>
      </c>
      <c r="I40" s="36">
        <v>11.6</v>
      </c>
      <c r="J40" s="36">
        <v>93.7</v>
      </c>
      <c r="K40" s="36">
        <v>110.0</v>
      </c>
      <c r="L40" s="36">
        <v>44.4</v>
      </c>
      <c r="M40" s="36">
        <v>96.0</v>
      </c>
      <c r="N40" s="36">
        <v>48.0</v>
      </c>
      <c r="O40" s="36">
        <v>17.0</v>
      </c>
      <c r="P40" s="36">
        <v>18.0</v>
      </c>
      <c r="Q40" s="36">
        <v>0.42</v>
      </c>
      <c r="R40" s="36">
        <v>1.52</v>
      </c>
      <c r="S40" s="36">
        <v>2.1</v>
      </c>
      <c r="T40" s="36">
        <v>3.63</v>
      </c>
      <c r="U40" s="21">
        <f t="shared" si="1"/>
        <v>3630</v>
      </c>
      <c r="V40" s="21">
        <f t="shared" si="2"/>
        <v>129600</v>
      </c>
    </row>
    <row r="41" ht="14.25" customHeight="1">
      <c r="A41" s="38">
        <v>0.3659722222222222</v>
      </c>
      <c r="B41" s="36">
        <v>5.0</v>
      </c>
      <c r="C41" s="36">
        <v>8.1</v>
      </c>
      <c r="D41" s="36">
        <v>491.0</v>
      </c>
      <c r="E41" s="36">
        <v>456.0</v>
      </c>
      <c r="F41" s="36">
        <v>0.93</v>
      </c>
      <c r="G41" s="36">
        <v>15.0</v>
      </c>
      <c r="H41" s="36">
        <v>0.78</v>
      </c>
      <c r="I41" s="36">
        <v>11.7</v>
      </c>
      <c r="J41" s="36">
        <v>93.6</v>
      </c>
      <c r="K41" s="36">
        <v>109.0</v>
      </c>
      <c r="L41" s="36">
        <v>44.5</v>
      </c>
      <c r="M41" s="36">
        <v>95.0</v>
      </c>
      <c r="N41" s="36">
        <v>48.0</v>
      </c>
      <c r="O41" s="36">
        <v>15.0</v>
      </c>
      <c r="P41" s="36">
        <v>19.0</v>
      </c>
      <c r="Q41" s="36">
        <v>0.4</v>
      </c>
      <c r="R41" s="36">
        <v>1.6</v>
      </c>
      <c r="S41" s="36">
        <v>2.39</v>
      </c>
      <c r="T41" s="36">
        <v>3.99</v>
      </c>
      <c r="U41" s="21">
        <f t="shared" si="1"/>
        <v>3990</v>
      </c>
      <c r="V41" s="21">
        <f t="shared" si="2"/>
        <v>220900</v>
      </c>
    </row>
    <row r="42" ht="14.25" customHeight="1">
      <c r="A42" s="38">
        <v>0.3680555555555556</v>
      </c>
      <c r="B42" s="36">
        <v>5.0</v>
      </c>
      <c r="C42" s="36">
        <v>8.7</v>
      </c>
      <c r="D42" s="36">
        <v>532.0</v>
      </c>
      <c r="E42" s="36">
        <v>492.0</v>
      </c>
      <c r="F42" s="36">
        <v>0.92</v>
      </c>
      <c r="G42" s="36">
        <v>13.0</v>
      </c>
      <c r="H42" s="36">
        <v>0.91</v>
      </c>
      <c r="I42" s="36">
        <v>12.2</v>
      </c>
      <c r="J42" s="36">
        <v>93.3</v>
      </c>
      <c r="K42" s="36">
        <v>110.0</v>
      </c>
      <c r="L42" s="36">
        <v>44.2</v>
      </c>
      <c r="M42" s="36">
        <v>95.0</v>
      </c>
      <c r="N42" s="36">
        <v>48.0</v>
      </c>
      <c r="O42" s="36">
        <v>13.0</v>
      </c>
      <c r="P42" s="36">
        <v>21.0</v>
      </c>
      <c r="Q42" s="36">
        <v>0.42</v>
      </c>
      <c r="R42" s="36">
        <v>1.87</v>
      </c>
      <c r="S42" s="36">
        <v>2.59</v>
      </c>
      <c r="T42" s="36">
        <v>4.46</v>
      </c>
      <c r="U42" s="21">
        <f t="shared" si="1"/>
        <v>4460</v>
      </c>
      <c r="V42" s="21">
        <f t="shared" si="2"/>
        <v>96100</v>
      </c>
    </row>
    <row r="43" ht="14.25" customHeight="1">
      <c r="A43" s="38">
        <v>0.3701388888888889</v>
      </c>
      <c r="B43" s="36">
        <v>7.0</v>
      </c>
      <c r="C43" s="36">
        <v>8.3</v>
      </c>
      <c r="D43" s="36">
        <v>509.0</v>
      </c>
      <c r="E43" s="36">
        <v>468.0</v>
      </c>
      <c r="F43" s="36">
        <v>0.92</v>
      </c>
      <c r="G43" s="36">
        <v>14.0</v>
      </c>
      <c r="H43" s="36">
        <v>0.82</v>
      </c>
      <c r="I43" s="36">
        <v>11.9</v>
      </c>
      <c r="J43" s="36">
        <v>93.5</v>
      </c>
      <c r="K43" s="36">
        <v>112.0</v>
      </c>
      <c r="L43" s="36">
        <v>43.4</v>
      </c>
      <c r="M43" s="36">
        <v>95.0</v>
      </c>
      <c r="N43" s="36">
        <v>48.0</v>
      </c>
      <c r="O43" s="36">
        <v>14.0</v>
      </c>
      <c r="P43" s="36">
        <v>20.0</v>
      </c>
      <c r="Q43" s="36">
        <v>0.42</v>
      </c>
      <c r="R43" s="36">
        <v>1.74</v>
      </c>
      <c r="S43" s="36">
        <v>2.41</v>
      </c>
      <c r="T43" s="36">
        <v>4.15</v>
      </c>
      <c r="U43" s="21">
        <f t="shared" si="1"/>
        <v>4150</v>
      </c>
      <c r="V43" s="21">
        <f t="shared" si="2"/>
        <v>400</v>
      </c>
    </row>
    <row r="44" ht="14.25" customHeight="1">
      <c r="A44" s="38">
        <v>0.37222222222222223</v>
      </c>
      <c r="B44" s="36">
        <v>9.0</v>
      </c>
      <c r="C44" s="36">
        <v>8.6</v>
      </c>
      <c r="D44" s="36">
        <v>528.0</v>
      </c>
      <c r="E44" s="36">
        <v>484.0</v>
      </c>
      <c r="F44" s="36">
        <v>0.92</v>
      </c>
      <c r="G44" s="36">
        <v>14.0</v>
      </c>
      <c r="H44" s="36">
        <v>0.85</v>
      </c>
      <c r="I44" s="36">
        <v>12.2</v>
      </c>
      <c r="J44" s="36">
        <v>93.3</v>
      </c>
      <c r="K44" s="36">
        <v>113.0</v>
      </c>
      <c r="L44" s="36">
        <v>42.4</v>
      </c>
      <c r="M44" s="36">
        <v>95.0</v>
      </c>
      <c r="N44" s="36">
        <v>47.0</v>
      </c>
      <c r="O44" s="36">
        <v>14.0</v>
      </c>
      <c r="P44" s="36">
        <v>21.0</v>
      </c>
      <c r="Q44" s="36">
        <v>0.42</v>
      </c>
      <c r="R44" s="36">
        <v>1.77</v>
      </c>
      <c r="S44" s="36">
        <v>2.41</v>
      </c>
      <c r="T44" s="36">
        <v>4.17</v>
      </c>
      <c r="U44" s="21">
        <f t="shared" si="1"/>
        <v>4170</v>
      </c>
      <c r="V44" s="21">
        <f t="shared" si="2"/>
        <v>8100</v>
      </c>
    </row>
    <row r="45" ht="14.25" customHeight="1">
      <c r="A45" s="38">
        <v>0.37430555555555556</v>
      </c>
      <c r="B45" s="36">
        <v>10.0</v>
      </c>
      <c r="C45" s="36">
        <v>9.0</v>
      </c>
      <c r="D45" s="36">
        <v>550.0</v>
      </c>
      <c r="E45" s="36">
        <v>504.0</v>
      </c>
      <c r="F45" s="36">
        <v>0.92</v>
      </c>
      <c r="G45" s="36">
        <v>15.0</v>
      </c>
      <c r="H45" s="36">
        <v>0.86</v>
      </c>
      <c r="I45" s="36">
        <v>12.7</v>
      </c>
      <c r="J45" s="36">
        <v>93.1</v>
      </c>
      <c r="K45" s="36">
        <v>112.0</v>
      </c>
      <c r="L45" s="36">
        <v>43.0</v>
      </c>
      <c r="M45" s="36">
        <v>95.0</v>
      </c>
      <c r="N45" s="36">
        <v>48.0</v>
      </c>
      <c r="O45" s="36">
        <v>15.0</v>
      </c>
      <c r="P45" s="36">
        <v>21.0</v>
      </c>
      <c r="Q45" s="36">
        <v>0.41</v>
      </c>
      <c r="R45" s="36">
        <v>1.69</v>
      </c>
      <c r="S45" s="36">
        <v>2.39</v>
      </c>
      <c r="T45" s="36">
        <v>4.08</v>
      </c>
      <c r="U45" s="21">
        <f t="shared" si="1"/>
        <v>4080</v>
      </c>
      <c r="V45" s="21">
        <f t="shared" si="2"/>
        <v>202500</v>
      </c>
    </row>
    <row r="46" ht="14.25" customHeight="1">
      <c r="A46" s="38">
        <v>0.3763888888888889</v>
      </c>
      <c r="B46" s="36">
        <v>12.0</v>
      </c>
      <c r="C46" s="36">
        <v>8.6</v>
      </c>
      <c r="D46" s="36">
        <v>527.0</v>
      </c>
      <c r="E46" s="36">
        <v>484.0</v>
      </c>
      <c r="F46" s="36">
        <v>0.92</v>
      </c>
      <c r="G46" s="36">
        <v>17.0</v>
      </c>
      <c r="H46" s="36">
        <v>0.77</v>
      </c>
      <c r="I46" s="36">
        <v>12.7</v>
      </c>
      <c r="J46" s="36">
        <v>93.1</v>
      </c>
      <c r="K46" s="36">
        <v>112.0</v>
      </c>
      <c r="L46" s="36">
        <v>43.0</v>
      </c>
      <c r="M46" s="36">
        <v>96.0</v>
      </c>
      <c r="N46" s="36">
        <v>47.0</v>
      </c>
      <c r="O46" s="36">
        <v>17.0</v>
      </c>
      <c r="P46" s="36">
        <v>21.0</v>
      </c>
      <c r="Q46" s="36">
        <v>0.46</v>
      </c>
      <c r="R46" s="36">
        <v>1.67</v>
      </c>
      <c r="S46" s="36">
        <v>1.96</v>
      </c>
      <c r="T46" s="36">
        <v>3.63</v>
      </c>
      <c r="U46" s="21">
        <f t="shared" si="1"/>
        <v>3630</v>
      </c>
      <c r="V46" s="21">
        <f t="shared" si="2"/>
        <v>900</v>
      </c>
    </row>
    <row r="47" ht="14.25" customHeight="1">
      <c r="A47" s="38">
        <v>0.37916666666666665</v>
      </c>
      <c r="B47" s="36">
        <v>14.0</v>
      </c>
      <c r="C47" s="36">
        <v>9.4</v>
      </c>
      <c r="D47" s="36">
        <v>573.0</v>
      </c>
      <c r="E47" s="36">
        <v>526.0</v>
      </c>
      <c r="F47" s="36">
        <v>0.92</v>
      </c>
      <c r="G47" s="36">
        <v>17.0</v>
      </c>
      <c r="H47" s="36">
        <v>0.81</v>
      </c>
      <c r="I47" s="36">
        <v>13.5</v>
      </c>
      <c r="J47" s="36">
        <v>92.6</v>
      </c>
      <c r="K47" s="36">
        <v>111.0</v>
      </c>
      <c r="L47" s="36">
        <v>43.5</v>
      </c>
      <c r="M47" s="36">
        <v>95.0</v>
      </c>
      <c r="N47" s="36">
        <v>47.0</v>
      </c>
      <c r="O47" s="36">
        <v>17.0</v>
      </c>
      <c r="P47" s="36">
        <v>22.0</v>
      </c>
      <c r="Q47" s="36">
        <v>0.45</v>
      </c>
      <c r="R47" s="36">
        <v>1.61</v>
      </c>
      <c r="S47" s="36">
        <v>2.0</v>
      </c>
      <c r="T47" s="36">
        <v>3.6</v>
      </c>
      <c r="U47" s="21">
        <f t="shared" si="1"/>
        <v>3600</v>
      </c>
      <c r="V47" s="21">
        <f t="shared" si="2"/>
        <v>435600</v>
      </c>
    </row>
    <row r="48" ht="14.25" customHeight="1">
      <c r="A48" s="38">
        <v>0.38055555555555554</v>
      </c>
      <c r="B48" s="36">
        <v>15.0</v>
      </c>
      <c r="C48" s="36">
        <v>9.2</v>
      </c>
      <c r="D48" s="36">
        <v>562.0</v>
      </c>
      <c r="E48" s="36">
        <v>513.0</v>
      </c>
      <c r="F48" s="36">
        <v>0.91</v>
      </c>
      <c r="G48" s="36">
        <v>20.0</v>
      </c>
      <c r="H48" s="36">
        <v>0.68</v>
      </c>
      <c r="I48" s="36">
        <v>13.8</v>
      </c>
      <c r="J48" s="36">
        <v>92.5</v>
      </c>
      <c r="K48" s="36">
        <v>111.0</v>
      </c>
      <c r="L48" s="36">
        <v>43.9</v>
      </c>
      <c r="M48" s="36">
        <v>95.0</v>
      </c>
      <c r="N48" s="36">
        <v>48.0</v>
      </c>
      <c r="O48" s="36">
        <v>20.0</v>
      </c>
      <c r="P48" s="36">
        <v>22.0</v>
      </c>
      <c r="Q48" s="36">
        <v>0.43</v>
      </c>
      <c r="R48" s="36">
        <v>1.26</v>
      </c>
      <c r="S48" s="36">
        <v>1.68</v>
      </c>
      <c r="T48" s="36">
        <v>2.94</v>
      </c>
      <c r="U48" s="21">
        <f t="shared" si="1"/>
        <v>2940</v>
      </c>
      <c r="V48" s="21">
        <f t="shared" si="2"/>
        <v>400</v>
      </c>
    </row>
    <row r="49" ht="14.25" customHeight="1">
      <c r="A49" s="38">
        <v>0.38263888888888886</v>
      </c>
      <c r="B49" s="36">
        <v>16.0</v>
      </c>
      <c r="C49" s="36">
        <v>8.6</v>
      </c>
      <c r="D49" s="36">
        <v>526.0</v>
      </c>
      <c r="E49" s="36">
        <v>478.0</v>
      </c>
      <c r="F49" s="36">
        <v>0.91</v>
      </c>
      <c r="G49" s="36">
        <v>21.0</v>
      </c>
      <c r="H49" s="36">
        <v>0.64</v>
      </c>
      <c r="I49" s="36">
        <v>13.1</v>
      </c>
      <c r="J49" s="36">
        <v>92.8</v>
      </c>
      <c r="K49" s="36">
        <v>111.0</v>
      </c>
      <c r="L49" s="36">
        <v>43.6</v>
      </c>
      <c r="M49" s="36">
        <v>95.0</v>
      </c>
      <c r="N49" s="36">
        <v>47.0</v>
      </c>
      <c r="O49" s="36">
        <v>21.0</v>
      </c>
      <c r="P49" s="36">
        <v>20.0</v>
      </c>
      <c r="Q49" s="36">
        <v>0.46</v>
      </c>
      <c r="R49" s="36">
        <v>1.35</v>
      </c>
      <c r="S49" s="36">
        <v>1.57</v>
      </c>
      <c r="T49" s="36">
        <v>2.92</v>
      </c>
      <c r="U49" s="21">
        <f t="shared" si="1"/>
        <v>2920</v>
      </c>
      <c r="V49" s="21">
        <f t="shared" si="2"/>
        <v>28900</v>
      </c>
    </row>
    <row r="50" ht="14.25" customHeight="1">
      <c r="A50" s="38">
        <v>0.3840277777777778</v>
      </c>
      <c r="B50" s="36">
        <v>17.0</v>
      </c>
      <c r="C50" s="36">
        <v>9.1</v>
      </c>
      <c r="D50" s="36">
        <v>554.0</v>
      </c>
      <c r="E50" s="36">
        <v>501.0</v>
      </c>
      <c r="F50" s="36">
        <v>0.9</v>
      </c>
      <c r="G50" s="36">
        <v>22.0</v>
      </c>
      <c r="H50" s="36">
        <v>0.63</v>
      </c>
      <c r="I50" s="36">
        <v>13.7</v>
      </c>
      <c r="J50" s="36">
        <v>92.5</v>
      </c>
      <c r="K50" s="36">
        <v>113.0</v>
      </c>
      <c r="L50" s="36">
        <v>42.7</v>
      </c>
      <c r="M50" s="36">
        <v>94.0</v>
      </c>
      <c r="N50" s="36">
        <v>47.0</v>
      </c>
      <c r="O50" s="36">
        <v>22.0</v>
      </c>
      <c r="P50" s="36">
        <v>22.0</v>
      </c>
      <c r="Q50" s="36">
        <v>0.44</v>
      </c>
      <c r="R50" s="36">
        <v>1.21</v>
      </c>
      <c r="S50" s="36">
        <v>1.54</v>
      </c>
      <c r="T50" s="36">
        <v>2.75</v>
      </c>
      <c r="U50" s="21">
        <f t="shared" si="1"/>
        <v>2750</v>
      </c>
      <c r="V50" s="21">
        <f t="shared" si="2"/>
        <v>400</v>
      </c>
    </row>
    <row r="51" ht="14.25" customHeight="1">
      <c r="A51" s="38">
        <v>0.38680555555555557</v>
      </c>
      <c r="B51" s="36">
        <v>19.0</v>
      </c>
      <c r="C51" s="36">
        <v>8.7</v>
      </c>
      <c r="D51" s="36">
        <v>532.0</v>
      </c>
      <c r="E51" s="36">
        <v>477.0</v>
      </c>
      <c r="F51" s="36">
        <v>0.9</v>
      </c>
      <c r="G51" s="36">
        <v>22.0</v>
      </c>
      <c r="H51" s="36">
        <v>0.6</v>
      </c>
      <c r="I51" s="36">
        <v>13.3</v>
      </c>
      <c r="J51" s="36">
        <v>92.7</v>
      </c>
      <c r="K51" s="36">
        <v>113.0</v>
      </c>
      <c r="L51" s="36">
        <v>42.8</v>
      </c>
      <c r="M51" s="36">
        <v>94.0</v>
      </c>
      <c r="N51" s="36">
        <v>48.0</v>
      </c>
      <c r="O51" s="36">
        <v>22.0</v>
      </c>
      <c r="P51" s="36">
        <v>21.0</v>
      </c>
      <c r="Q51" s="36">
        <v>0.45</v>
      </c>
      <c r="R51" s="36">
        <v>1.23</v>
      </c>
      <c r="S51" s="36">
        <v>1.5</v>
      </c>
      <c r="T51" s="36">
        <v>2.73</v>
      </c>
      <c r="U51" s="21">
        <f t="shared" si="1"/>
        <v>2730</v>
      </c>
      <c r="V51" s="21">
        <f t="shared" si="2"/>
        <v>28900</v>
      </c>
    </row>
    <row r="52" ht="14.25" customHeight="1">
      <c r="A52" s="38">
        <v>0.38819444444444445</v>
      </c>
      <c r="B52" s="36">
        <v>20.0</v>
      </c>
      <c r="C52" s="36">
        <v>8.6</v>
      </c>
      <c r="D52" s="36">
        <v>524.0</v>
      </c>
      <c r="E52" s="36">
        <v>471.0</v>
      </c>
      <c r="F52" s="36">
        <v>0.9</v>
      </c>
      <c r="G52" s="36">
        <v>21.0</v>
      </c>
      <c r="H52" s="36">
        <v>0.63</v>
      </c>
      <c r="I52" s="36">
        <v>13.0</v>
      </c>
      <c r="J52" s="36">
        <v>92.9</v>
      </c>
      <c r="K52" s="36">
        <v>114.0</v>
      </c>
      <c r="L52" s="36">
        <v>42.2</v>
      </c>
      <c r="M52" s="36">
        <v>95.0</v>
      </c>
      <c r="N52" s="36">
        <v>47.0</v>
      </c>
      <c r="O52" s="36">
        <v>21.0</v>
      </c>
      <c r="P52" s="36">
        <v>20.0</v>
      </c>
      <c r="Q52" s="36">
        <v>0.47</v>
      </c>
      <c r="R52" s="36">
        <v>1.37</v>
      </c>
      <c r="S52" s="36">
        <v>1.53</v>
      </c>
      <c r="T52" s="36">
        <v>2.9</v>
      </c>
      <c r="U52" s="21">
        <f t="shared" si="1"/>
        <v>2900</v>
      </c>
      <c r="V52" s="21">
        <f t="shared" si="2"/>
        <v>19600</v>
      </c>
    </row>
    <row r="53" ht="14.25" customHeight="1">
      <c r="A53" s="38">
        <v>0.3902777777777778</v>
      </c>
      <c r="B53" s="36">
        <v>22.0</v>
      </c>
      <c r="C53" s="36">
        <v>9.0</v>
      </c>
      <c r="D53" s="36">
        <v>550.0</v>
      </c>
      <c r="E53" s="36">
        <v>491.0</v>
      </c>
      <c r="F53" s="36">
        <v>0.89</v>
      </c>
      <c r="G53" s="36">
        <v>22.0</v>
      </c>
      <c r="H53" s="36">
        <v>0.62</v>
      </c>
      <c r="I53" s="36">
        <v>13.5</v>
      </c>
      <c r="J53" s="36">
        <v>92.6</v>
      </c>
      <c r="K53" s="36">
        <v>114.0</v>
      </c>
      <c r="L53" s="36">
        <v>42.3</v>
      </c>
      <c r="M53" s="36">
        <v>94.0</v>
      </c>
      <c r="N53" s="36">
        <v>48.0</v>
      </c>
      <c r="O53" s="36">
        <v>22.0</v>
      </c>
      <c r="P53" s="36">
        <v>21.0</v>
      </c>
      <c r="Q53" s="36">
        <v>0.46</v>
      </c>
      <c r="R53" s="36">
        <v>1.27</v>
      </c>
      <c r="S53" s="36">
        <v>1.49</v>
      </c>
      <c r="T53" s="36">
        <v>2.76</v>
      </c>
      <c r="U53" s="21">
        <f t="shared" si="1"/>
        <v>2760</v>
      </c>
      <c r="V53" s="21">
        <f t="shared" si="2"/>
        <v>1600</v>
      </c>
    </row>
    <row r="54" ht="14.25" customHeight="1">
      <c r="A54" s="38">
        <v>0.39166666666666666</v>
      </c>
      <c r="B54" s="36">
        <v>23.0</v>
      </c>
      <c r="C54" s="36">
        <v>8.8</v>
      </c>
      <c r="D54" s="36">
        <v>535.0</v>
      </c>
      <c r="E54" s="36">
        <v>479.0</v>
      </c>
      <c r="F54" s="36">
        <v>0.89</v>
      </c>
      <c r="G54" s="36">
        <v>22.0</v>
      </c>
      <c r="H54" s="36">
        <v>0.61</v>
      </c>
      <c r="I54" s="36">
        <v>13.3</v>
      </c>
      <c r="J54" s="36">
        <v>92.7</v>
      </c>
      <c r="K54" s="36">
        <v>114.0</v>
      </c>
      <c r="L54" s="36">
        <v>42.0</v>
      </c>
      <c r="M54" s="36">
        <v>94.0</v>
      </c>
      <c r="N54" s="36">
        <v>48.0</v>
      </c>
      <c r="O54" s="36">
        <v>22.0</v>
      </c>
      <c r="P54" s="36">
        <v>21.0</v>
      </c>
      <c r="Q54" s="36">
        <v>0.46</v>
      </c>
      <c r="R54" s="36">
        <v>1.26</v>
      </c>
      <c r="S54" s="36">
        <v>1.46</v>
      </c>
      <c r="T54" s="36">
        <v>2.72</v>
      </c>
      <c r="U54" s="21">
        <f t="shared" si="1"/>
        <v>2720</v>
      </c>
      <c r="V54" s="21">
        <f t="shared" si="2"/>
        <v>2500</v>
      </c>
    </row>
    <row r="55" ht="14.25" customHeight="1">
      <c r="A55" s="38">
        <v>0.39652777777777776</v>
      </c>
      <c r="B55" s="36">
        <v>26.0</v>
      </c>
      <c r="C55" s="36">
        <v>9.1</v>
      </c>
      <c r="D55" s="36">
        <v>553.0</v>
      </c>
      <c r="E55" s="36">
        <v>492.0</v>
      </c>
      <c r="F55" s="36">
        <v>0.89</v>
      </c>
      <c r="G55" s="36">
        <v>22.0</v>
      </c>
      <c r="H55" s="36">
        <v>0.62</v>
      </c>
      <c r="I55" s="36">
        <v>13.5</v>
      </c>
      <c r="J55" s="36">
        <v>92.6</v>
      </c>
      <c r="K55" s="36">
        <v>113.0</v>
      </c>
      <c r="L55" s="36">
        <v>42.4</v>
      </c>
      <c r="M55" s="36">
        <v>94.0</v>
      </c>
      <c r="N55" s="36">
        <v>48.0</v>
      </c>
      <c r="O55" s="36">
        <v>22.0</v>
      </c>
      <c r="P55" s="36">
        <v>21.0</v>
      </c>
      <c r="Q55" s="36">
        <v>0.45</v>
      </c>
      <c r="R55" s="36">
        <v>1.25</v>
      </c>
      <c r="S55" s="36">
        <v>1.51</v>
      </c>
      <c r="T55" s="36">
        <v>2.77</v>
      </c>
      <c r="U55" s="21">
        <f t="shared" si="1"/>
        <v>2770</v>
      </c>
      <c r="V55" s="21">
        <f t="shared" si="2"/>
        <v>900</v>
      </c>
    </row>
    <row r="56" ht="14.25" customHeight="1">
      <c r="A56" s="38">
        <v>0.39861111111111114</v>
      </c>
      <c r="B56" s="36">
        <v>28.0</v>
      </c>
      <c r="C56" s="36">
        <v>9.3</v>
      </c>
      <c r="D56" s="36">
        <v>570.0</v>
      </c>
      <c r="E56" s="36">
        <v>507.0</v>
      </c>
      <c r="F56" s="36">
        <v>0.89</v>
      </c>
      <c r="G56" s="36">
        <v>21.0</v>
      </c>
      <c r="H56" s="36">
        <v>0.64</v>
      </c>
      <c r="I56" s="36">
        <v>13.6</v>
      </c>
      <c r="J56" s="36">
        <v>92.6</v>
      </c>
      <c r="K56" s="36">
        <v>113.0</v>
      </c>
      <c r="L56" s="36">
        <v>42.4</v>
      </c>
      <c r="M56" s="36">
        <v>93.0</v>
      </c>
      <c r="N56" s="36">
        <v>48.0</v>
      </c>
      <c r="O56" s="36">
        <v>21.0</v>
      </c>
      <c r="P56" s="36">
        <v>22.0</v>
      </c>
      <c r="Q56" s="36">
        <v>0.42</v>
      </c>
      <c r="R56" s="36">
        <v>1.18</v>
      </c>
      <c r="S56" s="36">
        <v>1.62</v>
      </c>
      <c r="T56" s="36">
        <v>2.8</v>
      </c>
      <c r="U56" s="21">
        <f t="shared" si="1"/>
        <v>2800</v>
      </c>
      <c r="V56" s="21">
        <f t="shared" si="2"/>
        <v>40000</v>
      </c>
    </row>
    <row r="57" ht="14.25" customHeight="1">
      <c r="A57" s="38">
        <v>0.4013888888888889</v>
      </c>
      <c r="B57" s="36">
        <v>29.0</v>
      </c>
      <c r="C57" s="36">
        <v>9.3</v>
      </c>
      <c r="D57" s="36">
        <v>566.0</v>
      </c>
      <c r="E57" s="36">
        <v>505.0</v>
      </c>
      <c r="F57" s="36">
        <v>0.89</v>
      </c>
      <c r="G57" s="36">
        <v>20.0</v>
      </c>
      <c r="H57" s="36">
        <v>0.67</v>
      </c>
      <c r="I57" s="36">
        <v>13.4</v>
      </c>
      <c r="J57" s="36">
        <v>92.7</v>
      </c>
      <c r="K57" s="36">
        <v>113.0</v>
      </c>
      <c r="L57" s="36">
        <v>42.5</v>
      </c>
      <c r="M57" s="36">
        <v>93.0</v>
      </c>
      <c r="N57" s="36">
        <v>48.0</v>
      </c>
      <c r="O57" s="36">
        <v>20.0</v>
      </c>
      <c r="P57" s="36">
        <v>22.0</v>
      </c>
      <c r="Q57" s="36">
        <v>0.45</v>
      </c>
      <c r="R57" s="36">
        <v>1.36</v>
      </c>
      <c r="S57" s="36">
        <v>1.64</v>
      </c>
      <c r="T57" s="36">
        <v>3.0</v>
      </c>
      <c r="U57" s="21">
        <f t="shared" si="1"/>
        <v>3000</v>
      </c>
      <c r="V57" s="21">
        <f t="shared" si="2"/>
        <v>10000</v>
      </c>
    </row>
    <row r="58" ht="14.25" customHeight="1">
      <c r="A58" s="38">
        <v>0.4041666666666667</v>
      </c>
      <c r="B58" s="36">
        <v>32.0</v>
      </c>
      <c r="C58" s="36">
        <v>9.2</v>
      </c>
      <c r="D58" s="36">
        <v>562.0</v>
      </c>
      <c r="E58" s="36">
        <v>503.0</v>
      </c>
      <c r="F58" s="36">
        <v>0.89</v>
      </c>
      <c r="G58" s="36">
        <v>19.0</v>
      </c>
      <c r="H58" s="36">
        <v>0.68</v>
      </c>
      <c r="I58" s="36">
        <v>13.1</v>
      </c>
      <c r="J58" s="36">
        <v>92.8</v>
      </c>
      <c r="K58" s="36">
        <v>113.0</v>
      </c>
      <c r="L58" s="36">
        <v>42.7</v>
      </c>
      <c r="M58" s="36">
        <v>93.0</v>
      </c>
      <c r="N58" s="36">
        <v>48.0</v>
      </c>
      <c r="O58" s="36">
        <v>19.0</v>
      </c>
      <c r="P58" s="36">
        <v>22.0</v>
      </c>
      <c r="Q58" s="36">
        <v>0.45</v>
      </c>
      <c r="R58" s="36">
        <v>1.41</v>
      </c>
      <c r="S58" s="36">
        <v>1.69</v>
      </c>
      <c r="T58" s="36">
        <v>3.1</v>
      </c>
      <c r="U58" s="21">
        <f t="shared" si="1"/>
        <v>3100</v>
      </c>
      <c r="V58" s="21">
        <f t="shared" si="2"/>
        <v>435600</v>
      </c>
    </row>
    <row r="59" ht="14.25" customHeight="1">
      <c r="A59" s="38">
        <v>0.40625</v>
      </c>
      <c r="B59" s="36">
        <v>33.0</v>
      </c>
      <c r="C59" s="36">
        <v>10.3</v>
      </c>
      <c r="D59" s="36">
        <v>626.0</v>
      </c>
      <c r="E59" s="36">
        <v>562.0</v>
      </c>
      <c r="F59" s="36">
        <v>0.9</v>
      </c>
      <c r="G59" s="36">
        <v>16.0</v>
      </c>
      <c r="H59" s="36">
        <v>0.87</v>
      </c>
      <c r="I59" s="36">
        <v>13.9</v>
      </c>
      <c r="J59" s="36">
        <v>92.4</v>
      </c>
      <c r="K59" s="36">
        <v>113.0</v>
      </c>
      <c r="L59" s="36">
        <v>42.5</v>
      </c>
      <c r="M59" s="36">
        <v>93.0</v>
      </c>
      <c r="N59" s="36">
        <v>49.0</v>
      </c>
      <c r="O59" s="36">
        <v>16.0</v>
      </c>
      <c r="P59" s="36">
        <v>24.0</v>
      </c>
      <c r="Q59" s="36">
        <v>0.47</v>
      </c>
      <c r="R59" s="36">
        <v>1.77</v>
      </c>
      <c r="S59" s="36">
        <v>1.99</v>
      </c>
      <c r="T59" s="36">
        <v>3.76</v>
      </c>
      <c r="U59" s="21">
        <f t="shared" si="1"/>
        <v>3760</v>
      </c>
      <c r="V59" s="21">
        <f t="shared" si="2"/>
        <v>0</v>
      </c>
    </row>
    <row r="60" ht="14.25" customHeight="1">
      <c r="A60" s="38">
        <v>0.4083333333333333</v>
      </c>
      <c r="B60" s="36">
        <v>35.0</v>
      </c>
      <c r="C60" s="36">
        <v>10.1</v>
      </c>
      <c r="D60" s="36">
        <v>613.0</v>
      </c>
      <c r="E60" s="36">
        <v>555.0</v>
      </c>
      <c r="F60" s="36">
        <v>0.91</v>
      </c>
      <c r="G60" s="36">
        <v>16.0</v>
      </c>
      <c r="H60" s="36">
        <v>0.87</v>
      </c>
      <c r="I60" s="36">
        <v>13.8</v>
      </c>
      <c r="J60" s="36">
        <v>92.5</v>
      </c>
      <c r="K60" s="36">
        <v>114.0</v>
      </c>
      <c r="L60" s="36">
        <v>42.3</v>
      </c>
      <c r="M60" s="36">
        <v>93.0</v>
      </c>
      <c r="N60" s="36">
        <v>49.0</v>
      </c>
      <c r="O60" s="36">
        <v>16.0</v>
      </c>
      <c r="P60" s="36">
        <v>24.0</v>
      </c>
      <c r="Q60" s="36">
        <v>0.47</v>
      </c>
      <c r="R60" s="36">
        <v>1.75</v>
      </c>
      <c r="S60" s="36">
        <v>2.01</v>
      </c>
      <c r="T60" s="36">
        <v>3.76</v>
      </c>
      <c r="U60" s="21">
        <f t="shared" si="1"/>
        <v>3760</v>
      </c>
      <c r="V60" s="21">
        <f t="shared" si="2"/>
        <v>1600</v>
      </c>
    </row>
    <row r="61" ht="14.25" customHeight="1">
      <c r="A61" s="38">
        <v>0.4097222222222222</v>
      </c>
      <c r="B61" s="36">
        <v>35.0</v>
      </c>
      <c r="C61" s="36">
        <v>10.0</v>
      </c>
      <c r="D61" s="36">
        <v>610.0</v>
      </c>
      <c r="E61" s="36">
        <v>551.0</v>
      </c>
      <c r="F61" s="36">
        <v>0.9</v>
      </c>
      <c r="G61" s="36">
        <v>16.0</v>
      </c>
      <c r="H61" s="36">
        <v>0.85</v>
      </c>
      <c r="I61" s="36">
        <v>13.8</v>
      </c>
      <c r="J61" s="36">
        <v>92.5</v>
      </c>
      <c r="K61" s="36">
        <v>115.0</v>
      </c>
      <c r="L61" s="36">
        <v>41.7</v>
      </c>
      <c r="M61" s="36">
        <v>93.0</v>
      </c>
      <c r="N61" s="36">
        <v>49.0</v>
      </c>
      <c r="O61" s="36">
        <v>16.0</v>
      </c>
      <c r="P61" s="36">
        <v>24.0</v>
      </c>
      <c r="Q61" s="36">
        <v>0.47</v>
      </c>
      <c r="R61" s="36">
        <v>1.75</v>
      </c>
      <c r="S61" s="36">
        <v>1.97</v>
      </c>
      <c r="T61" s="36">
        <v>3.72</v>
      </c>
      <c r="U61" s="21">
        <f t="shared" si="1"/>
        <v>3720</v>
      </c>
      <c r="V61" s="21">
        <f t="shared" si="2"/>
        <v>122500</v>
      </c>
    </row>
    <row r="62" ht="14.25" customHeight="1">
      <c r="A62" s="38">
        <v>0.4131944444444444</v>
      </c>
      <c r="B62" s="36">
        <v>38.0</v>
      </c>
      <c r="C62" s="36">
        <v>10.2</v>
      </c>
      <c r="D62" s="36">
        <v>620.0</v>
      </c>
      <c r="E62" s="36">
        <v>558.0</v>
      </c>
      <c r="F62" s="36">
        <v>0.9</v>
      </c>
      <c r="G62" s="36">
        <v>18.0</v>
      </c>
      <c r="H62" s="36">
        <v>0.79</v>
      </c>
      <c r="I62" s="36">
        <v>14.0</v>
      </c>
      <c r="J62" s="36">
        <v>92.3</v>
      </c>
      <c r="K62" s="36">
        <v>117.0</v>
      </c>
      <c r="L62" s="36">
        <v>40.9</v>
      </c>
      <c r="M62" s="36">
        <v>92.0</v>
      </c>
      <c r="N62" s="36">
        <v>49.0</v>
      </c>
      <c r="O62" s="36">
        <v>18.0</v>
      </c>
      <c r="P62" s="36">
        <v>24.0</v>
      </c>
      <c r="Q62" s="36">
        <v>0.44</v>
      </c>
      <c r="R62" s="36">
        <v>1.47</v>
      </c>
      <c r="S62" s="36">
        <v>1.9</v>
      </c>
      <c r="T62" s="36">
        <v>3.37</v>
      </c>
      <c r="U62" s="21">
        <f t="shared" si="1"/>
        <v>3370</v>
      </c>
      <c r="V62" s="21">
        <f t="shared" si="2"/>
        <v>36100</v>
      </c>
    </row>
    <row r="63" ht="14.25" customHeight="1">
      <c r="A63" s="38">
        <v>0.41458333333333336</v>
      </c>
      <c r="B63" s="36">
        <v>39.0</v>
      </c>
      <c r="C63" s="36">
        <v>9.8</v>
      </c>
      <c r="D63" s="36">
        <v>600.0</v>
      </c>
      <c r="E63" s="36">
        <v>542.0</v>
      </c>
      <c r="F63" s="36">
        <v>0.9</v>
      </c>
      <c r="G63" s="36">
        <v>17.0</v>
      </c>
      <c r="H63" s="36">
        <v>0.8</v>
      </c>
      <c r="I63" s="36">
        <v>13.5</v>
      </c>
      <c r="J63" s="36">
        <v>92.6</v>
      </c>
      <c r="K63" s="36">
        <v>118.0</v>
      </c>
      <c r="L63" s="36">
        <v>40.3</v>
      </c>
      <c r="M63" s="36">
        <v>93.0</v>
      </c>
      <c r="N63" s="36">
        <v>49.0</v>
      </c>
      <c r="O63" s="36">
        <v>17.0</v>
      </c>
      <c r="P63" s="36">
        <v>23.0</v>
      </c>
      <c r="Q63" s="36">
        <v>0.45</v>
      </c>
      <c r="R63" s="36">
        <v>1.61</v>
      </c>
      <c r="S63" s="36">
        <v>1.95</v>
      </c>
      <c r="T63" s="36">
        <v>3.56</v>
      </c>
      <c r="U63" s="21">
        <f t="shared" si="1"/>
        <v>3560</v>
      </c>
      <c r="V63" s="21">
        <f t="shared" si="2"/>
        <v>4900</v>
      </c>
    </row>
    <row r="64" ht="14.25" customHeight="1">
      <c r="A64" s="38">
        <v>0.4173611111111111</v>
      </c>
      <c r="B64" s="36">
        <v>40.0</v>
      </c>
      <c r="C64" s="36">
        <v>10.2</v>
      </c>
      <c r="D64" s="36">
        <v>623.0</v>
      </c>
      <c r="E64" s="36">
        <v>564.0</v>
      </c>
      <c r="F64" s="36">
        <v>0.91</v>
      </c>
      <c r="G64" s="36">
        <v>17.0</v>
      </c>
      <c r="H64" s="36">
        <v>0.81</v>
      </c>
      <c r="I64" s="36">
        <v>14.0</v>
      </c>
      <c r="J64" s="36">
        <v>92.4</v>
      </c>
      <c r="K64" s="36">
        <v>118.0</v>
      </c>
      <c r="L64" s="36">
        <v>40.1</v>
      </c>
      <c r="M64" s="36">
        <v>93.0</v>
      </c>
      <c r="N64" s="36">
        <v>49.0</v>
      </c>
      <c r="O64" s="36">
        <v>17.0</v>
      </c>
      <c r="P64" s="36">
        <v>24.0</v>
      </c>
      <c r="Q64" s="36">
        <v>0.42</v>
      </c>
      <c r="R64" s="36">
        <v>1.47</v>
      </c>
      <c r="S64" s="36">
        <v>2.01</v>
      </c>
      <c r="T64" s="36">
        <v>3.49</v>
      </c>
      <c r="U64" s="21">
        <f t="shared" si="1"/>
        <v>3490</v>
      </c>
      <c r="V64" s="21">
        <f t="shared" si="2"/>
        <v>14400</v>
      </c>
    </row>
    <row r="65" ht="14.25" customHeight="1">
      <c r="A65" s="38">
        <v>0.41944444444444445</v>
      </c>
      <c r="B65" s="36">
        <v>42.0</v>
      </c>
      <c r="C65" s="36">
        <v>11.2</v>
      </c>
      <c r="D65" s="36">
        <v>685.0</v>
      </c>
      <c r="E65" s="36">
        <v>617.0</v>
      </c>
      <c r="F65" s="36">
        <v>0.9</v>
      </c>
      <c r="G65" s="36">
        <v>18.0</v>
      </c>
      <c r="H65" s="36">
        <v>0.85</v>
      </c>
      <c r="I65" s="36">
        <v>15.2</v>
      </c>
      <c r="J65" s="36">
        <v>91.7</v>
      </c>
      <c r="K65" s="36">
        <v>118.0</v>
      </c>
      <c r="L65" s="36">
        <v>40.1</v>
      </c>
      <c r="M65" s="36">
        <v>92.0</v>
      </c>
      <c r="N65" s="36">
        <v>50.0</v>
      </c>
      <c r="O65" s="36">
        <v>18.0</v>
      </c>
      <c r="P65" s="36">
        <v>27.0</v>
      </c>
      <c r="Q65" s="36">
        <v>0.42</v>
      </c>
      <c r="R65" s="36">
        <v>1.4</v>
      </c>
      <c r="S65" s="36">
        <v>1.97</v>
      </c>
      <c r="T65" s="36">
        <v>3.37</v>
      </c>
      <c r="U65" s="21">
        <f t="shared" si="1"/>
        <v>3370</v>
      </c>
      <c r="V65" s="21">
        <f t="shared" si="2"/>
        <v>52900</v>
      </c>
    </row>
    <row r="66" ht="14.25" customHeight="1">
      <c r="A66" s="38">
        <v>0.42083333333333334</v>
      </c>
      <c r="B66" s="36">
        <v>44.0</v>
      </c>
      <c r="C66" s="36">
        <v>12.1</v>
      </c>
      <c r="D66" s="36">
        <v>739.0</v>
      </c>
      <c r="E66" s="36">
        <v>668.0</v>
      </c>
      <c r="F66" s="36">
        <v>0.9</v>
      </c>
      <c r="G66" s="36">
        <v>19.0</v>
      </c>
      <c r="H66" s="36">
        <v>0.86</v>
      </c>
      <c r="I66" s="36">
        <v>16.4</v>
      </c>
      <c r="J66" s="36">
        <v>91.1</v>
      </c>
      <c r="K66" s="36">
        <v>119.0</v>
      </c>
      <c r="L66" s="36">
        <v>39.7</v>
      </c>
      <c r="M66" s="36">
        <v>92.0</v>
      </c>
      <c r="N66" s="36">
        <v>49.0</v>
      </c>
      <c r="O66" s="36">
        <v>19.0</v>
      </c>
      <c r="P66" s="36">
        <v>29.0</v>
      </c>
      <c r="Q66" s="36">
        <v>0.43</v>
      </c>
      <c r="R66" s="36">
        <v>1.34</v>
      </c>
      <c r="S66" s="36">
        <v>1.8</v>
      </c>
      <c r="T66" s="36">
        <v>3.14</v>
      </c>
      <c r="U66" s="21">
        <f t="shared" si="1"/>
        <v>3140</v>
      </c>
      <c r="V66" s="21">
        <f t="shared" si="2"/>
        <v>900</v>
      </c>
    </row>
    <row r="67" ht="14.25" customHeight="1">
      <c r="A67" s="38">
        <v>0.4222222222222222</v>
      </c>
      <c r="B67" s="36">
        <v>45.0</v>
      </c>
      <c r="C67" s="36">
        <v>13.0</v>
      </c>
      <c r="D67" s="36">
        <v>791.0</v>
      </c>
      <c r="E67" s="36">
        <v>716.0</v>
      </c>
      <c r="F67" s="36">
        <v>0.91</v>
      </c>
      <c r="G67" s="36">
        <v>19.0</v>
      </c>
      <c r="H67" s="36">
        <v>0.9</v>
      </c>
      <c r="I67" s="36">
        <v>17.4</v>
      </c>
      <c r="J67" s="36">
        <v>90.5</v>
      </c>
      <c r="K67" s="36">
        <v>119.0</v>
      </c>
      <c r="L67" s="36">
        <v>39.4</v>
      </c>
      <c r="M67" s="36">
        <v>92.0</v>
      </c>
      <c r="N67" s="36">
        <v>49.0</v>
      </c>
      <c r="O67" s="36">
        <v>19.0</v>
      </c>
      <c r="P67" s="36">
        <v>31.0</v>
      </c>
      <c r="Q67" s="36">
        <v>0.44</v>
      </c>
      <c r="R67" s="36">
        <v>1.37</v>
      </c>
      <c r="S67" s="36">
        <v>1.74</v>
      </c>
      <c r="T67" s="36">
        <v>3.11</v>
      </c>
      <c r="U67" s="21">
        <f t="shared" si="1"/>
        <v>3110</v>
      </c>
      <c r="V67" s="21">
        <f t="shared" si="2"/>
        <v>102400</v>
      </c>
    </row>
    <row r="68" ht="14.25" customHeight="1">
      <c r="A68" s="38">
        <v>0.425</v>
      </c>
      <c r="B68" s="36">
        <v>47.0</v>
      </c>
      <c r="C68" s="36">
        <v>13.1</v>
      </c>
      <c r="D68" s="36">
        <v>798.0</v>
      </c>
      <c r="E68" s="36">
        <v>733.0</v>
      </c>
      <c r="F68" s="36">
        <v>0.92</v>
      </c>
      <c r="G68" s="36">
        <v>17.0</v>
      </c>
      <c r="H68" s="36">
        <v>1.0</v>
      </c>
      <c r="I68" s="36">
        <v>17.6</v>
      </c>
      <c r="J68" s="36">
        <v>90.4</v>
      </c>
      <c r="K68" s="36">
        <v>119.0</v>
      </c>
      <c r="L68" s="36">
        <v>39.4</v>
      </c>
      <c r="M68" s="36">
        <v>93.0</v>
      </c>
      <c r="N68" s="36">
        <v>49.0</v>
      </c>
      <c r="O68" s="36">
        <v>17.0</v>
      </c>
      <c r="P68" s="36">
        <v>31.0</v>
      </c>
      <c r="Q68" s="36">
        <v>0.44</v>
      </c>
      <c r="R68" s="36">
        <v>1.51</v>
      </c>
      <c r="S68" s="36">
        <v>1.92</v>
      </c>
      <c r="T68" s="36">
        <v>3.43</v>
      </c>
      <c r="U68" s="21">
        <f t="shared" si="1"/>
        <v>3430</v>
      </c>
      <c r="V68" s="21">
        <f t="shared" si="2"/>
        <v>360000</v>
      </c>
    </row>
    <row r="69" ht="14.25" customHeight="1">
      <c r="A69" s="38">
        <v>0.4270833333333333</v>
      </c>
      <c r="B69" s="36">
        <v>48.0</v>
      </c>
      <c r="C69" s="36">
        <v>12.7</v>
      </c>
      <c r="D69" s="36">
        <v>776.0</v>
      </c>
      <c r="E69" s="36">
        <v>721.0</v>
      </c>
      <c r="F69" s="36">
        <v>0.93</v>
      </c>
      <c r="G69" s="36">
        <v>21.0</v>
      </c>
      <c r="H69" s="36">
        <v>0.85</v>
      </c>
      <c r="I69" s="36">
        <v>18.0</v>
      </c>
      <c r="J69" s="36">
        <v>90.2</v>
      </c>
      <c r="K69" s="36">
        <v>120.0</v>
      </c>
      <c r="L69" s="36">
        <v>39.2</v>
      </c>
      <c r="M69" s="36">
        <v>94.0</v>
      </c>
      <c r="N69" s="36">
        <v>49.0</v>
      </c>
      <c r="O69" s="36">
        <v>21.0</v>
      </c>
      <c r="P69" s="36">
        <v>30.0</v>
      </c>
      <c r="Q69" s="36">
        <v>0.45</v>
      </c>
      <c r="R69" s="36">
        <v>1.27</v>
      </c>
      <c r="S69" s="36">
        <v>1.56</v>
      </c>
      <c r="T69" s="36">
        <v>2.83</v>
      </c>
      <c r="U69" s="21">
        <f t="shared" si="1"/>
        <v>2830</v>
      </c>
      <c r="V69" s="21">
        <f t="shared" si="2"/>
        <v>0</v>
      </c>
    </row>
    <row r="70" ht="14.25" customHeight="1">
      <c r="A70" s="38">
        <v>0.43125</v>
      </c>
      <c r="B70" s="36">
        <v>51.0</v>
      </c>
      <c r="C70" s="36">
        <v>12.7</v>
      </c>
      <c r="D70" s="36">
        <v>776.0</v>
      </c>
      <c r="E70" s="36">
        <v>721.0</v>
      </c>
      <c r="F70" s="36">
        <v>0.93</v>
      </c>
      <c r="G70" s="36">
        <v>21.0</v>
      </c>
      <c r="H70" s="36">
        <v>0.85</v>
      </c>
      <c r="I70" s="36">
        <v>18.0</v>
      </c>
      <c r="J70" s="36">
        <v>90.2</v>
      </c>
      <c r="K70" s="36">
        <v>119.0</v>
      </c>
      <c r="L70" s="36">
        <v>39.8</v>
      </c>
      <c r="M70" s="36">
        <v>94.0</v>
      </c>
      <c r="N70" s="36">
        <v>49.0</v>
      </c>
      <c r="O70" s="36">
        <v>21.0</v>
      </c>
      <c r="P70" s="36">
        <v>30.0</v>
      </c>
      <c r="Q70" s="36">
        <v>0.45</v>
      </c>
      <c r="R70" s="36">
        <v>1.27</v>
      </c>
      <c r="S70" s="36">
        <v>1.56</v>
      </c>
      <c r="T70" s="36">
        <v>2.83</v>
      </c>
      <c r="U70" s="21">
        <f t="shared" si="1"/>
        <v>2830</v>
      </c>
      <c r="V70" s="21">
        <f t="shared" si="2"/>
        <v>32400</v>
      </c>
    </row>
    <row r="71" ht="14.25" customHeight="1">
      <c r="A71" s="38">
        <v>0.4326388888888889</v>
      </c>
      <c r="B71" s="36">
        <v>52.0</v>
      </c>
      <c r="C71" s="36">
        <v>12.3</v>
      </c>
      <c r="D71" s="36">
        <v>751.0</v>
      </c>
      <c r="E71" s="36">
        <v>706.0</v>
      </c>
      <c r="F71" s="36">
        <v>0.94</v>
      </c>
      <c r="G71" s="36">
        <v>23.0</v>
      </c>
      <c r="H71" s="36">
        <v>0.79</v>
      </c>
      <c r="I71" s="36">
        <v>17.8</v>
      </c>
      <c r="J71" s="36">
        <v>90.3</v>
      </c>
      <c r="K71" s="36">
        <v>120.0</v>
      </c>
      <c r="L71" s="36">
        <v>39.2</v>
      </c>
      <c r="M71" s="36">
        <v>94.0</v>
      </c>
      <c r="N71" s="36">
        <v>49.0</v>
      </c>
      <c r="O71" s="36">
        <v>23.0</v>
      </c>
      <c r="P71" s="36">
        <v>29.0</v>
      </c>
      <c r="Q71" s="36">
        <v>0.44</v>
      </c>
      <c r="R71" s="36">
        <v>1.16</v>
      </c>
      <c r="S71" s="36">
        <v>1.49</v>
      </c>
      <c r="T71" s="36">
        <v>2.65</v>
      </c>
      <c r="U71" s="21">
        <f t="shared" si="1"/>
        <v>2650</v>
      </c>
      <c r="V71" s="21">
        <f t="shared" si="2"/>
        <v>1600</v>
      </c>
    </row>
    <row r="72" ht="14.25" customHeight="1">
      <c r="A72" s="38">
        <v>0.4340277777777778</v>
      </c>
      <c r="B72" s="36">
        <v>54.0</v>
      </c>
      <c r="C72" s="36">
        <v>11.3</v>
      </c>
      <c r="D72" s="36">
        <v>689.0</v>
      </c>
      <c r="E72" s="36">
        <v>651.0</v>
      </c>
      <c r="F72" s="36">
        <v>0.94</v>
      </c>
      <c r="G72" s="36">
        <v>22.0</v>
      </c>
      <c r="H72" s="36">
        <v>0.75</v>
      </c>
      <c r="I72" s="36">
        <v>16.6</v>
      </c>
      <c r="J72" s="36">
        <v>90.9</v>
      </c>
      <c r="K72" s="36">
        <v>122.0</v>
      </c>
      <c r="L72" s="36">
        <v>38.0</v>
      </c>
      <c r="M72" s="36">
        <v>94.0</v>
      </c>
      <c r="N72" s="36">
        <v>50.0</v>
      </c>
      <c r="O72" s="36">
        <v>22.0</v>
      </c>
      <c r="P72" s="36">
        <v>27.0</v>
      </c>
      <c r="Q72" s="36">
        <v>0.43</v>
      </c>
      <c r="R72" s="36">
        <v>1.16</v>
      </c>
      <c r="S72" s="36">
        <v>1.53</v>
      </c>
      <c r="T72" s="36">
        <v>2.69</v>
      </c>
      <c r="U72" s="21">
        <f t="shared" si="1"/>
        <v>2690</v>
      </c>
      <c r="V72" s="21">
        <f t="shared" si="2"/>
        <v>0</v>
      </c>
    </row>
    <row r="73" ht="14.25" customHeight="1">
      <c r="A73" s="38">
        <v>0.4354166666666667</v>
      </c>
      <c r="B73" s="36">
        <v>54.0</v>
      </c>
      <c r="C73" s="36">
        <v>11.3</v>
      </c>
      <c r="D73" s="36">
        <v>688.0</v>
      </c>
      <c r="E73" s="36">
        <v>650.0</v>
      </c>
      <c r="F73" s="36">
        <v>0.94</v>
      </c>
      <c r="G73" s="36">
        <v>22.0</v>
      </c>
      <c r="H73" s="36">
        <v>0.75</v>
      </c>
      <c r="I73" s="36">
        <v>16.6</v>
      </c>
      <c r="J73" s="36">
        <v>90.9</v>
      </c>
      <c r="K73" s="36">
        <v>122.0</v>
      </c>
      <c r="L73" s="36">
        <v>37.9</v>
      </c>
      <c r="M73" s="36">
        <v>94.0</v>
      </c>
      <c r="N73" s="36">
        <v>50.0</v>
      </c>
      <c r="O73" s="36">
        <v>22.0</v>
      </c>
      <c r="P73" s="36">
        <v>27.0</v>
      </c>
      <c r="Q73" s="36">
        <v>0.43</v>
      </c>
      <c r="R73" s="36">
        <v>1.16</v>
      </c>
      <c r="S73" s="36">
        <v>1.53</v>
      </c>
      <c r="T73" s="36">
        <v>2.69</v>
      </c>
      <c r="U73" s="21">
        <f t="shared" si="1"/>
        <v>2690</v>
      </c>
      <c r="V73" s="21">
        <f t="shared" si="2"/>
        <v>22500</v>
      </c>
    </row>
    <row r="74" ht="14.25" customHeight="1">
      <c r="A74" s="38">
        <v>0.43819444444444444</v>
      </c>
      <c r="B74" s="36">
        <v>56.0</v>
      </c>
      <c r="C74" s="36">
        <v>12.0</v>
      </c>
      <c r="D74" s="36">
        <v>732.0</v>
      </c>
      <c r="E74" s="36">
        <v>694.0</v>
      </c>
      <c r="F74" s="36">
        <v>0.95</v>
      </c>
      <c r="G74" s="36">
        <v>21.0</v>
      </c>
      <c r="H74" s="36">
        <v>0.81</v>
      </c>
      <c r="I74" s="36">
        <v>17.1</v>
      </c>
      <c r="J74" s="36">
        <v>90.7</v>
      </c>
      <c r="K74" s="36">
        <v>120.0</v>
      </c>
      <c r="L74" s="36">
        <v>38.8</v>
      </c>
      <c r="M74" s="36">
        <v>94.0</v>
      </c>
      <c r="N74" s="36">
        <v>50.0</v>
      </c>
      <c r="O74" s="36">
        <v>21.0</v>
      </c>
      <c r="P74" s="36">
        <v>28.0</v>
      </c>
      <c r="Q74" s="36">
        <v>0.42</v>
      </c>
      <c r="R74" s="36">
        <v>1.19</v>
      </c>
      <c r="S74" s="36">
        <v>1.64</v>
      </c>
      <c r="T74" s="36">
        <v>2.84</v>
      </c>
      <c r="U74" s="21">
        <f t="shared" si="1"/>
        <v>2840</v>
      </c>
      <c r="V74" s="21">
        <f t="shared" si="2"/>
        <v>129600</v>
      </c>
    </row>
    <row r="75" ht="14.25" customHeight="1">
      <c r="A75" s="38">
        <v>0.4395833333333333</v>
      </c>
      <c r="B75" s="36">
        <v>57.0</v>
      </c>
      <c r="C75" s="36">
        <v>13.4</v>
      </c>
      <c r="D75" s="36">
        <v>815.0</v>
      </c>
      <c r="E75" s="36">
        <v>763.0</v>
      </c>
      <c r="F75" s="36">
        <v>0.94</v>
      </c>
      <c r="G75" s="36">
        <v>24.0</v>
      </c>
      <c r="H75" s="36">
        <v>0.77</v>
      </c>
      <c r="I75" s="36">
        <v>18.7</v>
      </c>
      <c r="J75" s="36">
        <v>89.8</v>
      </c>
      <c r="K75" s="36">
        <v>122.0</v>
      </c>
      <c r="L75" s="36">
        <v>38.2</v>
      </c>
      <c r="M75" s="36">
        <v>93.0</v>
      </c>
      <c r="N75" s="36">
        <v>51.0</v>
      </c>
      <c r="O75" s="36">
        <v>24.0</v>
      </c>
      <c r="P75" s="36">
        <v>32.0</v>
      </c>
      <c r="Q75" s="36">
        <v>0.41</v>
      </c>
      <c r="R75" s="36">
        <v>1.03</v>
      </c>
      <c r="S75" s="36">
        <v>1.45</v>
      </c>
      <c r="T75" s="36">
        <v>2.48</v>
      </c>
      <c r="U75" s="21">
        <f t="shared" si="1"/>
        <v>2480</v>
      </c>
      <c r="V75" s="21">
        <f t="shared" si="2"/>
        <v>900</v>
      </c>
    </row>
    <row r="76" ht="14.25" customHeight="1">
      <c r="A76" s="38">
        <v>0.4409722222222222</v>
      </c>
      <c r="B76" s="36">
        <v>58.0</v>
      </c>
      <c r="C76" s="36">
        <v>14.2</v>
      </c>
      <c r="D76" s="36">
        <v>866.0</v>
      </c>
      <c r="E76" s="36">
        <v>815.0</v>
      </c>
      <c r="F76" s="36">
        <v>0.94</v>
      </c>
      <c r="G76" s="36">
        <v>25.0</v>
      </c>
      <c r="H76" s="36">
        <v>0.8</v>
      </c>
      <c r="I76" s="36">
        <v>19.6</v>
      </c>
      <c r="J76" s="36">
        <v>89.3</v>
      </c>
      <c r="K76" s="36">
        <v>122.0</v>
      </c>
      <c r="L76" s="36">
        <v>38.0</v>
      </c>
      <c r="M76" s="36">
        <v>93.0</v>
      </c>
      <c r="N76" s="36">
        <v>51.0</v>
      </c>
      <c r="O76" s="36">
        <v>25.0</v>
      </c>
      <c r="P76" s="36">
        <v>34.0</v>
      </c>
      <c r="Q76" s="36">
        <v>0.43</v>
      </c>
      <c r="R76" s="36">
        <v>1.04</v>
      </c>
      <c r="S76" s="36">
        <v>1.4</v>
      </c>
      <c r="T76" s="36">
        <v>2.45</v>
      </c>
      <c r="U76" s="21">
        <f t="shared" si="1"/>
        <v>2450</v>
      </c>
      <c r="V76" s="21">
        <f t="shared" si="2"/>
        <v>900</v>
      </c>
    </row>
    <row r="77" ht="14.25" customHeight="1">
      <c r="A77" s="38">
        <v>0.44305555555555554</v>
      </c>
      <c r="B77" s="36">
        <v>60.0</v>
      </c>
      <c r="C77" s="36">
        <v>15.0</v>
      </c>
      <c r="D77" s="36">
        <v>913.0</v>
      </c>
      <c r="E77" s="36">
        <v>871.0</v>
      </c>
      <c r="F77" s="36">
        <v>0.95</v>
      </c>
      <c r="G77" s="36">
        <v>24.0</v>
      </c>
      <c r="H77" s="36">
        <v>0.86</v>
      </c>
      <c r="I77" s="36">
        <v>20.9</v>
      </c>
      <c r="J77" s="36">
        <v>88.6</v>
      </c>
      <c r="K77" s="36">
        <v>124.0</v>
      </c>
      <c r="L77" s="36">
        <v>37.2</v>
      </c>
      <c r="M77" s="36">
        <v>94.0</v>
      </c>
      <c r="N77" s="36">
        <v>50.0</v>
      </c>
      <c r="O77" s="36">
        <v>24.0</v>
      </c>
      <c r="P77" s="36">
        <v>35.0</v>
      </c>
      <c r="Q77" s="36">
        <v>0.43</v>
      </c>
      <c r="R77" s="36">
        <v>1.07</v>
      </c>
      <c r="S77" s="36">
        <v>1.42</v>
      </c>
      <c r="T77" s="36">
        <v>2.48</v>
      </c>
      <c r="U77" s="21">
        <f t="shared" si="1"/>
        <v>2480</v>
      </c>
      <c r="V77" s="21">
        <f t="shared" si="2"/>
        <v>100</v>
      </c>
    </row>
    <row r="78" ht="14.25" customHeight="1">
      <c r="A78" s="38">
        <v>0.4444444444444444</v>
      </c>
      <c r="B78" s="36">
        <v>61.0</v>
      </c>
      <c r="C78" s="36">
        <v>15.4</v>
      </c>
      <c r="D78" s="36">
        <v>942.0</v>
      </c>
      <c r="E78" s="36">
        <v>906.0</v>
      </c>
      <c r="F78" s="36">
        <v>0.96</v>
      </c>
      <c r="G78" s="36">
        <v>24.0</v>
      </c>
      <c r="H78" s="36">
        <v>0.89</v>
      </c>
      <c r="I78" s="36">
        <v>21.5</v>
      </c>
      <c r="J78" s="36">
        <v>88.3</v>
      </c>
      <c r="K78" s="36">
        <v>125.0</v>
      </c>
      <c r="L78" s="36">
        <v>36.7</v>
      </c>
      <c r="M78" s="36">
        <v>94.0</v>
      </c>
      <c r="N78" s="36">
        <v>50.0</v>
      </c>
      <c r="O78" s="36">
        <v>24.0</v>
      </c>
      <c r="P78" s="36">
        <v>37.0</v>
      </c>
      <c r="Q78" s="36">
        <v>0.43</v>
      </c>
      <c r="R78" s="36">
        <v>1.08</v>
      </c>
      <c r="S78" s="36">
        <v>1.41</v>
      </c>
      <c r="T78" s="36">
        <v>2.49</v>
      </c>
      <c r="U78" s="21">
        <f t="shared" si="1"/>
        <v>2490</v>
      </c>
      <c r="V78" s="21">
        <f t="shared" si="2"/>
        <v>10000</v>
      </c>
    </row>
    <row r="79" ht="14.25" customHeight="1">
      <c r="A79" s="38">
        <v>0.4465277777777778</v>
      </c>
      <c r="B79" s="36">
        <v>62.0</v>
      </c>
      <c r="C79" s="36">
        <v>15.9</v>
      </c>
      <c r="D79" s="36">
        <v>972.0</v>
      </c>
      <c r="E79" s="36">
        <v>940.0</v>
      </c>
      <c r="F79" s="36">
        <v>0.97</v>
      </c>
      <c r="G79" s="36">
        <v>23.0</v>
      </c>
      <c r="H79" s="36">
        <v>0.95</v>
      </c>
      <c r="I79" s="36">
        <v>22.0</v>
      </c>
      <c r="J79" s="36">
        <v>88.0</v>
      </c>
      <c r="K79" s="36">
        <v>125.0</v>
      </c>
      <c r="L79" s="36">
        <v>36.5</v>
      </c>
      <c r="M79" s="36">
        <v>94.0</v>
      </c>
      <c r="N79" s="36">
        <v>50.0</v>
      </c>
      <c r="O79" s="36">
        <v>23.0</v>
      </c>
      <c r="P79" s="36">
        <v>38.0</v>
      </c>
      <c r="Q79" s="36">
        <v>0.44</v>
      </c>
      <c r="R79" s="36">
        <v>1.14</v>
      </c>
      <c r="S79" s="36">
        <v>1.45</v>
      </c>
      <c r="T79" s="36">
        <v>2.59</v>
      </c>
      <c r="U79" s="21">
        <f t="shared" si="1"/>
        <v>2590</v>
      </c>
      <c r="V79" s="21">
        <f t="shared" si="2"/>
        <v>400</v>
      </c>
    </row>
    <row r="80" ht="14.25" customHeight="1">
      <c r="A80" s="38">
        <v>0.4479166666666667</v>
      </c>
      <c r="B80" s="36">
        <v>63.0</v>
      </c>
      <c r="C80" s="36">
        <v>15.7</v>
      </c>
      <c r="D80" s="36">
        <v>958.0</v>
      </c>
      <c r="E80" s="36">
        <v>940.0</v>
      </c>
      <c r="F80" s="36">
        <v>0.98</v>
      </c>
      <c r="G80" s="36">
        <v>23.0</v>
      </c>
      <c r="H80" s="36">
        <v>0.96</v>
      </c>
      <c r="I80" s="36">
        <v>21.9</v>
      </c>
      <c r="J80" s="36">
        <v>88.0</v>
      </c>
      <c r="K80" s="36">
        <v>126.0</v>
      </c>
      <c r="L80" s="36">
        <v>36.2</v>
      </c>
      <c r="M80" s="36">
        <v>95.0</v>
      </c>
      <c r="N80" s="36">
        <v>50.0</v>
      </c>
      <c r="O80" s="36">
        <v>23.0</v>
      </c>
      <c r="P80" s="36">
        <v>37.0</v>
      </c>
      <c r="Q80" s="36">
        <v>0.44</v>
      </c>
      <c r="R80" s="36">
        <v>1.16</v>
      </c>
      <c r="S80" s="36">
        <v>1.45</v>
      </c>
      <c r="T80" s="36">
        <v>2.61</v>
      </c>
      <c r="U80" s="21">
        <f t="shared" si="1"/>
        <v>2610</v>
      </c>
      <c r="V80" s="21">
        <f t="shared" si="2"/>
        <v>52900</v>
      </c>
    </row>
    <row r="81" ht="14.25" customHeight="1">
      <c r="A81" s="38">
        <v>0.44930555555555557</v>
      </c>
      <c r="B81" s="36">
        <v>64.0</v>
      </c>
      <c r="C81" s="36">
        <v>15.5</v>
      </c>
      <c r="D81" s="36">
        <v>945.0</v>
      </c>
      <c r="E81" s="36">
        <v>943.0</v>
      </c>
      <c r="F81" s="36">
        <v>1.0</v>
      </c>
      <c r="G81" s="36">
        <v>25.0</v>
      </c>
      <c r="H81" s="36">
        <v>0.88</v>
      </c>
      <c r="I81" s="36">
        <v>22.1</v>
      </c>
      <c r="J81" s="36">
        <v>87.9</v>
      </c>
      <c r="K81" s="36">
        <v>126.0</v>
      </c>
      <c r="L81" s="36">
        <v>36.0</v>
      </c>
      <c r="M81" s="36">
        <v>96.0</v>
      </c>
      <c r="N81" s="36">
        <v>50.0</v>
      </c>
      <c r="O81" s="36">
        <v>25.0</v>
      </c>
      <c r="P81" s="36">
        <v>37.0</v>
      </c>
      <c r="Q81" s="36">
        <v>0.45</v>
      </c>
      <c r="R81" s="36">
        <v>1.06</v>
      </c>
      <c r="S81" s="36">
        <v>1.32</v>
      </c>
      <c r="T81" s="36">
        <v>2.38</v>
      </c>
      <c r="U81" s="21">
        <f t="shared" si="1"/>
        <v>2380</v>
      </c>
      <c r="V81" s="21">
        <f t="shared" si="2"/>
        <v>0</v>
      </c>
    </row>
    <row r="82" ht="14.25" customHeight="1">
      <c r="A82" s="38">
        <v>0.4513888888888889</v>
      </c>
      <c r="B82" s="36">
        <v>66.0</v>
      </c>
      <c r="C82" s="36">
        <v>15.0</v>
      </c>
      <c r="D82" s="36">
        <v>914.0</v>
      </c>
      <c r="E82" s="36">
        <v>906.0</v>
      </c>
      <c r="F82" s="36">
        <v>0.99</v>
      </c>
      <c r="G82" s="36">
        <v>25.0</v>
      </c>
      <c r="H82" s="36">
        <v>0.85</v>
      </c>
      <c r="I82" s="36">
        <v>21.4</v>
      </c>
      <c r="J82" s="36">
        <v>88.3</v>
      </c>
      <c r="K82" s="36">
        <v>127.0</v>
      </c>
      <c r="L82" s="36">
        <v>35.6</v>
      </c>
      <c r="M82" s="36">
        <v>96.0</v>
      </c>
      <c r="N82" s="36">
        <v>50.0</v>
      </c>
      <c r="O82" s="36">
        <v>25.0</v>
      </c>
      <c r="P82" s="36">
        <v>36.0</v>
      </c>
      <c r="Q82" s="36">
        <v>0.45</v>
      </c>
      <c r="R82" s="36">
        <v>1.07</v>
      </c>
      <c r="S82" s="36">
        <v>1.32</v>
      </c>
      <c r="T82" s="36">
        <v>2.38</v>
      </c>
      <c r="U82" s="21">
        <f t="shared" si="1"/>
        <v>2380</v>
      </c>
      <c r="V82" s="21">
        <f t="shared" si="2"/>
        <v>0</v>
      </c>
    </row>
    <row r="83" ht="14.25" customHeight="1">
      <c r="A83" s="38">
        <v>0.4527777777777778</v>
      </c>
      <c r="B83" s="36">
        <v>66.0</v>
      </c>
      <c r="C83" s="36">
        <v>15.5</v>
      </c>
      <c r="D83" s="36">
        <v>946.0</v>
      </c>
      <c r="E83" s="36">
        <v>943.0</v>
      </c>
      <c r="F83" s="36">
        <v>1.0</v>
      </c>
      <c r="G83" s="36">
        <v>25.0</v>
      </c>
      <c r="H83" s="36">
        <v>0.88</v>
      </c>
      <c r="I83" s="36">
        <v>22.1</v>
      </c>
      <c r="J83" s="36">
        <v>87.9</v>
      </c>
      <c r="K83" s="36">
        <v>127.0</v>
      </c>
      <c r="L83" s="36">
        <v>35.7</v>
      </c>
      <c r="M83" s="36">
        <v>96.0</v>
      </c>
      <c r="N83" s="36">
        <v>50.0</v>
      </c>
      <c r="O83" s="36">
        <v>25.0</v>
      </c>
      <c r="P83" s="36">
        <v>37.0</v>
      </c>
      <c r="Q83" s="36">
        <v>0.45</v>
      </c>
      <c r="R83" s="36">
        <v>1.06</v>
      </c>
      <c r="S83" s="36">
        <v>1.32</v>
      </c>
      <c r="T83" s="36">
        <v>2.38</v>
      </c>
      <c r="U83" s="21">
        <f t="shared" si="1"/>
        <v>2380</v>
      </c>
      <c r="V83" s="21">
        <f t="shared" si="2"/>
        <v>12100</v>
      </c>
    </row>
    <row r="84" ht="14.25" customHeight="1">
      <c r="A84" s="38">
        <v>0.4548611111111111</v>
      </c>
      <c r="B84" s="36">
        <v>68.0</v>
      </c>
      <c r="C84" s="36">
        <v>16.0</v>
      </c>
      <c r="D84" s="36">
        <v>979.0</v>
      </c>
      <c r="E84" s="36">
        <v>984.0</v>
      </c>
      <c r="F84" s="36">
        <v>1.01</v>
      </c>
      <c r="G84" s="36">
        <v>24.0</v>
      </c>
      <c r="H84" s="36">
        <v>0.94</v>
      </c>
      <c r="I84" s="36">
        <v>22.8</v>
      </c>
      <c r="J84" s="36">
        <v>87.6</v>
      </c>
      <c r="K84" s="36">
        <v>128.0</v>
      </c>
      <c r="L84" s="36">
        <v>34.8</v>
      </c>
      <c r="M84" s="36">
        <v>96.0</v>
      </c>
      <c r="N84" s="36">
        <v>50.0</v>
      </c>
      <c r="O84" s="36">
        <v>24.0</v>
      </c>
      <c r="P84" s="36">
        <v>38.0</v>
      </c>
      <c r="Q84" s="36">
        <v>0.46</v>
      </c>
      <c r="R84" s="36">
        <v>1.14</v>
      </c>
      <c r="S84" s="36">
        <v>1.35</v>
      </c>
      <c r="T84" s="36">
        <v>2.49</v>
      </c>
      <c r="U84" s="21">
        <f t="shared" si="1"/>
        <v>2490</v>
      </c>
    </row>
    <row r="85" ht="14.25" customHeight="1">
      <c r="A85" s="36" t="s">
        <v>80</v>
      </c>
      <c r="U85" s="21">
        <f t="shared" si="1"/>
        <v>0</v>
      </c>
    </row>
    <row r="86" ht="14.25" customHeight="1">
      <c r="A86" s="38">
        <v>0.45625</v>
      </c>
      <c r="B86" s="36">
        <v>69.0</v>
      </c>
      <c r="C86" s="36">
        <v>17.2</v>
      </c>
      <c r="D86" s="36">
        <v>1050.0</v>
      </c>
      <c r="E86" s="36">
        <v>1070.0</v>
      </c>
      <c r="F86" s="36">
        <v>1.02</v>
      </c>
      <c r="G86" s="36">
        <v>25.0</v>
      </c>
      <c r="H86" s="36">
        <v>0.99</v>
      </c>
      <c r="I86" s="36">
        <v>24.5</v>
      </c>
      <c r="J86" s="36">
        <v>86.7</v>
      </c>
      <c r="K86" s="36">
        <v>129.0</v>
      </c>
      <c r="L86" s="36">
        <v>34.4</v>
      </c>
      <c r="M86" s="36">
        <v>96.0</v>
      </c>
      <c r="N86" s="36">
        <v>50.0</v>
      </c>
      <c r="O86" s="36">
        <v>25.0</v>
      </c>
      <c r="P86" s="36">
        <v>41.0</v>
      </c>
      <c r="Q86" s="36">
        <v>0.46</v>
      </c>
      <c r="R86" s="36">
        <v>1.11</v>
      </c>
      <c r="S86" s="36">
        <v>1.32</v>
      </c>
      <c r="T86" s="36">
        <v>2.43</v>
      </c>
      <c r="U86" s="21">
        <f t="shared" si="1"/>
        <v>2430</v>
      </c>
      <c r="V86" s="21">
        <f t="shared" ref="V86:V120" si="3">(U86-U87)^2</f>
        <v>8100</v>
      </c>
      <c r="W86" s="21">
        <f>SQRT(AVERAGE(V86:V120))</f>
        <v>152.2967029</v>
      </c>
    </row>
    <row r="87" ht="14.25" customHeight="1">
      <c r="A87" s="38">
        <v>0.4576388888888889</v>
      </c>
      <c r="B87" s="36">
        <v>70.0</v>
      </c>
      <c r="C87" s="36">
        <v>17.3</v>
      </c>
      <c r="D87" s="36">
        <v>1053.0</v>
      </c>
      <c r="E87" s="36">
        <v>1087.0</v>
      </c>
      <c r="F87" s="36">
        <v>1.03</v>
      </c>
      <c r="G87" s="36">
        <v>26.0</v>
      </c>
      <c r="H87" s="36">
        <v>0.97</v>
      </c>
      <c r="I87" s="36">
        <v>24.9</v>
      </c>
      <c r="J87" s="36">
        <v>86.4</v>
      </c>
      <c r="K87" s="36">
        <v>130.0</v>
      </c>
      <c r="L87" s="36">
        <v>33.8</v>
      </c>
      <c r="M87" s="36">
        <v>97.0</v>
      </c>
      <c r="N87" s="36">
        <v>50.0</v>
      </c>
      <c r="O87" s="36">
        <v>26.0</v>
      </c>
      <c r="P87" s="36">
        <v>41.0</v>
      </c>
      <c r="Q87" s="36">
        <v>0.46</v>
      </c>
      <c r="R87" s="36">
        <v>1.07</v>
      </c>
      <c r="S87" s="36">
        <v>1.27</v>
      </c>
      <c r="T87" s="36">
        <v>2.34</v>
      </c>
      <c r="U87" s="21">
        <f t="shared" si="1"/>
        <v>2340</v>
      </c>
      <c r="V87" s="21">
        <f t="shared" si="3"/>
        <v>400</v>
      </c>
    </row>
    <row r="88" ht="14.25" customHeight="1">
      <c r="A88" s="38">
        <v>0.4597222222222222</v>
      </c>
      <c r="B88" s="36">
        <v>71.0</v>
      </c>
      <c r="C88" s="36">
        <v>17.0</v>
      </c>
      <c r="D88" s="36">
        <v>1036.0</v>
      </c>
      <c r="E88" s="36">
        <v>1082.0</v>
      </c>
      <c r="F88" s="36">
        <v>1.04</v>
      </c>
      <c r="G88" s="36">
        <v>25.0</v>
      </c>
      <c r="H88" s="36">
        <v>0.98</v>
      </c>
      <c r="I88" s="36">
        <v>24.9</v>
      </c>
      <c r="J88" s="36">
        <v>86.4</v>
      </c>
      <c r="K88" s="36">
        <v>130.0</v>
      </c>
      <c r="L88" s="36">
        <v>33.8</v>
      </c>
      <c r="M88" s="36">
        <v>98.0</v>
      </c>
      <c r="N88" s="36">
        <v>50.0</v>
      </c>
      <c r="O88" s="36">
        <v>25.0</v>
      </c>
      <c r="P88" s="36">
        <v>40.0</v>
      </c>
      <c r="Q88" s="36">
        <v>0.46</v>
      </c>
      <c r="R88" s="36">
        <v>1.09</v>
      </c>
      <c r="S88" s="36">
        <v>1.27</v>
      </c>
      <c r="T88" s="36">
        <v>2.36</v>
      </c>
      <c r="U88" s="21">
        <f t="shared" si="1"/>
        <v>2360</v>
      </c>
      <c r="V88" s="21">
        <f t="shared" si="3"/>
        <v>100</v>
      </c>
    </row>
    <row r="89" ht="14.25" customHeight="1">
      <c r="A89" s="38">
        <v>0.46111111111111114</v>
      </c>
      <c r="B89" s="36">
        <v>72.0</v>
      </c>
      <c r="C89" s="36">
        <v>17.7</v>
      </c>
      <c r="D89" s="36">
        <v>1077.0</v>
      </c>
      <c r="E89" s="36">
        <v>1139.0</v>
      </c>
      <c r="F89" s="36">
        <v>1.06</v>
      </c>
      <c r="G89" s="36">
        <v>25.0</v>
      </c>
      <c r="H89" s="36">
        <v>1.03</v>
      </c>
      <c r="I89" s="36">
        <v>26.1</v>
      </c>
      <c r="J89" s="36">
        <v>85.7</v>
      </c>
      <c r="K89" s="36">
        <v>132.0</v>
      </c>
      <c r="L89" s="36">
        <v>33.2</v>
      </c>
      <c r="M89" s="36">
        <v>98.0</v>
      </c>
      <c r="N89" s="36">
        <v>50.0</v>
      </c>
      <c r="O89" s="36">
        <v>25.0</v>
      </c>
      <c r="P89" s="36">
        <v>42.0</v>
      </c>
      <c r="Q89" s="36">
        <v>0.46</v>
      </c>
      <c r="R89" s="36">
        <v>1.09</v>
      </c>
      <c r="S89" s="36">
        <v>1.27</v>
      </c>
      <c r="T89" s="36">
        <v>2.37</v>
      </c>
      <c r="U89" s="21">
        <f t="shared" si="1"/>
        <v>2370</v>
      </c>
      <c r="V89" s="21">
        <f t="shared" si="3"/>
        <v>900</v>
      </c>
    </row>
    <row r="90" ht="14.25" customHeight="1">
      <c r="A90" s="38">
        <v>0.4638888888888889</v>
      </c>
      <c r="B90" s="36">
        <v>75.0</v>
      </c>
      <c r="C90" s="36">
        <v>19.2</v>
      </c>
      <c r="D90" s="36">
        <v>1170.0</v>
      </c>
      <c r="E90" s="36">
        <v>1237.0</v>
      </c>
      <c r="F90" s="36">
        <v>1.06</v>
      </c>
      <c r="G90" s="36">
        <v>25.0</v>
      </c>
      <c r="H90" s="36">
        <v>1.12</v>
      </c>
      <c r="I90" s="36">
        <v>27.9</v>
      </c>
      <c r="J90" s="36">
        <v>84.8</v>
      </c>
      <c r="K90" s="36">
        <v>134.0</v>
      </c>
      <c r="L90" s="36">
        <v>31.9</v>
      </c>
      <c r="M90" s="36">
        <v>98.0</v>
      </c>
      <c r="N90" s="36">
        <v>50.0</v>
      </c>
      <c r="O90" s="36">
        <v>25.0</v>
      </c>
      <c r="P90" s="36">
        <v>46.0</v>
      </c>
      <c r="Q90" s="36">
        <v>0.44</v>
      </c>
      <c r="R90" s="36">
        <v>1.06</v>
      </c>
      <c r="S90" s="36">
        <v>1.33</v>
      </c>
      <c r="T90" s="36">
        <v>2.4</v>
      </c>
      <c r="U90" s="21">
        <f t="shared" si="1"/>
        <v>2400</v>
      </c>
      <c r="V90" s="21">
        <f t="shared" si="3"/>
        <v>1600</v>
      </c>
    </row>
    <row r="91" ht="14.25" customHeight="1">
      <c r="A91" s="38">
        <v>0.46597222222222223</v>
      </c>
      <c r="B91" s="36">
        <v>76.0</v>
      </c>
      <c r="C91" s="36">
        <v>18.3</v>
      </c>
      <c r="D91" s="36">
        <v>1117.0</v>
      </c>
      <c r="E91" s="36">
        <v>1200.0</v>
      </c>
      <c r="F91" s="36">
        <v>1.07</v>
      </c>
      <c r="G91" s="36">
        <v>25.0</v>
      </c>
      <c r="H91" s="36">
        <v>1.11</v>
      </c>
      <c r="I91" s="36">
        <v>27.3</v>
      </c>
      <c r="J91" s="36">
        <v>85.1</v>
      </c>
      <c r="K91" s="36">
        <v>134.0</v>
      </c>
      <c r="L91" s="36">
        <v>31.9</v>
      </c>
      <c r="M91" s="36">
        <v>99.0</v>
      </c>
      <c r="N91" s="36">
        <v>50.0</v>
      </c>
      <c r="O91" s="36">
        <v>25.0</v>
      </c>
      <c r="P91" s="36">
        <v>43.0</v>
      </c>
      <c r="Q91" s="36">
        <v>0.44</v>
      </c>
      <c r="R91" s="36">
        <v>1.07</v>
      </c>
      <c r="S91" s="36">
        <v>1.37</v>
      </c>
      <c r="T91" s="36">
        <v>2.44</v>
      </c>
      <c r="U91" s="21">
        <f t="shared" si="1"/>
        <v>2440</v>
      </c>
      <c r="V91" s="21">
        <f t="shared" si="3"/>
        <v>40000</v>
      </c>
    </row>
    <row r="92" ht="14.25" customHeight="1">
      <c r="A92" s="38">
        <v>0.4673611111111111</v>
      </c>
      <c r="B92" s="36">
        <v>77.0</v>
      </c>
      <c r="C92" s="36">
        <v>18.4</v>
      </c>
      <c r="D92" s="36">
        <v>1121.0</v>
      </c>
      <c r="E92" s="36">
        <v>1229.0</v>
      </c>
      <c r="F92" s="36">
        <v>1.1</v>
      </c>
      <c r="G92" s="36">
        <v>27.0</v>
      </c>
      <c r="H92" s="36">
        <v>1.05</v>
      </c>
      <c r="I92" s="36">
        <v>28.2</v>
      </c>
      <c r="J92" s="36">
        <v>84.6</v>
      </c>
      <c r="K92" s="36">
        <v>135.0</v>
      </c>
      <c r="L92" s="36">
        <v>31.4</v>
      </c>
      <c r="M92" s="36">
        <v>100.0</v>
      </c>
      <c r="N92" s="36">
        <v>50.0</v>
      </c>
      <c r="O92" s="36">
        <v>27.0</v>
      </c>
      <c r="P92" s="36">
        <v>44.0</v>
      </c>
      <c r="Q92" s="36">
        <v>0.44</v>
      </c>
      <c r="R92" s="36">
        <v>1.0</v>
      </c>
      <c r="S92" s="36">
        <v>1.25</v>
      </c>
      <c r="T92" s="36">
        <v>2.24</v>
      </c>
      <c r="U92" s="21">
        <f t="shared" si="1"/>
        <v>2240</v>
      </c>
      <c r="V92" s="21">
        <f t="shared" si="3"/>
        <v>84100</v>
      </c>
    </row>
    <row r="93" ht="14.25" customHeight="1">
      <c r="A93" s="38">
        <v>0.4701388888888889</v>
      </c>
      <c r="B93" s="36">
        <v>79.0</v>
      </c>
      <c r="C93" s="36">
        <v>17.6</v>
      </c>
      <c r="D93" s="36">
        <v>1076.0</v>
      </c>
      <c r="E93" s="36">
        <v>1231.0</v>
      </c>
      <c r="F93" s="36">
        <v>1.14</v>
      </c>
      <c r="G93" s="36">
        <v>24.0</v>
      </c>
      <c r="H93" s="36">
        <v>1.19</v>
      </c>
      <c r="I93" s="36">
        <v>28.2</v>
      </c>
      <c r="J93" s="36">
        <v>84.6</v>
      </c>
      <c r="K93" s="36">
        <v>135.0</v>
      </c>
      <c r="L93" s="36">
        <v>31.4</v>
      </c>
      <c r="M93" s="36">
        <v>101.0</v>
      </c>
      <c r="N93" s="36">
        <v>50.0</v>
      </c>
      <c r="O93" s="36">
        <v>24.0</v>
      </c>
      <c r="P93" s="36">
        <v>42.0</v>
      </c>
      <c r="Q93" s="36">
        <v>0.45</v>
      </c>
      <c r="R93" s="36">
        <v>1.13</v>
      </c>
      <c r="S93" s="36">
        <v>1.4</v>
      </c>
      <c r="T93" s="36">
        <v>2.53</v>
      </c>
      <c r="U93" s="21">
        <f t="shared" si="1"/>
        <v>2530</v>
      </c>
      <c r="V93" s="21">
        <f t="shared" si="3"/>
        <v>100</v>
      </c>
    </row>
    <row r="94" ht="14.25" customHeight="1">
      <c r="A94" s="38">
        <v>0.47152777777777777</v>
      </c>
      <c r="B94" s="36">
        <v>80.0</v>
      </c>
      <c r="C94" s="36">
        <v>18.3</v>
      </c>
      <c r="D94" s="36">
        <v>1116.0</v>
      </c>
      <c r="E94" s="36">
        <v>1297.0</v>
      </c>
      <c r="F94" s="36">
        <v>1.16</v>
      </c>
      <c r="G94" s="36">
        <v>24.0</v>
      </c>
      <c r="H94" s="36">
        <v>1.25</v>
      </c>
      <c r="I94" s="36">
        <v>29.7</v>
      </c>
      <c r="J94" s="36">
        <v>83.8</v>
      </c>
      <c r="K94" s="36">
        <v>136.0</v>
      </c>
      <c r="L94" s="36">
        <v>30.9</v>
      </c>
      <c r="M94" s="36">
        <v>101.0</v>
      </c>
      <c r="N94" s="36">
        <v>50.0</v>
      </c>
      <c r="O94" s="36">
        <v>24.0</v>
      </c>
      <c r="P94" s="36">
        <v>43.0</v>
      </c>
      <c r="Q94" s="36">
        <v>0.43</v>
      </c>
      <c r="R94" s="36">
        <v>1.09</v>
      </c>
      <c r="S94" s="36">
        <v>1.43</v>
      </c>
      <c r="T94" s="36">
        <v>2.52</v>
      </c>
      <c r="U94" s="21">
        <f t="shared" si="1"/>
        <v>2520</v>
      </c>
      <c r="V94" s="21">
        <f t="shared" si="3"/>
        <v>2500</v>
      </c>
    </row>
    <row r="95" ht="14.25" customHeight="1">
      <c r="A95" s="38">
        <v>0.47291666666666665</v>
      </c>
      <c r="B95" s="36">
        <v>81.0</v>
      </c>
      <c r="C95" s="36">
        <v>18.7</v>
      </c>
      <c r="D95" s="36">
        <v>1139.0</v>
      </c>
      <c r="E95" s="36">
        <v>1330.0</v>
      </c>
      <c r="F95" s="36">
        <v>1.17</v>
      </c>
      <c r="G95" s="36">
        <v>24.0</v>
      </c>
      <c r="H95" s="36">
        <v>1.25</v>
      </c>
      <c r="I95" s="36">
        <v>30.4</v>
      </c>
      <c r="J95" s="36">
        <v>83.4</v>
      </c>
      <c r="K95" s="36">
        <v>138.0</v>
      </c>
      <c r="L95" s="36">
        <v>30.0</v>
      </c>
      <c r="M95" s="36">
        <v>102.0</v>
      </c>
      <c r="N95" s="36">
        <v>50.0</v>
      </c>
      <c r="O95" s="36">
        <v>24.0</v>
      </c>
      <c r="P95" s="36">
        <v>44.0</v>
      </c>
      <c r="Q95" s="36">
        <v>0.44</v>
      </c>
      <c r="R95" s="36">
        <v>1.09</v>
      </c>
      <c r="S95" s="36">
        <v>1.38</v>
      </c>
      <c r="T95" s="36">
        <v>2.47</v>
      </c>
      <c r="U95" s="21">
        <f t="shared" si="1"/>
        <v>2470</v>
      </c>
      <c r="V95" s="21">
        <f t="shared" si="3"/>
        <v>14400</v>
      </c>
    </row>
    <row r="96" ht="14.25" customHeight="1">
      <c r="A96" s="38">
        <v>0.475</v>
      </c>
      <c r="B96" s="36">
        <v>82.0</v>
      </c>
      <c r="C96" s="36">
        <v>18.9</v>
      </c>
      <c r="D96" s="36">
        <v>1152.0</v>
      </c>
      <c r="E96" s="36">
        <v>1374.0</v>
      </c>
      <c r="F96" s="36">
        <v>1.19</v>
      </c>
      <c r="G96" s="36">
        <v>23.0</v>
      </c>
      <c r="H96" s="36">
        <v>1.35</v>
      </c>
      <c r="I96" s="36">
        <v>31.2</v>
      </c>
      <c r="J96" s="36">
        <v>83.0</v>
      </c>
      <c r="K96" s="36">
        <v>140.0</v>
      </c>
      <c r="L96" s="36">
        <v>29.2</v>
      </c>
      <c r="M96" s="36">
        <v>102.0</v>
      </c>
      <c r="N96" s="36">
        <v>49.0</v>
      </c>
      <c r="O96" s="36">
        <v>23.0</v>
      </c>
      <c r="P96" s="36">
        <v>45.0</v>
      </c>
      <c r="Q96" s="36">
        <v>0.45</v>
      </c>
      <c r="R96" s="36">
        <v>1.16</v>
      </c>
      <c r="S96" s="36">
        <v>1.43</v>
      </c>
      <c r="T96" s="36">
        <v>2.59</v>
      </c>
      <c r="U96" s="21">
        <f t="shared" si="1"/>
        <v>2590</v>
      </c>
      <c r="V96" s="21">
        <f t="shared" si="3"/>
        <v>0</v>
      </c>
    </row>
    <row r="97" ht="14.25" customHeight="1">
      <c r="A97" s="38">
        <v>0.47638888888888886</v>
      </c>
      <c r="B97" s="36">
        <v>84.0</v>
      </c>
      <c r="C97" s="36">
        <v>18.9</v>
      </c>
      <c r="D97" s="36">
        <v>1152.0</v>
      </c>
      <c r="E97" s="36">
        <v>1374.0</v>
      </c>
      <c r="F97" s="36">
        <v>1.19</v>
      </c>
      <c r="G97" s="36">
        <v>23.0</v>
      </c>
      <c r="H97" s="36">
        <v>1.35</v>
      </c>
      <c r="I97" s="36">
        <v>31.2</v>
      </c>
      <c r="J97" s="36">
        <v>83.0</v>
      </c>
      <c r="K97" s="36">
        <v>141.0</v>
      </c>
      <c r="L97" s="36">
        <v>28.3</v>
      </c>
      <c r="M97" s="36">
        <v>102.0</v>
      </c>
      <c r="N97" s="36">
        <v>49.0</v>
      </c>
      <c r="O97" s="36">
        <v>23.0</v>
      </c>
      <c r="P97" s="36">
        <v>45.0</v>
      </c>
      <c r="Q97" s="36">
        <v>0.45</v>
      </c>
      <c r="R97" s="36">
        <v>1.16</v>
      </c>
      <c r="S97" s="36">
        <v>1.43</v>
      </c>
      <c r="T97" s="36">
        <v>2.59</v>
      </c>
      <c r="U97" s="21">
        <f t="shared" si="1"/>
        <v>2590</v>
      </c>
      <c r="V97" s="21">
        <f t="shared" si="3"/>
        <v>0</v>
      </c>
    </row>
    <row r="98" ht="14.25" customHeight="1">
      <c r="A98" s="38">
        <v>0.4777777777777778</v>
      </c>
      <c r="B98" s="36">
        <v>85.0</v>
      </c>
      <c r="C98" s="36">
        <v>18.9</v>
      </c>
      <c r="D98" s="36">
        <v>1152.0</v>
      </c>
      <c r="E98" s="36">
        <v>1374.0</v>
      </c>
      <c r="F98" s="36">
        <v>1.19</v>
      </c>
      <c r="G98" s="36">
        <v>23.0</v>
      </c>
      <c r="H98" s="36">
        <v>1.35</v>
      </c>
      <c r="I98" s="36">
        <v>31.2</v>
      </c>
      <c r="J98" s="36">
        <v>83.0</v>
      </c>
      <c r="K98" s="36">
        <v>142.0</v>
      </c>
      <c r="L98" s="36">
        <v>27.8</v>
      </c>
      <c r="M98" s="36">
        <v>102.0</v>
      </c>
      <c r="N98" s="36">
        <v>49.0</v>
      </c>
      <c r="O98" s="36">
        <v>23.0</v>
      </c>
      <c r="P98" s="36">
        <v>45.0</v>
      </c>
      <c r="Q98" s="36">
        <v>0.45</v>
      </c>
      <c r="R98" s="36">
        <v>1.16</v>
      </c>
      <c r="S98" s="36">
        <v>1.43</v>
      </c>
      <c r="T98" s="36">
        <v>2.59</v>
      </c>
      <c r="U98" s="21">
        <f t="shared" si="1"/>
        <v>2590</v>
      </c>
      <c r="V98" s="21">
        <f t="shared" si="3"/>
        <v>16900</v>
      </c>
    </row>
    <row r="99" ht="14.25" customHeight="1">
      <c r="A99" s="38">
        <v>0.4791666666666667</v>
      </c>
      <c r="B99" s="36">
        <v>86.0</v>
      </c>
      <c r="C99" s="36">
        <v>18.7</v>
      </c>
      <c r="D99" s="36">
        <v>1142.0</v>
      </c>
      <c r="E99" s="36">
        <v>1371.0</v>
      </c>
      <c r="F99" s="36">
        <v>1.2</v>
      </c>
      <c r="G99" s="36">
        <v>22.0</v>
      </c>
      <c r="H99" s="36">
        <v>1.41</v>
      </c>
      <c r="I99" s="36">
        <v>31.1</v>
      </c>
      <c r="J99" s="36">
        <v>83.0</v>
      </c>
      <c r="K99" s="36">
        <v>146.0</v>
      </c>
      <c r="L99" s="36">
        <v>26.1</v>
      </c>
      <c r="M99" s="36">
        <v>102.0</v>
      </c>
      <c r="N99" s="36">
        <v>50.0</v>
      </c>
      <c r="O99" s="36">
        <v>22.0</v>
      </c>
      <c r="P99" s="36">
        <v>44.0</v>
      </c>
      <c r="Q99" s="36">
        <v>0.45</v>
      </c>
      <c r="R99" s="36">
        <v>1.21</v>
      </c>
      <c r="S99" s="36">
        <v>1.51</v>
      </c>
      <c r="T99" s="36">
        <v>2.72</v>
      </c>
      <c r="U99" s="21">
        <f t="shared" si="1"/>
        <v>2720</v>
      </c>
      <c r="V99" s="21">
        <f t="shared" si="3"/>
        <v>144400</v>
      </c>
    </row>
    <row r="100" ht="14.25" customHeight="1">
      <c r="A100" s="38">
        <v>0.48125</v>
      </c>
      <c r="B100" s="36">
        <v>87.0</v>
      </c>
      <c r="C100" s="36">
        <v>18.9</v>
      </c>
      <c r="D100" s="36">
        <v>1153.0</v>
      </c>
      <c r="E100" s="36">
        <v>1382.0</v>
      </c>
      <c r="F100" s="36">
        <v>1.2</v>
      </c>
      <c r="G100" s="36">
        <v>26.0</v>
      </c>
      <c r="H100" s="36">
        <v>1.23</v>
      </c>
      <c r="I100" s="36">
        <v>31.5</v>
      </c>
      <c r="J100" s="36">
        <v>82.8</v>
      </c>
      <c r="K100" s="36">
        <v>146.0</v>
      </c>
      <c r="L100" s="36">
        <v>26.1</v>
      </c>
      <c r="M100" s="36">
        <v>102.0</v>
      </c>
      <c r="N100" s="36">
        <v>50.0</v>
      </c>
      <c r="O100" s="36">
        <v>26.0</v>
      </c>
      <c r="P100" s="36">
        <v>45.0</v>
      </c>
      <c r="Q100" s="36">
        <v>0.45</v>
      </c>
      <c r="R100" s="36">
        <v>1.06</v>
      </c>
      <c r="S100" s="36">
        <v>1.29</v>
      </c>
      <c r="T100" s="36">
        <v>2.34</v>
      </c>
      <c r="U100" s="21">
        <f t="shared" si="1"/>
        <v>2340</v>
      </c>
      <c r="V100" s="21">
        <f t="shared" si="3"/>
        <v>0</v>
      </c>
    </row>
    <row r="101" ht="14.25" customHeight="1">
      <c r="A101" s="38">
        <v>0.4826388888888889</v>
      </c>
      <c r="B101" s="36">
        <v>88.0</v>
      </c>
      <c r="C101" s="36">
        <v>18.9</v>
      </c>
      <c r="D101" s="36">
        <v>1155.0</v>
      </c>
      <c r="E101" s="36">
        <v>1392.0</v>
      </c>
      <c r="F101" s="36">
        <v>1.21</v>
      </c>
      <c r="G101" s="36">
        <v>26.0</v>
      </c>
      <c r="H101" s="36">
        <v>1.23</v>
      </c>
      <c r="I101" s="36">
        <v>31.7</v>
      </c>
      <c r="J101" s="36">
        <v>82.7</v>
      </c>
      <c r="K101" s="36">
        <v>147.0</v>
      </c>
      <c r="L101" s="36">
        <v>25.2</v>
      </c>
      <c r="M101" s="36">
        <v>103.0</v>
      </c>
      <c r="N101" s="36">
        <v>50.0</v>
      </c>
      <c r="O101" s="36">
        <v>26.0</v>
      </c>
      <c r="P101" s="36">
        <v>45.0</v>
      </c>
      <c r="Q101" s="36">
        <v>0.46</v>
      </c>
      <c r="R101" s="36">
        <v>1.07</v>
      </c>
      <c r="S101" s="36">
        <v>1.27</v>
      </c>
      <c r="T101" s="36">
        <v>2.34</v>
      </c>
      <c r="U101" s="21">
        <f t="shared" si="1"/>
        <v>2340</v>
      </c>
      <c r="V101" s="21">
        <f t="shared" si="3"/>
        <v>12100</v>
      </c>
    </row>
    <row r="102" ht="14.25" customHeight="1">
      <c r="A102" s="38">
        <v>0.4840277777777778</v>
      </c>
      <c r="B102" s="36">
        <v>89.0</v>
      </c>
      <c r="C102" s="36">
        <v>19.4</v>
      </c>
      <c r="D102" s="36">
        <v>1183.0</v>
      </c>
      <c r="E102" s="36">
        <v>1434.0</v>
      </c>
      <c r="F102" s="36">
        <v>1.21</v>
      </c>
      <c r="G102" s="36">
        <v>25.0</v>
      </c>
      <c r="H102" s="36">
        <v>1.32</v>
      </c>
      <c r="I102" s="36">
        <v>32.3</v>
      </c>
      <c r="J102" s="36">
        <v>82.4</v>
      </c>
      <c r="K102" s="36">
        <v>148.0</v>
      </c>
      <c r="L102" s="36">
        <v>24.8</v>
      </c>
      <c r="M102" s="36">
        <v>103.0</v>
      </c>
      <c r="N102" s="36">
        <v>50.0</v>
      </c>
      <c r="O102" s="36">
        <v>25.0</v>
      </c>
      <c r="P102" s="36">
        <v>46.0</v>
      </c>
      <c r="Q102" s="36">
        <v>0.46</v>
      </c>
      <c r="R102" s="36">
        <v>1.13</v>
      </c>
      <c r="S102" s="36">
        <v>1.32</v>
      </c>
      <c r="T102" s="36">
        <v>2.45</v>
      </c>
      <c r="U102" s="21">
        <f t="shared" si="1"/>
        <v>2450</v>
      </c>
      <c r="V102" s="21">
        <f t="shared" si="3"/>
        <v>14400</v>
      </c>
    </row>
    <row r="103" ht="14.25" customHeight="1">
      <c r="A103" s="38">
        <v>0.48541666666666666</v>
      </c>
      <c r="B103" s="36">
        <v>91.0</v>
      </c>
      <c r="C103" s="36">
        <v>20.0</v>
      </c>
      <c r="D103" s="36">
        <v>1218.0</v>
      </c>
      <c r="E103" s="36">
        <v>1467.0</v>
      </c>
      <c r="F103" s="36">
        <v>1.2</v>
      </c>
      <c r="G103" s="36">
        <v>26.0</v>
      </c>
      <c r="H103" s="36">
        <v>1.28</v>
      </c>
      <c r="I103" s="36">
        <v>33.0</v>
      </c>
      <c r="J103" s="36">
        <v>82.0</v>
      </c>
      <c r="K103" s="36">
        <v>148.0</v>
      </c>
      <c r="L103" s="36">
        <v>24.8</v>
      </c>
      <c r="M103" s="36">
        <v>102.0</v>
      </c>
      <c r="N103" s="36">
        <v>51.0</v>
      </c>
      <c r="O103" s="36">
        <v>26.0</v>
      </c>
      <c r="P103" s="36">
        <v>47.0</v>
      </c>
      <c r="Q103" s="36">
        <v>0.46</v>
      </c>
      <c r="R103" s="36">
        <v>1.07</v>
      </c>
      <c r="S103" s="36">
        <v>1.26</v>
      </c>
      <c r="T103" s="36">
        <v>2.33</v>
      </c>
      <c r="U103" s="21">
        <f t="shared" si="1"/>
        <v>2330</v>
      </c>
      <c r="V103" s="21">
        <f t="shared" si="3"/>
        <v>67600</v>
      </c>
    </row>
    <row r="104" ht="14.25" customHeight="1">
      <c r="A104" s="38">
        <v>0.48819444444444443</v>
      </c>
      <c r="B104" s="36">
        <v>92.0</v>
      </c>
      <c r="C104" s="36">
        <v>19.4</v>
      </c>
      <c r="D104" s="36">
        <v>1183.0</v>
      </c>
      <c r="E104" s="36">
        <v>1444.0</v>
      </c>
      <c r="F104" s="36">
        <v>1.22</v>
      </c>
      <c r="G104" s="36">
        <v>23.0</v>
      </c>
      <c r="H104" s="36">
        <v>1.42</v>
      </c>
      <c r="I104" s="36">
        <v>33.0</v>
      </c>
      <c r="J104" s="36">
        <v>82.0</v>
      </c>
      <c r="K104" s="36">
        <v>148.0</v>
      </c>
      <c r="L104" s="36">
        <v>24.8</v>
      </c>
      <c r="M104" s="36">
        <v>103.0</v>
      </c>
      <c r="N104" s="36">
        <v>50.0</v>
      </c>
      <c r="O104" s="36">
        <v>23.0</v>
      </c>
      <c r="P104" s="36">
        <v>46.0</v>
      </c>
      <c r="Q104" s="36">
        <v>0.47</v>
      </c>
      <c r="R104" s="36">
        <v>1.21</v>
      </c>
      <c r="S104" s="36">
        <v>1.38</v>
      </c>
      <c r="T104" s="36">
        <v>2.59</v>
      </c>
      <c r="U104" s="21">
        <f t="shared" si="1"/>
        <v>2590</v>
      </c>
      <c r="V104" s="21">
        <f t="shared" si="3"/>
        <v>25600</v>
      </c>
    </row>
    <row r="105" ht="14.25" customHeight="1">
      <c r="A105" s="38">
        <v>0.4895833333333333</v>
      </c>
      <c r="B105" s="36">
        <v>93.0</v>
      </c>
      <c r="C105" s="36">
        <v>21.6</v>
      </c>
      <c r="D105" s="36">
        <v>1320.0</v>
      </c>
      <c r="E105" s="36">
        <v>1607.0</v>
      </c>
      <c r="F105" s="36">
        <v>1.22</v>
      </c>
      <c r="G105" s="36">
        <v>25.0</v>
      </c>
      <c r="H105" s="36">
        <v>1.46</v>
      </c>
      <c r="I105" s="36">
        <v>36.0</v>
      </c>
      <c r="J105" s="36">
        <v>80.3</v>
      </c>
      <c r="K105" s="36">
        <v>148.0</v>
      </c>
      <c r="L105" s="36">
        <v>24.8</v>
      </c>
      <c r="M105" s="36">
        <v>102.0</v>
      </c>
      <c r="N105" s="36">
        <v>50.0</v>
      </c>
      <c r="O105" s="36">
        <v>25.0</v>
      </c>
      <c r="P105" s="36">
        <v>51.0</v>
      </c>
      <c r="Q105" s="36">
        <v>0.46</v>
      </c>
      <c r="R105" s="36">
        <v>1.13</v>
      </c>
      <c r="S105" s="36">
        <v>1.3</v>
      </c>
      <c r="T105" s="36">
        <v>2.43</v>
      </c>
      <c r="U105" s="21">
        <f t="shared" si="1"/>
        <v>2430</v>
      </c>
      <c r="V105" s="21">
        <f t="shared" si="3"/>
        <v>62500</v>
      </c>
    </row>
    <row r="106" ht="14.25" customHeight="1">
      <c r="A106" s="38">
        <v>0.4909722222222222</v>
      </c>
      <c r="B106" s="36">
        <v>94.0</v>
      </c>
      <c r="C106" s="36">
        <v>22.8</v>
      </c>
      <c r="D106" s="36">
        <v>1389.0</v>
      </c>
      <c r="E106" s="36">
        <v>1686.0</v>
      </c>
      <c r="F106" s="36">
        <v>1.21</v>
      </c>
      <c r="G106" s="36">
        <v>27.0</v>
      </c>
      <c r="H106" s="36">
        <v>1.36</v>
      </c>
      <c r="I106" s="36">
        <v>37.4</v>
      </c>
      <c r="J106" s="36">
        <v>79.6</v>
      </c>
      <c r="K106" s="36">
        <v>148.0</v>
      </c>
      <c r="L106" s="36">
        <v>24.8</v>
      </c>
      <c r="M106" s="36">
        <v>102.0</v>
      </c>
      <c r="N106" s="36">
        <v>51.0</v>
      </c>
      <c r="O106" s="36">
        <v>27.0</v>
      </c>
      <c r="P106" s="36">
        <v>54.0</v>
      </c>
      <c r="Q106" s="36">
        <v>0.46</v>
      </c>
      <c r="R106" s="36">
        <v>1.0</v>
      </c>
      <c r="S106" s="36">
        <v>1.18</v>
      </c>
      <c r="T106" s="36">
        <v>2.18</v>
      </c>
      <c r="U106" s="21">
        <f t="shared" si="1"/>
        <v>2180</v>
      </c>
      <c r="V106" s="21">
        <f t="shared" si="3"/>
        <v>100</v>
      </c>
    </row>
    <row r="107" ht="14.25" customHeight="1">
      <c r="A107" s="38">
        <v>0.49236111111111114</v>
      </c>
      <c r="B107" s="36">
        <v>95.0</v>
      </c>
      <c r="C107" s="36">
        <v>23.0</v>
      </c>
      <c r="D107" s="36">
        <v>1402.0</v>
      </c>
      <c r="E107" s="36">
        <v>1700.0</v>
      </c>
      <c r="F107" s="36">
        <v>1.21</v>
      </c>
      <c r="G107" s="36">
        <v>27.0</v>
      </c>
      <c r="H107" s="36">
        <v>1.38</v>
      </c>
      <c r="I107" s="36">
        <v>37.9</v>
      </c>
      <c r="J107" s="36">
        <v>79.3</v>
      </c>
      <c r="K107" s="36">
        <v>149.0</v>
      </c>
      <c r="L107" s="36">
        <v>24.4</v>
      </c>
      <c r="M107" s="36">
        <v>102.0</v>
      </c>
      <c r="N107" s="36">
        <v>50.0</v>
      </c>
      <c r="O107" s="36">
        <v>27.0</v>
      </c>
      <c r="P107" s="36">
        <v>55.0</v>
      </c>
      <c r="Q107" s="36">
        <v>0.46</v>
      </c>
      <c r="R107" s="36">
        <v>1.01</v>
      </c>
      <c r="S107" s="36">
        <v>1.18</v>
      </c>
      <c r="T107" s="36">
        <v>2.19</v>
      </c>
      <c r="U107" s="21">
        <f t="shared" si="1"/>
        <v>2190</v>
      </c>
      <c r="V107" s="21">
        <f t="shared" si="3"/>
        <v>8100</v>
      </c>
    </row>
    <row r="108" ht="14.25" customHeight="1">
      <c r="A108" s="38">
        <v>0.49375</v>
      </c>
      <c r="B108" s="36">
        <v>96.0</v>
      </c>
      <c r="C108" s="36">
        <v>23.2</v>
      </c>
      <c r="D108" s="36">
        <v>1417.0</v>
      </c>
      <c r="E108" s="36">
        <v>1717.0</v>
      </c>
      <c r="F108" s="36">
        <v>1.21</v>
      </c>
      <c r="G108" s="36">
        <v>29.0</v>
      </c>
      <c r="H108" s="36">
        <v>1.35</v>
      </c>
      <c r="I108" s="36">
        <v>38.7</v>
      </c>
      <c r="J108" s="36">
        <v>78.9</v>
      </c>
      <c r="K108" s="36">
        <v>149.0</v>
      </c>
      <c r="L108" s="36">
        <v>24.4</v>
      </c>
      <c r="M108" s="36">
        <v>103.0</v>
      </c>
      <c r="N108" s="36">
        <v>50.0</v>
      </c>
      <c r="O108" s="36">
        <v>29.0</v>
      </c>
      <c r="P108" s="36">
        <v>55.0</v>
      </c>
      <c r="Q108" s="36">
        <v>0.45</v>
      </c>
      <c r="R108" s="36">
        <v>0.94</v>
      </c>
      <c r="S108" s="36">
        <v>1.16</v>
      </c>
      <c r="T108" s="36">
        <v>2.1</v>
      </c>
      <c r="U108" s="21">
        <f t="shared" si="1"/>
        <v>2100</v>
      </c>
      <c r="V108" s="21">
        <f t="shared" si="3"/>
        <v>2500</v>
      </c>
    </row>
    <row r="109" ht="14.25" customHeight="1">
      <c r="A109" s="38">
        <v>0.4951388888888889</v>
      </c>
      <c r="B109" s="36">
        <v>97.0</v>
      </c>
      <c r="C109" s="36">
        <v>23.4</v>
      </c>
      <c r="D109" s="36">
        <v>1428.0</v>
      </c>
      <c r="E109" s="36">
        <v>1735.0</v>
      </c>
      <c r="F109" s="36">
        <v>1.22</v>
      </c>
      <c r="G109" s="36">
        <v>29.0</v>
      </c>
      <c r="H109" s="36">
        <v>1.35</v>
      </c>
      <c r="I109" s="36">
        <v>39.4</v>
      </c>
      <c r="J109" s="36">
        <v>78.5</v>
      </c>
      <c r="K109" s="36">
        <v>151.0</v>
      </c>
      <c r="L109" s="36">
        <v>23.3</v>
      </c>
      <c r="M109" s="36">
        <v>103.0</v>
      </c>
      <c r="N109" s="36">
        <v>50.0</v>
      </c>
      <c r="O109" s="36">
        <v>29.0</v>
      </c>
      <c r="P109" s="36">
        <v>56.0</v>
      </c>
      <c r="Q109" s="36">
        <v>0.45</v>
      </c>
      <c r="R109" s="36">
        <v>0.93</v>
      </c>
      <c r="S109" s="36">
        <v>1.13</v>
      </c>
      <c r="T109" s="36">
        <v>2.05</v>
      </c>
      <c r="U109" s="21">
        <f t="shared" si="1"/>
        <v>2050</v>
      </c>
      <c r="V109" s="21">
        <f t="shared" si="3"/>
        <v>1600</v>
      </c>
    </row>
    <row r="110" ht="14.25" customHeight="1">
      <c r="A110" s="38">
        <v>0.4965277777777778</v>
      </c>
      <c r="B110" s="36">
        <v>98.0</v>
      </c>
      <c r="C110" s="36">
        <v>22.1</v>
      </c>
      <c r="D110" s="36">
        <v>1350.0</v>
      </c>
      <c r="E110" s="36">
        <v>1649.0</v>
      </c>
      <c r="F110" s="36">
        <v>1.22</v>
      </c>
      <c r="G110" s="36">
        <v>29.0</v>
      </c>
      <c r="H110" s="36">
        <v>1.33</v>
      </c>
      <c r="I110" s="36">
        <v>38.2</v>
      </c>
      <c r="J110" s="36">
        <v>79.1</v>
      </c>
      <c r="K110" s="36">
        <v>151.0</v>
      </c>
      <c r="L110" s="36">
        <v>23.3</v>
      </c>
      <c r="M110" s="36">
        <v>103.0</v>
      </c>
      <c r="N110" s="36">
        <v>50.0</v>
      </c>
      <c r="O110" s="36">
        <v>29.0</v>
      </c>
      <c r="P110" s="36">
        <v>53.0</v>
      </c>
      <c r="Q110" s="36">
        <v>0.45</v>
      </c>
      <c r="R110" s="36">
        <v>0.95</v>
      </c>
      <c r="S110" s="36">
        <v>1.14</v>
      </c>
      <c r="T110" s="36">
        <v>2.09</v>
      </c>
      <c r="U110" s="21">
        <f t="shared" si="1"/>
        <v>2090</v>
      </c>
      <c r="V110" s="21">
        <f t="shared" si="3"/>
        <v>36100</v>
      </c>
    </row>
    <row r="111" ht="14.25" customHeight="1">
      <c r="A111" s="38">
        <v>0.4986111111111111</v>
      </c>
      <c r="B111" s="36">
        <v>100.0</v>
      </c>
      <c r="C111" s="36">
        <v>23.2</v>
      </c>
      <c r="D111" s="36">
        <v>1416.0</v>
      </c>
      <c r="E111" s="36">
        <v>1756.0</v>
      </c>
      <c r="F111" s="36">
        <v>1.24</v>
      </c>
      <c r="G111" s="36">
        <v>26.0</v>
      </c>
      <c r="H111" s="36">
        <v>1.55</v>
      </c>
      <c r="I111" s="36">
        <v>40.9</v>
      </c>
      <c r="J111" s="36">
        <v>77.7</v>
      </c>
      <c r="K111" s="36">
        <v>152.0</v>
      </c>
      <c r="L111" s="36">
        <v>23.1</v>
      </c>
      <c r="M111" s="36">
        <v>104.0</v>
      </c>
      <c r="N111" s="36">
        <v>49.0</v>
      </c>
      <c r="O111" s="36">
        <v>26.0</v>
      </c>
      <c r="P111" s="36">
        <v>55.0</v>
      </c>
      <c r="Q111" s="36">
        <v>0.46</v>
      </c>
      <c r="R111" s="36">
        <v>1.05</v>
      </c>
      <c r="S111" s="36">
        <v>1.23</v>
      </c>
      <c r="T111" s="36">
        <v>2.28</v>
      </c>
      <c r="U111" s="21">
        <f t="shared" si="1"/>
        <v>2280</v>
      </c>
      <c r="V111" s="21">
        <f t="shared" si="3"/>
        <v>44100</v>
      </c>
    </row>
    <row r="112" ht="14.25" customHeight="1">
      <c r="A112" s="38">
        <v>0.5</v>
      </c>
      <c r="B112" s="36">
        <v>100.0</v>
      </c>
      <c r="C112" s="36">
        <v>23.0</v>
      </c>
      <c r="D112" s="36">
        <v>1401.0</v>
      </c>
      <c r="E112" s="36">
        <v>1720.0</v>
      </c>
      <c r="F112" s="36">
        <v>1.23</v>
      </c>
      <c r="G112" s="36">
        <v>29.0</v>
      </c>
      <c r="H112" s="36">
        <v>1.36</v>
      </c>
      <c r="I112" s="36">
        <v>39.4</v>
      </c>
      <c r="J112" s="36">
        <v>78.5</v>
      </c>
      <c r="K112" s="36">
        <v>152.0</v>
      </c>
      <c r="L112" s="36">
        <v>22.7</v>
      </c>
      <c r="M112" s="36">
        <v>103.0</v>
      </c>
      <c r="N112" s="36">
        <v>50.0</v>
      </c>
      <c r="O112" s="36">
        <v>29.0</v>
      </c>
      <c r="P112" s="36">
        <v>54.0</v>
      </c>
      <c r="Q112" s="36">
        <v>0.44</v>
      </c>
      <c r="R112" s="36">
        <v>0.91</v>
      </c>
      <c r="S112" s="36">
        <v>1.16</v>
      </c>
      <c r="T112" s="36">
        <v>2.07</v>
      </c>
      <c r="U112" s="21">
        <f t="shared" si="1"/>
        <v>2070</v>
      </c>
      <c r="V112" s="21">
        <f t="shared" si="3"/>
        <v>12100</v>
      </c>
    </row>
    <row r="113" ht="14.25" customHeight="1">
      <c r="A113" s="38">
        <v>0.5013888888888889</v>
      </c>
      <c r="B113" s="36">
        <v>101.0</v>
      </c>
      <c r="C113" s="36">
        <v>23.2</v>
      </c>
      <c r="D113" s="36">
        <v>1414.0</v>
      </c>
      <c r="E113" s="36">
        <v>1732.0</v>
      </c>
      <c r="F113" s="36">
        <v>1.22</v>
      </c>
      <c r="G113" s="36">
        <v>31.0</v>
      </c>
      <c r="H113" s="36">
        <v>1.31</v>
      </c>
      <c r="I113" s="36">
        <v>39.9</v>
      </c>
      <c r="J113" s="36">
        <v>78.2</v>
      </c>
      <c r="K113" s="36">
        <v>153.0</v>
      </c>
      <c r="L113" s="36">
        <v>22.3</v>
      </c>
      <c r="M113" s="36">
        <v>103.0</v>
      </c>
      <c r="N113" s="36">
        <v>50.0</v>
      </c>
      <c r="O113" s="36">
        <v>31.0</v>
      </c>
      <c r="P113" s="36">
        <v>55.0</v>
      </c>
      <c r="Q113" s="36">
        <v>0.43</v>
      </c>
      <c r="R113" s="36">
        <v>0.85</v>
      </c>
      <c r="S113" s="36">
        <v>1.12</v>
      </c>
      <c r="T113" s="36">
        <v>1.96</v>
      </c>
      <c r="U113" s="21">
        <f t="shared" si="1"/>
        <v>1960</v>
      </c>
      <c r="V113" s="21">
        <f t="shared" si="3"/>
        <v>4900</v>
      </c>
    </row>
    <row r="114" ht="14.25" customHeight="1">
      <c r="A114" s="38">
        <v>0.5027777777777778</v>
      </c>
      <c r="B114" s="36">
        <v>102.0</v>
      </c>
      <c r="C114" s="36">
        <v>23.7</v>
      </c>
      <c r="D114" s="36">
        <v>1447.0</v>
      </c>
      <c r="E114" s="36">
        <v>1797.0</v>
      </c>
      <c r="F114" s="36">
        <v>1.24</v>
      </c>
      <c r="G114" s="36">
        <v>30.0</v>
      </c>
      <c r="H114" s="36">
        <v>1.39</v>
      </c>
      <c r="I114" s="36">
        <v>41.1</v>
      </c>
      <c r="J114" s="36">
        <v>77.6</v>
      </c>
      <c r="K114" s="36">
        <v>154.0</v>
      </c>
      <c r="L114" s="36">
        <v>21.9</v>
      </c>
      <c r="M114" s="36">
        <v>104.0</v>
      </c>
      <c r="N114" s="36">
        <v>50.0</v>
      </c>
      <c r="O114" s="36">
        <v>30.0</v>
      </c>
      <c r="P114" s="36">
        <v>56.0</v>
      </c>
      <c r="Q114" s="36">
        <v>0.44</v>
      </c>
      <c r="R114" s="36">
        <v>0.9</v>
      </c>
      <c r="S114" s="36">
        <v>1.14</v>
      </c>
      <c r="T114" s="36">
        <v>2.03</v>
      </c>
      <c r="U114" s="21">
        <f t="shared" si="1"/>
        <v>2030</v>
      </c>
      <c r="V114" s="21">
        <f t="shared" si="3"/>
        <v>32400</v>
      </c>
    </row>
    <row r="115" ht="14.25" customHeight="1">
      <c r="A115" s="38">
        <v>0.5041666666666667</v>
      </c>
      <c r="B115" s="36">
        <v>103.0</v>
      </c>
      <c r="C115" s="36">
        <v>24.4</v>
      </c>
      <c r="D115" s="36">
        <v>1488.0</v>
      </c>
      <c r="E115" s="36">
        <v>1868.0</v>
      </c>
      <c r="F115" s="36">
        <v>1.26</v>
      </c>
      <c r="G115" s="36">
        <v>27.0</v>
      </c>
      <c r="H115" s="36">
        <v>1.59</v>
      </c>
      <c r="I115" s="36">
        <v>43.1</v>
      </c>
      <c r="J115" s="36">
        <v>76.4</v>
      </c>
      <c r="K115" s="36">
        <v>156.0</v>
      </c>
      <c r="L115" s="36">
        <v>20.7</v>
      </c>
      <c r="M115" s="36">
        <v>105.0</v>
      </c>
      <c r="N115" s="36">
        <v>49.0</v>
      </c>
      <c r="O115" s="36">
        <v>27.0</v>
      </c>
      <c r="P115" s="36">
        <v>58.0</v>
      </c>
      <c r="Q115" s="36">
        <v>0.44</v>
      </c>
      <c r="R115" s="36">
        <v>0.98</v>
      </c>
      <c r="S115" s="36">
        <v>1.23</v>
      </c>
      <c r="T115" s="36">
        <v>2.21</v>
      </c>
      <c r="U115" s="21">
        <f t="shared" si="1"/>
        <v>2210</v>
      </c>
      <c r="V115" s="21">
        <f t="shared" si="3"/>
        <v>900</v>
      </c>
    </row>
    <row r="116" ht="14.25" customHeight="1">
      <c r="A116" s="38">
        <v>0.5055555555555555</v>
      </c>
      <c r="B116" s="36">
        <v>105.0</v>
      </c>
      <c r="C116" s="36">
        <v>25.4</v>
      </c>
      <c r="D116" s="36">
        <v>1552.0</v>
      </c>
      <c r="E116" s="36">
        <v>1969.0</v>
      </c>
      <c r="F116" s="36">
        <v>1.27</v>
      </c>
      <c r="G116" s="36">
        <v>27.0</v>
      </c>
      <c r="H116" s="36">
        <v>1.65</v>
      </c>
      <c r="I116" s="36">
        <v>45.4</v>
      </c>
      <c r="J116" s="36">
        <v>75.2</v>
      </c>
      <c r="K116" s="36">
        <v>157.0</v>
      </c>
      <c r="L116" s="36">
        <v>20.3</v>
      </c>
      <c r="M116" s="36">
        <v>105.0</v>
      </c>
      <c r="N116" s="36">
        <v>49.0</v>
      </c>
      <c r="O116" s="36">
        <v>27.0</v>
      </c>
      <c r="P116" s="36">
        <v>60.0</v>
      </c>
      <c r="Q116" s="36">
        <v>0.44</v>
      </c>
      <c r="R116" s="36">
        <v>0.97</v>
      </c>
      <c r="S116" s="36">
        <v>1.22</v>
      </c>
      <c r="T116" s="36">
        <v>2.18</v>
      </c>
      <c r="U116" s="21">
        <f t="shared" si="1"/>
        <v>2180</v>
      </c>
      <c r="V116" s="21">
        <f t="shared" si="3"/>
        <v>115600</v>
      </c>
    </row>
    <row r="117" ht="14.25" customHeight="1">
      <c r="A117" s="38">
        <v>0.5076388888888889</v>
      </c>
      <c r="B117" s="36">
        <v>106.0</v>
      </c>
      <c r="C117" s="36">
        <v>26.1</v>
      </c>
      <c r="D117" s="36">
        <v>1591.0</v>
      </c>
      <c r="E117" s="36">
        <v>2051.0</v>
      </c>
      <c r="F117" s="36">
        <v>1.29</v>
      </c>
      <c r="G117" s="36">
        <v>24.0</v>
      </c>
      <c r="H117" s="36">
        <v>1.96</v>
      </c>
      <c r="I117" s="36">
        <v>46.6</v>
      </c>
      <c r="J117" s="36">
        <v>74.6</v>
      </c>
      <c r="K117" s="36">
        <v>157.0</v>
      </c>
      <c r="L117" s="36">
        <v>20.3</v>
      </c>
      <c r="M117" s="36">
        <v>105.0</v>
      </c>
      <c r="N117" s="36">
        <v>49.0</v>
      </c>
      <c r="O117" s="36">
        <v>24.0</v>
      </c>
      <c r="P117" s="36">
        <v>62.0</v>
      </c>
      <c r="Q117" s="36">
        <v>0.45</v>
      </c>
      <c r="R117" s="36">
        <v>1.13</v>
      </c>
      <c r="S117" s="36">
        <v>1.39</v>
      </c>
      <c r="T117" s="36">
        <v>2.52</v>
      </c>
      <c r="U117" s="21">
        <f t="shared" si="1"/>
        <v>2520</v>
      </c>
      <c r="V117" s="21">
        <f t="shared" si="3"/>
        <v>44100</v>
      </c>
    </row>
    <row r="118" ht="14.25" customHeight="1">
      <c r="A118" s="38">
        <v>0.5090277777777777</v>
      </c>
      <c r="B118" s="36">
        <v>107.0</v>
      </c>
      <c r="C118" s="36">
        <v>25.6</v>
      </c>
      <c r="D118" s="36">
        <v>1560.0</v>
      </c>
      <c r="E118" s="36">
        <v>2020.0</v>
      </c>
      <c r="F118" s="36">
        <v>1.29</v>
      </c>
      <c r="G118" s="36">
        <v>26.0</v>
      </c>
      <c r="H118" s="36">
        <v>1.77</v>
      </c>
      <c r="I118" s="36">
        <v>46.0</v>
      </c>
      <c r="J118" s="36">
        <v>74.9</v>
      </c>
      <c r="K118" s="36">
        <v>157.0</v>
      </c>
      <c r="L118" s="36">
        <v>20.3</v>
      </c>
      <c r="M118" s="36">
        <v>106.0</v>
      </c>
      <c r="N118" s="36">
        <v>49.0</v>
      </c>
      <c r="O118" s="36">
        <v>26.0</v>
      </c>
      <c r="P118" s="36">
        <v>61.0</v>
      </c>
      <c r="Q118" s="36">
        <v>0.45</v>
      </c>
      <c r="R118" s="36">
        <v>1.04</v>
      </c>
      <c r="S118" s="36">
        <v>1.27</v>
      </c>
      <c r="T118" s="36">
        <v>2.31</v>
      </c>
      <c r="U118" s="21">
        <f t="shared" si="1"/>
        <v>2310</v>
      </c>
      <c r="V118" s="21">
        <f t="shared" si="3"/>
        <v>3600</v>
      </c>
    </row>
    <row r="119" ht="14.25" customHeight="1">
      <c r="A119" s="38">
        <v>0.5104166666666666</v>
      </c>
      <c r="B119" s="36">
        <v>108.0</v>
      </c>
      <c r="C119" s="36">
        <v>25.2</v>
      </c>
      <c r="D119" s="36">
        <v>1538.0</v>
      </c>
      <c r="E119" s="36">
        <v>1993.0</v>
      </c>
      <c r="F119" s="36">
        <v>1.3</v>
      </c>
      <c r="G119" s="36">
        <v>27.0</v>
      </c>
      <c r="H119" s="36">
        <v>1.73</v>
      </c>
      <c r="I119" s="36">
        <v>45.9</v>
      </c>
      <c r="J119" s="36">
        <v>74.9</v>
      </c>
      <c r="K119" s="36">
        <v>159.0</v>
      </c>
      <c r="L119" s="36">
        <v>19.4</v>
      </c>
      <c r="M119" s="36">
        <v>106.0</v>
      </c>
      <c r="N119" s="36">
        <v>49.0</v>
      </c>
      <c r="O119" s="36">
        <v>27.0</v>
      </c>
      <c r="P119" s="36">
        <v>60.0</v>
      </c>
      <c r="Q119" s="36">
        <v>0.46</v>
      </c>
      <c r="R119" s="36">
        <v>1.04</v>
      </c>
      <c r="S119" s="36">
        <v>1.22</v>
      </c>
      <c r="T119" s="36">
        <v>2.25</v>
      </c>
      <c r="U119" s="21">
        <f t="shared" si="1"/>
        <v>2250</v>
      </c>
      <c r="V119" s="21">
        <f t="shared" si="3"/>
        <v>3600</v>
      </c>
    </row>
    <row r="120" ht="14.25" customHeight="1">
      <c r="A120" s="38">
        <v>0.5118055555555555</v>
      </c>
      <c r="B120" s="36">
        <v>109.0</v>
      </c>
      <c r="C120" s="36">
        <v>25.9</v>
      </c>
      <c r="D120" s="36">
        <v>1583.0</v>
      </c>
      <c r="E120" s="36">
        <v>2065.0</v>
      </c>
      <c r="F120" s="36">
        <v>1.3</v>
      </c>
      <c r="G120" s="36">
        <v>26.0</v>
      </c>
      <c r="H120" s="36">
        <v>1.82</v>
      </c>
      <c r="I120" s="36">
        <v>47.3</v>
      </c>
      <c r="J120" s="36">
        <v>74.2</v>
      </c>
      <c r="K120" s="36">
        <v>160.0</v>
      </c>
      <c r="L120" s="36">
        <v>19.0</v>
      </c>
      <c r="M120" s="36">
        <v>106.0</v>
      </c>
      <c r="N120" s="36">
        <v>49.0</v>
      </c>
      <c r="O120" s="36">
        <v>26.0</v>
      </c>
      <c r="P120" s="36">
        <v>62.0</v>
      </c>
      <c r="Q120" s="36">
        <v>0.46</v>
      </c>
      <c r="R120" s="36">
        <v>1.06</v>
      </c>
      <c r="S120" s="36">
        <v>1.25</v>
      </c>
      <c r="T120" s="36">
        <v>2.31</v>
      </c>
      <c r="U120" s="21">
        <f t="shared" si="1"/>
        <v>2310</v>
      </c>
      <c r="V120" s="21">
        <f t="shared" si="3"/>
        <v>6400</v>
      </c>
    </row>
    <row r="121" ht="14.25" customHeight="1">
      <c r="A121" s="38">
        <v>0.5138888888888888</v>
      </c>
      <c r="B121" s="36">
        <v>111.0</v>
      </c>
      <c r="C121" s="36">
        <v>25.6</v>
      </c>
      <c r="D121" s="36">
        <v>1564.0</v>
      </c>
      <c r="E121" s="36">
        <v>2053.0</v>
      </c>
      <c r="F121" s="36">
        <v>1.31</v>
      </c>
      <c r="G121" s="36">
        <v>27.0</v>
      </c>
      <c r="H121" s="36">
        <v>1.76</v>
      </c>
      <c r="I121" s="36">
        <v>47.2</v>
      </c>
      <c r="J121" s="36">
        <v>74.2</v>
      </c>
      <c r="K121" s="36">
        <v>160.0</v>
      </c>
      <c r="L121" s="36">
        <v>19.0</v>
      </c>
      <c r="M121" s="36">
        <v>107.0</v>
      </c>
      <c r="N121" s="36">
        <v>48.0</v>
      </c>
      <c r="O121" s="36">
        <v>27.0</v>
      </c>
      <c r="P121" s="36">
        <v>61.0</v>
      </c>
      <c r="Q121" s="36">
        <v>0.47</v>
      </c>
      <c r="R121" s="36">
        <v>1.05</v>
      </c>
      <c r="S121" s="36">
        <v>1.18</v>
      </c>
      <c r="T121" s="36">
        <v>2.23</v>
      </c>
      <c r="U121" s="21">
        <f t="shared" si="1"/>
        <v>2230</v>
      </c>
    </row>
    <row r="122" ht="14.25" customHeight="1">
      <c r="A122" s="36" t="s">
        <v>81</v>
      </c>
      <c r="U122" s="21">
        <f t="shared" si="1"/>
        <v>0</v>
      </c>
    </row>
    <row r="123" ht="14.25" customHeight="1">
      <c r="A123" s="38">
        <v>0.5152777777777777</v>
      </c>
      <c r="B123" s="36">
        <v>112.0</v>
      </c>
      <c r="C123" s="36">
        <v>24.2</v>
      </c>
      <c r="D123" s="36">
        <v>1478.0</v>
      </c>
      <c r="E123" s="36">
        <v>1946.0</v>
      </c>
      <c r="F123" s="36">
        <v>1.32</v>
      </c>
      <c r="G123" s="36">
        <v>27.0</v>
      </c>
      <c r="H123" s="36">
        <v>1.67</v>
      </c>
      <c r="I123" s="36">
        <v>44.9</v>
      </c>
      <c r="J123" s="36">
        <v>75.5</v>
      </c>
      <c r="K123" s="36">
        <v>162.0</v>
      </c>
      <c r="L123" s="36">
        <v>17.7</v>
      </c>
      <c r="M123" s="36">
        <v>106.0</v>
      </c>
      <c r="N123" s="36">
        <v>49.0</v>
      </c>
      <c r="O123" s="36">
        <v>27.0</v>
      </c>
      <c r="P123" s="36">
        <v>57.0</v>
      </c>
      <c r="Q123" s="36">
        <v>0.45</v>
      </c>
      <c r="R123" s="36">
        <v>1.01</v>
      </c>
      <c r="S123" s="36">
        <v>1.22</v>
      </c>
      <c r="T123" s="36">
        <v>2.24</v>
      </c>
      <c r="U123" s="21">
        <f t="shared" si="1"/>
        <v>2240</v>
      </c>
      <c r="V123" s="21">
        <f t="shared" ref="V123:V145" si="4">(U123-U124)^2</f>
        <v>100</v>
      </c>
      <c r="W123" s="21">
        <f>SQRT(AVERAGE(V123:V159))</f>
        <v>100.9549003</v>
      </c>
    </row>
    <row r="124" ht="14.25" customHeight="1">
      <c r="A124" s="38">
        <v>0.5166666666666667</v>
      </c>
      <c r="B124" s="36">
        <v>112.0</v>
      </c>
      <c r="C124" s="36">
        <v>23.5</v>
      </c>
      <c r="D124" s="36">
        <v>1434.0</v>
      </c>
      <c r="E124" s="36">
        <v>1877.0</v>
      </c>
      <c r="F124" s="36">
        <v>1.31</v>
      </c>
      <c r="G124" s="36">
        <v>27.0</v>
      </c>
      <c r="H124" s="36">
        <v>1.6</v>
      </c>
      <c r="I124" s="36">
        <v>43.1</v>
      </c>
      <c r="J124" s="36">
        <v>76.5</v>
      </c>
      <c r="K124" s="36">
        <v>163.0</v>
      </c>
      <c r="L124" s="36">
        <v>17.3</v>
      </c>
      <c r="M124" s="36">
        <v>106.0</v>
      </c>
      <c r="N124" s="36">
        <v>50.0</v>
      </c>
      <c r="O124" s="36">
        <v>27.0</v>
      </c>
      <c r="P124" s="36">
        <v>56.0</v>
      </c>
      <c r="Q124" s="36">
        <v>0.47</v>
      </c>
      <c r="R124" s="36">
        <v>1.04</v>
      </c>
      <c r="S124" s="36">
        <v>1.19</v>
      </c>
      <c r="T124" s="36">
        <v>2.23</v>
      </c>
      <c r="U124" s="21">
        <f t="shared" si="1"/>
        <v>2230</v>
      </c>
      <c r="V124" s="21">
        <f t="shared" si="4"/>
        <v>8100</v>
      </c>
    </row>
    <row r="125" ht="14.25" customHeight="1">
      <c r="A125" s="38">
        <v>0.51875</v>
      </c>
      <c r="B125" s="36">
        <v>114.0</v>
      </c>
      <c r="C125" s="36">
        <v>23.7</v>
      </c>
      <c r="D125" s="36">
        <v>1445.0</v>
      </c>
      <c r="E125" s="36">
        <v>1879.0</v>
      </c>
      <c r="F125" s="36">
        <v>1.3</v>
      </c>
      <c r="G125" s="36">
        <v>28.0</v>
      </c>
      <c r="H125" s="36">
        <v>1.54</v>
      </c>
      <c r="I125" s="36">
        <v>43.3</v>
      </c>
      <c r="J125" s="36">
        <v>76.4</v>
      </c>
      <c r="K125" s="36">
        <v>164.0</v>
      </c>
      <c r="L125" s="36">
        <v>16.8</v>
      </c>
      <c r="M125" s="36">
        <v>105.0</v>
      </c>
      <c r="N125" s="36">
        <v>50.0</v>
      </c>
      <c r="O125" s="36">
        <v>28.0</v>
      </c>
      <c r="P125" s="36">
        <v>56.0</v>
      </c>
      <c r="Q125" s="36">
        <v>0.46</v>
      </c>
      <c r="R125" s="36">
        <v>0.98</v>
      </c>
      <c r="S125" s="36">
        <v>1.16</v>
      </c>
      <c r="T125" s="36">
        <v>2.14</v>
      </c>
      <c r="U125" s="21">
        <f t="shared" si="1"/>
        <v>2140</v>
      </c>
      <c r="V125" s="21">
        <f t="shared" si="4"/>
        <v>0</v>
      </c>
    </row>
    <row r="126" ht="14.25" customHeight="1">
      <c r="A126" s="38">
        <v>0.5201388888888889</v>
      </c>
      <c r="B126" s="36">
        <v>115.0</v>
      </c>
      <c r="C126" s="36">
        <v>24.7</v>
      </c>
      <c r="D126" s="36">
        <v>1505.0</v>
      </c>
      <c r="E126" s="36">
        <v>1956.0</v>
      </c>
      <c r="F126" s="36">
        <v>1.3</v>
      </c>
      <c r="G126" s="36">
        <v>28.0</v>
      </c>
      <c r="H126" s="36">
        <v>1.58</v>
      </c>
      <c r="I126" s="36">
        <v>44.4</v>
      </c>
      <c r="J126" s="36">
        <v>75.8</v>
      </c>
      <c r="K126" s="36">
        <v>164.0</v>
      </c>
      <c r="L126" s="36">
        <v>16.6</v>
      </c>
      <c r="M126" s="36">
        <v>105.0</v>
      </c>
      <c r="N126" s="36">
        <v>50.0</v>
      </c>
      <c r="O126" s="36">
        <v>28.0</v>
      </c>
      <c r="P126" s="36">
        <v>58.0</v>
      </c>
      <c r="Q126" s="36">
        <v>0.45</v>
      </c>
      <c r="R126" s="36">
        <v>0.96</v>
      </c>
      <c r="S126" s="36">
        <v>1.18</v>
      </c>
      <c r="T126" s="36">
        <v>2.14</v>
      </c>
      <c r="U126" s="21">
        <f t="shared" si="1"/>
        <v>2140</v>
      </c>
      <c r="V126" s="21">
        <f t="shared" si="4"/>
        <v>6400</v>
      </c>
    </row>
    <row r="127" ht="14.25" customHeight="1">
      <c r="A127" s="38">
        <v>0.5208333333333334</v>
      </c>
      <c r="B127" s="36">
        <v>115.0</v>
      </c>
      <c r="C127" s="36">
        <v>24.9</v>
      </c>
      <c r="D127" s="36">
        <v>1522.0</v>
      </c>
      <c r="E127" s="36">
        <v>1973.0</v>
      </c>
      <c r="F127" s="36">
        <v>1.3</v>
      </c>
      <c r="G127" s="36">
        <v>29.0</v>
      </c>
      <c r="H127" s="36">
        <v>1.54</v>
      </c>
      <c r="I127" s="36">
        <v>44.9</v>
      </c>
      <c r="J127" s="36">
        <v>75.5</v>
      </c>
      <c r="K127" s="36">
        <v>164.0</v>
      </c>
      <c r="L127" s="36">
        <v>16.6</v>
      </c>
      <c r="M127" s="36">
        <v>104.0</v>
      </c>
      <c r="N127" s="36">
        <v>51.0</v>
      </c>
      <c r="O127" s="36">
        <v>29.0</v>
      </c>
      <c r="P127" s="36">
        <v>59.0</v>
      </c>
      <c r="Q127" s="36">
        <v>0.44</v>
      </c>
      <c r="R127" s="36">
        <v>0.9</v>
      </c>
      <c r="S127" s="36">
        <v>1.16</v>
      </c>
      <c r="T127" s="36">
        <v>2.06</v>
      </c>
      <c r="U127" s="21">
        <f t="shared" si="1"/>
        <v>2060</v>
      </c>
      <c r="V127" s="21">
        <f t="shared" si="4"/>
        <v>1600</v>
      </c>
    </row>
    <row r="128" ht="14.25" customHeight="1">
      <c r="A128" s="38">
        <v>0.5229166666666667</v>
      </c>
      <c r="B128" s="36">
        <v>117.0</v>
      </c>
      <c r="C128" s="36">
        <v>24.8</v>
      </c>
      <c r="D128" s="36">
        <v>1513.0</v>
      </c>
      <c r="E128" s="36">
        <v>1954.0</v>
      </c>
      <c r="F128" s="36">
        <v>1.29</v>
      </c>
      <c r="G128" s="36">
        <v>29.0</v>
      </c>
      <c r="H128" s="36">
        <v>1.56</v>
      </c>
      <c r="I128" s="36">
        <v>44.8</v>
      </c>
      <c r="J128" s="36">
        <v>75.6</v>
      </c>
      <c r="K128" s="36">
        <v>164.0</v>
      </c>
      <c r="L128" s="36">
        <v>16.6</v>
      </c>
      <c r="M128" s="36">
        <v>104.0</v>
      </c>
      <c r="N128" s="36">
        <v>51.0</v>
      </c>
      <c r="O128" s="36">
        <v>29.0</v>
      </c>
      <c r="P128" s="36">
        <v>59.0</v>
      </c>
      <c r="Q128" s="36">
        <v>0.45</v>
      </c>
      <c r="R128" s="36">
        <v>0.94</v>
      </c>
      <c r="S128" s="36">
        <v>1.16</v>
      </c>
      <c r="T128" s="36">
        <v>2.1</v>
      </c>
      <c r="U128" s="21">
        <f t="shared" si="1"/>
        <v>2100</v>
      </c>
      <c r="V128" s="21">
        <f t="shared" si="4"/>
        <v>1600</v>
      </c>
    </row>
    <row r="129" ht="14.25" customHeight="1">
      <c r="A129" s="38">
        <v>0.5236111111111111</v>
      </c>
      <c r="B129" s="36">
        <v>118.0</v>
      </c>
      <c r="C129" s="36">
        <v>26.4</v>
      </c>
      <c r="D129" s="36">
        <v>1612.0</v>
      </c>
      <c r="E129" s="36">
        <v>2073.0</v>
      </c>
      <c r="F129" s="36">
        <v>1.29</v>
      </c>
      <c r="G129" s="4">
        <v>29.0</v>
      </c>
      <c r="H129" s="36">
        <v>1.62</v>
      </c>
      <c r="I129" s="36">
        <v>47.2</v>
      </c>
      <c r="J129" s="36">
        <v>74.2</v>
      </c>
      <c r="K129" s="36">
        <v>164.0</v>
      </c>
      <c r="L129" s="36">
        <v>16.6</v>
      </c>
      <c r="M129" s="36">
        <v>104.0</v>
      </c>
      <c r="N129" s="36">
        <v>50.0</v>
      </c>
      <c r="O129" s="36">
        <v>29.0</v>
      </c>
      <c r="P129" s="36">
        <v>63.0</v>
      </c>
      <c r="Q129" s="36">
        <v>0.45</v>
      </c>
      <c r="R129" s="36">
        <v>0.93</v>
      </c>
      <c r="S129" s="36">
        <v>1.13</v>
      </c>
      <c r="T129" s="36">
        <v>2.06</v>
      </c>
      <c r="U129" s="21">
        <f t="shared" si="1"/>
        <v>2060</v>
      </c>
      <c r="V129" s="21">
        <f t="shared" si="4"/>
        <v>4900</v>
      </c>
    </row>
    <row r="130" ht="14.25" customHeight="1">
      <c r="A130" s="38">
        <v>0.525</v>
      </c>
      <c r="B130" s="36">
        <v>118.0</v>
      </c>
      <c r="C130" s="36">
        <v>27.5</v>
      </c>
      <c r="D130" s="36">
        <v>1679.0</v>
      </c>
      <c r="E130" s="36">
        <v>2164.0</v>
      </c>
      <c r="F130" s="36">
        <v>1.29</v>
      </c>
      <c r="G130" s="36">
        <v>30.0</v>
      </c>
      <c r="H130" s="36">
        <v>1.65</v>
      </c>
      <c r="I130" s="36">
        <v>49.8</v>
      </c>
      <c r="J130" s="36">
        <v>72.8</v>
      </c>
      <c r="K130" s="36">
        <v>165.0</v>
      </c>
      <c r="L130" s="36">
        <v>16.4</v>
      </c>
      <c r="M130" s="36">
        <v>105.0</v>
      </c>
      <c r="N130" s="36">
        <v>50.0</v>
      </c>
      <c r="O130" s="36">
        <v>30.0</v>
      </c>
      <c r="P130" s="36">
        <v>65.0</v>
      </c>
      <c r="Q130" s="36">
        <v>0.45</v>
      </c>
      <c r="R130" s="36">
        <v>0.89</v>
      </c>
      <c r="S130" s="36">
        <v>1.1</v>
      </c>
      <c r="T130" s="36">
        <v>1.99</v>
      </c>
      <c r="U130" s="21">
        <f t="shared" si="1"/>
        <v>1990</v>
      </c>
      <c r="V130" s="21">
        <f t="shared" si="4"/>
        <v>3600</v>
      </c>
    </row>
    <row r="131" ht="14.25" customHeight="1">
      <c r="A131" s="38">
        <v>0.5263888888888889</v>
      </c>
      <c r="B131" s="36">
        <v>120.0</v>
      </c>
      <c r="C131" s="36">
        <v>29.0</v>
      </c>
      <c r="D131" s="36">
        <v>1771.0</v>
      </c>
      <c r="E131" s="36">
        <v>2289.0</v>
      </c>
      <c r="F131" s="36">
        <v>1.29</v>
      </c>
      <c r="G131" s="36">
        <v>29.0</v>
      </c>
      <c r="H131" s="36">
        <v>1.8</v>
      </c>
      <c r="I131" s="36">
        <v>52.5</v>
      </c>
      <c r="J131" s="36">
        <v>71.3</v>
      </c>
      <c r="K131" s="36">
        <v>165.0</v>
      </c>
      <c r="L131" s="36">
        <v>16.4</v>
      </c>
      <c r="M131" s="36">
        <v>105.0</v>
      </c>
      <c r="N131" s="36">
        <v>49.0</v>
      </c>
      <c r="O131" s="36">
        <v>29.0</v>
      </c>
      <c r="P131" s="36">
        <v>69.0</v>
      </c>
      <c r="Q131" s="36">
        <v>0.45</v>
      </c>
      <c r="R131" s="36">
        <v>0.91</v>
      </c>
      <c r="S131" s="36">
        <v>1.14</v>
      </c>
      <c r="T131" s="36">
        <v>2.05</v>
      </c>
      <c r="U131" s="21">
        <f t="shared" si="1"/>
        <v>2050</v>
      </c>
      <c r="V131" s="21">
        <f t="shared" si="4"/>
        <v>14400</v>
      </c>
    </row>
    <row r="132" ht="14.25" customHeight="1">
      <c r="A132" s="38">
        <v>0.5277777777777778</v>
      </c>
      <c r="B132" s="36">
        <v>121.0</v>
      </c>
      <c r="C132" s="36">
        <v>28.3</v>
      </c>
      <c r="D132" s="36">
        <v>1729.0</v>
      </c>
      <c r="E132" s="36">
        <v>2242.0</v>
      </c>
      <c r="F132" s="36">
        <v>1.3</v>
      </c>
      <c r="G132" s="36">
        <v>31.0</v>
      </c>
      <c r="H132" s="36">
        <v>1.67</v>
      </c>
      <c r="I132" s="36">
        <v>51.9</v>
      </c>
      <c r="J132" s="36">
        <v>71.7</v>
      </c>
      <c r="K132" s="36">
        <v>166.0</v>
      </c>
      <c r="L132" s="36">
        <v>15.9</v>
      </c>
      <c r="M132" s="36">
        <v>106.0</v>
      </c>
      <c r="N132" s="36">
        <v>49.0</v>
      </c>
      <c r="O132" s="36">
        <v>31.0</v>
      </c>
      <c r="P132" s="36">
        <v>67.0</v>
      </c>
      <c r="Q132" s="36">
        <v>0.46</v>
      </c>
      <c r="R132" s="36">
        <v>0.89</v>
      </c>
      <c r="S132" s="36">
        <v>1.03</v>
      </c>
      <c r="T132" s="36">
        <v>1.93</v>
      </c>
      <c r="U132" s="21">
        <f t="shared" si="1"/>
        <v>1930</v>
      </c>
      <c r="V132" s="21">
        <f t="shared" si="4"/>
        <v>100</v>
      </c>
    </row>
    <row r="133" ht="14.25" customHeight="1">
      <c r="A133" s="38">
        <v>0.5291666666666667</v>
      </c>
      <c r="B133" s="36">
        <v>122.0</v>
      </c>
      <c r="C133" s="36">
        <v>28.2</v>
      </c>
      <c r="D133" s="36">
        <v>1719.0</v>
      </c>
      <c r="E133" s="36">
        <v>2251.0</v>
      </c>
      <c r="F133" s="36">
        <v>1.31</v>
      </c>
      <c r="G133" s="36">
        <v>31.0</v>
      </c>
      <c r="H133" s="36">
        <v>1.68</v>
      </c>
      <c r="I133" s="36">
        <v>52.1</v>
      </c>
      <c r="J133" s="36">
        <v>71.6</v>
      </c>
      <c r="K133" s="36">
        <v>166.0</v>
      </c>
      <c r="L133" s="36">
        <v>15.9</v>
      </c>
      <c r="M133" s="36">
        <v>106.0</v>
      </c>
      <c r="N133" s="36">
        <v>49.0</v>
      </c>
      <c r="O133" s="36">
        <v>31.0</v>
      </c>
      <c r="P133" s="36">
        <v>67.0</v>
      </c>
      <c r="Q133" s="36">
        <v>0.47</v>
      </c>
      <c r="R133" s="36">
        <v>0.91</v>
      </c>
      <c r="S133" s="36">
        <v>1.03</v>
      </c>
      <c r="T133" s="36">
        <v>1.94</v>
      </c>
      <c r="U133" s="21">
        <f t="shared" si="1"/>
        <v>1940</v>
      </c>
      <c r="V133" s="21">
        <f t="shared" si="4"/>
        <v>14400</v>
      </c>
    </row>
    <row r="134" ht="14.25" customHeight="1">
      <c r="A134" s="38">
        <v>0.5305555555555556</v>
      </c>
      <c r="B134" s="36">
        <v>122.0</v>
      </c>
      <c r="C134" s="36">
        <v>28.6</v>
      </c>
      <c r="D134" s="36">
        <v>1746.0</v>
      </c>
      <c r="E134" s="36">
        <v>2277.0</v>
      </c>
      <c r="F134" s="36">
        <v>1.3</v>
      </c>
      <c r="G134" s="36">
        <v>33.0</v>
      </c>
      <c r="H134" s="36">
        <v>1.6</v>
      </c>
      <c r="I134" s="36">
        <v>52.5</v>
      </c>
      <c r="J134" s="36">
        <v>71.3</v>
      </c>
      <c r="K134" s="36">
        <v>168.0</v>
      </c>
      <c r="L134" s="36">
        <v>14.9</v>
      </c>
      <c r="M134" s="36">
        <v>106.0</v>
      </c>
      <c r="N134" s="36">
        <v>49.0</v>
      </c>
      <c r="O134" s="36">
        <v>33.0</v>
      </c>
      <c r="P134" s="36">
        <v>68.0</v>
      </c>
      <c r="Q134" s="36">
        <v>0.47</v>
      </c>
      <c r="R134" s="36">
        <v>0.85</v>
      </c>
      <c r="S134" s="36">
        <v>0.97</v>
      </c>
      <c r="T134" s="36">
        <v>1.82</v>
      </c>
      <c r="U134" s="21">
        <f t="shared" si="1"/>
        <v>1820</v>
      </c>
      <c r="V134" s="21">
        <f t="shared" si="4"/>
        <v>16900</v>
      </c>
    </row>
    <row r="135" ht="14.25" customHeight="1">
      <c r="A135" s="38">
        <v>0.5326388888888889</v>
      </c>
      <c r="B135" s="36">
        <v>124.0</v>
      </c>
      <c r="C135" s="36">
        <v>29.4</v>
      </c>
      <c r="D135" s="36">
        <v>1796.0</v>
      </c>
      <c r="E135" s="36">
        <v>2388.0</v>
      </c>
      <c r="F135" s="36">
        <v>1.33</v>
      </c>
      <c r="G135" s="36">
        <v>31.0</v>
      </c>
      <c r="H135" s="36">
        <v>1.77</v>
      </c>
      <c r="I135" s="36">
        <v>54.4</v>
      </c>
      <c r="J135" s="36">
        <v>70.3</v>
      </c>
      <c r="K135" s="36">
        <v>169.0</v>
      </c>
      <c r="L135" s="36">
        <v>14.5</v>
      </c>
      <c r="M135" s="36">
        <v>106.0</v>
      </c>
      <c r="N135" s="36">
        <v>50.0</v>
      </c>
      <c r="O135" s="36">
        <v>31.0</v>
      </c>
      <c r="P135" s="36">
        <v>70.0</v>
      </c>
      <c r="Q135" s="36">
        <v>0.48</v>
      </c>
      <c r="R135" s="36">
        <v>0.93</v>
      </c>
      <c r="S135" s="36">
        <v>1.02</v>
      </c>
      <c r="T135" s="36">
        <v>1.95</v>
      </c>
      <c r="U135" s="21">
        <f t="shared" si="1"/>
        <v>1950</v>
      </c>
      <c r="V135" s="21">
        <f t="shared" si="4"/>
        <v>900</v>
      </c>
    </row>
    <row r="136" ht="14.25" customHeight="1">
      <c r="A136" s="38">
        <v>0.5333333333333333</v>
      </c>
      <c r="B136" s="36">
        <v>125.0</v>
      </c>
      <c r="C136" s="36">
        <v>28.9</v>
      </c>
      <c r="D136" s="36">
        <v>1760.0</v>
      </c>
      <c r="E136" s="36">
        <v>2350.0</v>
      </c>
      <c r="F136" s="36">
        <v>1.34</v>
      </c>
      <c r="G136" s="36">
        <v>31.0</v>
      </c>
      <c r="H136" s="36">
        <v>1.72</v>
      </c>
      <c r="I136" s="36">
        <v>53.8</v>
      </c>
      <c r="J136" s="36">
        <v>70.7</v>
      </c>
      <c r="K136" s="36">
        <v>169.0</v>
      </c>
      <c r="L136" s="36">
        <v>14.2</v>
      </c>
      <c r="M136" s="36">
        <v>106.0</v>
      </c>
      <c r="N136" s="36">
        <v>49.0</v>
      </c>
      <c r="O136" s="36">
        <v>31.0</v>
      </c>
      <c r="P136" s="36">
        <v>68.0</v>
      </c>
      <c r="Q136" s="36">
        <v>0.48</v>
      </c>
      <c r="R136" s="36">
        <v>0.93</v>
      </c>
      <c r="S136" s="36">
        <v>1.0</v>
      </c>
      <c r="T136" s="36">
        <v>1.92</v>
      </c>
      <c r="U136" s="21">
        <f t="shared" si="1"/>
        <v>1920</v>
      </c>
      <c r="V136" s="21">
        <f t="shared" si="4"/>
        <v>16900</v>
      </c>
    </row>
    <row r="137" ht="14.25" customHeight="1">
      <c r="A137" s="38">
        <v>0.5361111111111111</v>
      </c>
      <c r="B137" s="36">
        <v>126.0</v>
      </c>
      <c r="C137" s="36">
        <v>27.8</v>
      </c>
      <c r="D137" s="36">
        <v>1695.0</v>
      </c>
      <c r="E137" s="36">
        <v>2276.0</v>
      </c>
      <c r="F137" s="36">
        <v>1.34</v>
      </c>
      <c r="G137" s="36">
        <v>29.0</v>
      </c>
      <c r="H137" s="36">
        <v>1.78</v>
      </c>
      <c r="I137" s="36">
        <v>52.1</v>
      </c>
      <c r="J137" s="36">
        <v>71.6</v>
      </c>
      <c r="K137" s="36">
        <v>169.0</v>
      </c>
      <c r="L137" s="36">
        <v>14.2</v>
      </c>
      <c r="M137" s="36">
        <v>107.0</v>
      </c>
      <c r="N137" s="36">
        <v>49.0</v>
      </c>
      <c r="O137" s="36">
        <v>29.0</v>
      </c>
      <c r="P137" s="36">
        <v>66.0</v>
      </c>
      <c r="Q137" s="36">
        <v>0.49</v>
      </c>
      <c r="R137" s="36">
        <v>1.0</v>
      </c>
      <c r="S137" s="36">
        <v>1.05</v>
      </c>
      <c r="T137" s="36">
        <v>2.05</v>
      </c>
      <c r="U137" s="21">
        <f t="shared" si="1"/>
        <v>2050</v>
      </c>
      <c r="V137" s="21">
        <f t="shared" si="4"/>
        <v>48400</v>
      </c>
    </row>
    <row r="138" ht="14.25" customHeight="1">
      <c r="A138" s="38">
        <v>0.5368055555555555</v>
      </c>
      <c r="B138" s="36">
        <v>128.0</v>
      </c>
      <c r="C138" s="36">
        <v>27.4</v>
      </c>
      <c r="D138" s="36">
        <v>1673.0</v>
      </c>
      <c r="E138" s="36">
        <v>2227.0</v>
      </c>
      <c r="F138" s="36">
        <v>1.33</v>
      </c>
      <c r="G138" s="36">
        <v>33.0</v>
      </c>
      <c r="H138" s="36">
        <v>1.57</v>
      </c>
      <c r="I138" s="36">
        <v>51.3</v>
      </c>
      <c r="J138" s="36">
        <v>72.0</v>
      </c>
      <c r="K138" s="36">
        <v>169.0</v>
      </c>
      <c r="L138" s="36">
        <v>14.2</v>
      </c>
      <c r="M138" s="36">
        <v>106.0</v>
      </c>
      <c r="N138" s="36">
        <v>50.0</v>
      </c>
      <c r="O138" s="36">
        <v>33.0</v>
      </c>
      <c r="P138" s="36">
        <v>65.0</v>
      </c>
      <c r="Q138" s="36">
        <v>0.48</v>
      </c>
      <c r="R138" s="36">
        <v>0.87</v>
      </c>
      <c r="S138" s="36">
        <v>0.96</v>
      </c>
      <c r="T138" s="36">
        <v>1.83</v>
      </c>
      <c r="U138" s="21">
        <f t="shared" si="1"/>
        <v>1830</v>
      </c>
      <c r="V138" s="21">
        <f t="shared" si="4"/>
        <v>12100</v>
      </c>
    </row>
    <row r="139" ht="14.25" customHeight="1">
      <c r="A139" s="38">
        <v>0.5388888888888889</v>
      </c>
      <c r="B139" s="36">
        <v>128.0</v>
      </c>
      <c r="C139" s="36">
        <v>28.9</v>
      </c>
      <c r="D139" s="36">
        <v>1761.0</v>
      </c>
      <c r="E139" s="36">
        <v>2367.0</v>
      </c>
      <c r="F139" s="36">
        <v>1.34</v>
      </c>
      <c r="G139" s="36">
        <v>31.0</v>
      </c>
      <c r="H139" s="36">
        <v>1.74</v>
      </c>
      <c r="I139" s="36">
        <v>53.9</v>
      </c>
      <c r="J139" s="36">
        <v>70.6</v>
      </c>
      <c r="K139" s="36">
        <v>169.0</v>
      </c>
      <c r="L139" s="36">
        <v>14.0</v>
      </c>
      <c r="M139" s="36">
        <v>106.0</v>
      </c>
      <c r="N139" s="36">
        <v>50.0</v>
      </c>
      <c r="O139" s="36">
        <v>31.0</v>
      </c>
      <c r="P139" s="36">
        <v>68.0</v>
      </c>
      <c r="Q139" s="36">
        <v>0.48</v>
      </c>
      <c r="R139" s="36">
        <v>0.93</v>
      </c>
      <c r="S139" s="36">
        <v>1.01</v>
      </c>
      <c r="T139" s="36">
        <v>1.94</v>
      </c>
      <c r="U139" s="21">
        <f t="shared" si="1"/>
        <v>1940</v>
      </c>
      <c r="V139" s="21">
        <f t="shared" si="4"/>
        <v>6400</v>
      </c>
    </row>
    <row r="140" ht="14.25" customHeight="1">
      <c r="A140" s="38">
        <v>0.5402777777777777</v>
      </c>
      <c r="B140" s="36">
        <v>130.0</v>
      </c>
      <c r="C140" s="36">
        <v>27.9</v>
      </c>
      <c r="D140" s="36">
        <v>1700.0</v>
      </c>
      <c r="E140" s="36">
        <v>2296.0</v>
      </c>
      <c r="F140" s="36">
        <v>1.35</v>
      </c>
      <c r="G140" s="36">
        <v>30.0</v>
      </c>
      <c r="H140" s="36">
        <v>1.8</v>
      </c>
      <c r="I140" s="36">
        <v>53.5</v>
      </c>
      <c r="J140" s="36">
        <v>70.8</v>
      </c>
      <c r="K140" s="36">
        <v>171.0</v>
      </c>
      <c r="L140" s="36">
        <v>13.2</v>
      </c>
      <c r="M140" s="36">
        <v>107.0</v>
      </c>
      <c r="N140" s="36">
        <v>49.0</v>
      </c>
      <c r="O140" s="36">
        <v>30.0</v>
      </c>
      <c r="P140" s="36">
        <v>66.0</v>
      </c>
      <c r="Q140" s="36">
        <v>0.49</v>
      </c>
      <c r="R140" s="36">
        <v>0.98</v>
      </c>
      <c r="S140" s="36">
        <v>1.04</v>
      </c>
      <c r="T140" s="36">
        <v>2.02</v>
      </c>
      <c r="U140" s="21">
        <f t="shared" si="1"/>
        <v>2020</v>
      </c>
      <c r="V140" s="21">
        <f t="shared" si="4"/>
        <v>62500</v>
      </c>
    </row>
    <row r="141" ht="14.25" customHeight="1">
      <c r="A141" s="38">
        <v>0.5416666666666666</v>
      </c>
      <c r="B141" s="36">
        <v>131.0</v>
      </c>
      <c r="C141" s="36">
        <v>29.0</v>
      </c>
      <c r="D141" s="36">
        <v>1769.0</v>
      </c>
      <c r="E141" s="36">
        <v>2389.0</v>
      </c>
      <c r="F141" s="36">
        <v>1.35</v>
      </c>
      <c r="G141" s="36">
        <v>26.0</v>
      </c>
      <c r="H141" s="36">
        <v>2.07</v>
      </c>
      <c r="I141" s="36">
        <v>54.8</v>
      </c>
      <c r="J141" s="36">
        <v>70.1</v>
      </c>
      <c r="K141" s="36">
        <v>171.0</v>
      </c>
      <c r="L141" s="36">
        <v>13.0</v>
      </c>
      <c r="M141" s="36">
        <v>107.0</v>
      </c>
      <c r="N141" s="36">
        <v>49.0</v>
      </c>
      <c r="O141" s="36">
        <v>26.0</v>
      </c>
      <c r="P141" s="36">
        <v>69.0</v>
      </c>
      <c r="Q141" s="36">
        <v>0.49</v>
      </c>
      <c r="R141" s="36">
        <v>1.11</v>
      </c>
      <c r="S141" s="36">
        <v>1.15</v>
      </c>
      <c r="T141" s="36">
        <v>2.27</v>
      </c>
      <c r="U141" s="21">
        <f t="shared" si="1"/>
        <v>2270</v>
      </c>
      <c r="V141" s="21">
        <f t="shared" si="4"/>
        <v>36100</v>
      </c>
    </row>
    <row r="142" ht="14.25" customHeight="1">
      <c r="A142" s="38">
        <v>0.5430555555555555</v>
      </c>
      <c r="B142" s="36">
        <v>131.0</v>
      </c>
      <c r="C142" s="36">
        <v>29.1</v>
      </c>
      <c r="D142" s="36">
        <v>1778.0</v>
      </c>
      <c r="E142" s="36">
        <v>2393.0</v>
      </c>
      <c r="F142" s="36">
        <v>1.35</v>
      </c>
      <c r="G142" s="36">
        <v>29.0</v>
      </c>
      <c r="H142" s="36">
        <v>1.94</v>
      </c>
      <c r="I142" s="36">
        <v>55.8</v>
      </c>
      <c r="J142" s="36">
        <v>69.5</v>
      </c>
      <c r="K142" s="36">
        <v>171.0</v>
      </c>
      <c r="L142" s="36">
        <v>13.0</v>
      </c>
      <c r="M142" s="36">
        <v>107.0</v>
      </c>
      <c r="N142" s="36">
        <v>49.0</v>
      </c>
      <c r="O142" s="36">
        <v>29.0</v>
      </c>
      <c r="P142" s="36">
        <v>69.0</v>
      </c>
      <c r="Q142" s="36">
        <v>0.48</v>
      </c>
      <c r="R142" s="36">
        <v>0.99</v>
      </c>
      <c r="S142" s="36">
        <v>1.09</v>
      </c>
      <c r="T142" s="36">
        <v>2.08</v>
      </c>
      <c r="U142" s="21">
        <f t="shared" si="1"/>
        <v>2080</v>
      </c>
      <c r="V142" s="21">
        <f t="shared" si="4"/>
        <v>10000</v>
      </c>
    </row>
    <row r="143" ht="14.25" customHeight="1">
      <c r="A143" s="38">
        <v>0.5444444444444444</v>
      </c>
      <c r="B143" s="36">
        <v>133.0</v>
      </c>
      <c r="C143" s="36">
        <v>28.9</v>
      </c>
      <c r="D143" s="36">
        <v>1765.0</v>
      </c>
      <c r="E143" s="36">
        <v>2389.0</v>
      </c>
      <c r="F143" s="36">
        <v>1.35</v>
      </c>
      <c r="G143" s="36">
        <v>28.0</v>
      </c>
      <c r="H143" s="36">
        <v>2.02</v>
      </c>
      <c r="I143" s="36">
        <v>55.6</v>
      </c>
      <c r="J143" s="36">
        <v>69.6</v>
      </c>
      <c r="K143" s="36">
        <v>171.0</v>
      </c>
      <c r="L143" s="36">
        <v>13.0</v>
      </c>
      <c r="M143" s="36">
        <v>107.0</v>
      </c>
      <c r="N143" s="36">
        <v>49.0</v>
      </c>
      <c r="O143" s="36">
        <v>28.0</v>
      </c>
      <c r="P143" s="36">
        <v>69.0</v>
      </c>
      <c r="Q143" s="36">
        <v>0.48</v>
      </c>
      <c r="R143" s="36">
        <v>1.05</v>
      </c>
      <c r="S143" s="36">
        <v>1.12</v>
      </c>
      <c r="T143" s="36">
        <v>2.18</v>
      </c>
      <c r="U143" s="21">
        <f t="shared" si="1"/>
        <v>2180</v>
      </c>
      <c r="V143" s="21">
        <f t="shared" si="4"/>
        <v>8100</v>
      </c>
    </row>
    <row r="144" ht="14.25" customHeight="1">
      <c r="A144" s="38">
        <v>0.5458333333333333</v>
      </c>
      <c r="B144" s="36">
        <v>134.0</v>
      </c>
      <c r="C144" s="36">
        <v>30.2</v>
      </c>
      <c r="D144" s="36">
        <v>1843.0</v>
      </c>
      <c r="E144" s="36">
        <v>2513.0</v>
      </c>
      <c r="F144" s="36">
        <v>1.36</v>
      </c>
      <c r="G144" s="36">
        <v>29.0</v>
      </c>
      <c r="H144" s="36">
        <v>2.01</v>
      </c>
      <c r="I144" s="36">
        <v>57.7</v>
      </c>
      <c r="J144" s="36">
        <v>68.5</v>
      </c>
      <c r="K144" s="36">
        <v>172.0</v>
      </c>
      <c r="L144" s="36">
        <v>12.7</v>
      </c>
      <c r="M144" s="36">
        <v>107.0</v>
      </c>
      <c r="N144" s="36">
        <v>49.0</v>
      </c>
      <c r="O144" s="36">
        <v>29.0</v>
      </c>
      <c r="P144" s="36">
        <v>72.0</v>
      </c>
      <c r="Q144" s="36">
        <v>0.48</v>
      </c>
      <c r="R144" s="36">
        <v>1.0</v>
      </c>
      <c r="S144" s="36">
        <v>1.08</v>
      </c>
      <c r="T144" s="36">
        <v>2.09</v>
      </c>
      <c r="U144" s="21">
        <f t="shared" si="1"/>
        <v>2090</v>
      </c>
      <c r="V144" s="21">
        <f t="shared" si="4"/>
        <v>3600</v>
      </c>
    </row>
    <row r="145" ht="14.25" customHeight="1">
      <c r="A145" s="38">
        <v>0.5465277777777777</v>
      </c>
      <c r="B145" s="36">
        <v>134.0</v>
      </c>
      <c r="C145" s="36">
        <v>30.7</v>
      </c>
      <c r="D145" s="36">
        <v>1871.0</v>
      </c>
      <c r="E145" s="36">
        <v>2558.0</v>
      </c>
      <c r="F145" s="36">
        <v>1.37</v>
      </c>
      <c r="G145" s="36">
        <v>29.0</v>
      </c>
      <c r="H145" s="36">
        <v>2.0</v>
      </c>
      <c r="I145" s="36">
        <v>59.0</v>
      </c>
      <c r="J145" s="36">
        <v>67.8</v>
      </c>
      <c r="K145" s="36">
        <v>172.0</v>
      </c>
      <c r="L145" s="36">
        <v>12.5</v>
      </c>
      <c r="M145" s="36">
        <v>108.0</v>
      </c>
      <c r="N145" s="36">
        <v>49.0</v>
      </c>
      <c r="O145" s="36">
        <v>29.0</v>
      </c>
      <c r="P145" s="36">
        <v>73.0</v>
      </c>
      <c r="Q145" s="36">
        <v>0.48</v>
      </c>
      <c r="R145" s="36">
        <v>0.98</v>
      </c>
      <c r="S145" s="36">
        <v>1.06</v>
      </c>
      <c r="T145" s="36">
        <v>2.03</v>
      </c>
      <c r="U145" s="21">
        <f t="shared" si="1"/>
        <v>2030</v>
      </c>
      <c r="V145" s="21">
        <f t="shared" si="4"/>
        <v>22500</v>
      </c>
    </row>
    <row r="146" ht="14.25" customHeight="1">
      <c r="A146" s="38">
        <v>0.5479166666666667</v>
      </c>
      <c r="B146" s="36">
        <v>135.0</v>
      </c>
      <c r="C146" s="36">
        <v>31.5</v>
      </c>
      <c r="D146" s="36">
        <v>1921.0</v>
      </c>
      <c r="E146" s="36">
        <v>2682.0</v>
      </c>
      <c r="F146" s="36">
        <v>1.4</v>
      </c>
      <c r="G146" s="36">
        <v>32.0</v>
      </c>
      <c r="H146" s="36">
        <v>2.01</v>
      </c>
      <c r="I146" s="36">
        <v>64.2</v>
      </c>
      <c r="J146" s="36">
        <v>65.0</v>
      </c>
      <c r="K146" s="36">
        <v>173.0</v>
      </c>
      <c r="L146" s="36">
        <v>12.2</v>
      </c>
      <c r="M146" s="36">
        <v>109.0</v>
      </c>
      <c r="N146" s="36">
        <v>48.0</v>
      </c>
      <c r="O146" s="36">
        <v>32.0</v>
      </c>
      <c r="P146" s="36">
        <v>75.0</v>
      </c>
      <c r="Q146" s="36">
        <v>0.47</v>
      </c>
      <c r="R146" s="36">
        <v>0.89</v>
      </c>
      <c r="S146" s="36">
        <v>0.99</v>
      </c>
      <c r="T146" s="36">
        <v>1.88</v>
      </c>
      <c r="U146" s="21">
        <f t="shared" si="1"/>
        <v>1880</v>
      </c>
      <c r="V146" s="8">
        <v>0.0</v>
      </c>
    </row>
    <row r="147" ht="14.25" customHeight="1">
      <c r="A147" s="36" t="s">
        <v>82</v>
      </c>
      <c r="U147" s="21">
        <f t="shared" si="1"/>
        <v>0</v>
      </c>
      <c r="V147" s="8">
        <v>0.0</v>
      </c>
    </row>
    <row r="148" ht="14.25" customHeight="1">
      <c r="A148" s="38">
        <v>0.5493055555555556</v>
      </c>
      <c r="B148" s="36">
        <v>136.0</v>
      </c>
      <c r="C148" s="36">
        <v>33.7</v>
      </c>
      <c r="D148" s="36">
        <v>2054.0</v>
      </c>
      <c r="E148" s="36">
        <v>2887.0</v>
      </c>
      <c r="F148" s="36">
        <v>1.41</v>
      </c>
      <c r="G148" s="36">
        <v>35.0</v>
      </c>
      <c r="H148" s="36">
        <v>2.02</v>
      </c>
      <c r="I148" s="36">
        <v>69.9</v>
      </c>
      <c r="J148" s="36">
        <v>61.9</v>
      </c>
      <c r="K148" s="36">
        <v>173.0</v>
      </c>
      <c r="L148" s="36">
        <v>12.0</v>
      </c>
      <c r="M148" s="36">
        <v>110.0</v>
      </c>
      <c r="N148" s="36">
        <v>47.0</v>
      </c>
      <c r="O148" s="36">
        <v>35.0</v>
      </c>
      <c r="P148" s="36">
        <v>80.0</v>
      </c>
      <c r="Q148" s="36">
        <v>0.46</v>
      </c>
      <c r="R148" s="36">
        <v>0.81</v>
      </c>
      <c r="S148" s="36">
        <v>0.93</v>
      </c>
      <c r="T148" s="36">
        <v>1.73</v>
      </c>
      <c r="U148" s="21">
        <f t="shared" si="1"/>
        <v>1730</v>
      </c>
      <c r="V148" s="21">
        <f t="shared" ref="V148:V158" si="5">(U148-U149)^2</f>
        <v>8100</v>
      </c>
    </row>
    <row r="149" ht="14.25" customHeight="1">
      <c r="A149" s="38">
        <v>0.55</v>
      </c>
      <c r="B149" s="36">
        <v>137.0</v>
      </c>
      <c r="C149" s="36">
        <v>32.6</v>
      </c>
      <c r="D149" s="36">
        <v>1989.0</v>
      </c>
      <c r="E149" s="36">
        <v>2808.0</v>
      </c>
      <c r="F149" s="36">
        <v>1.41</v>
      </c>
      <c r="G149" s="36">
        <v>33.0</v>
      </c>
      <c r="H149" s="36">
        <v>2.04</v>
      </c>
      <c r="I149" s="36">
        <v>67.3</v>
      </c>
      <c r="J149" s="36">
        <v>63.3</v>
      </c>
      <c r="K149" s="36">
        <v>173.0</v>
      </c>
      <c r="L149" s="36">
        <v>12.2</v>
      </c>
      <c r="M149" s="36">
        <v>110.0</v>
      </c>
      <c r="N149" s="36">
        <v>47.0</v>
      </c>
      <c r="O149" s="36">
        <v>33.0</v>
      </c>
      <c r="P149" s="36">
        <v>77.0</v>
      </c>
      <c r="Q149" s="36">
        <v>0.48</v>
      </c>
      <c r="R149" s="36">
        <v>0.87</v>
      </c>
      <c r="S149" s="36">
        <v>0.95</v>
      </c>
      <c r="T149" s="36">
        <v>1.82</v>
      </c>
      <c r="U149" s="21">
        <f t="shared" si="1"/>
        <v>1820</v>
      </c>
      <c r="V149" s="21">
        <f t="shared" si="5"/>
        <v>8100</v>
      </c>
    </row>
    <row r="150" ht="14.25" customHeight="1">
      <c r="A150" s="38">
        <v>0.5513888888888889</v>
      </c>
      <c r="B150" s="36">
        <v>137.0</v>
      </c>
      <c r="C150" s="36">
        <v>32.4</v>
      </c>
      <c r="D150" s="36">
        <v>1974.0</v>
      </c>
      <c r="E150" s="36">
        <v>2832.0</v>
      </c>
      <c r="F150" s="36">
        <v>1.43</v>
      </c>
      <c r="G150" s="36">
        <v>31.0</v>
      </c>
      <c r="H150" s="36">
        <v>2.2</v>
      </c>
      <c r="I150" s="36">
        <v>69.0</v>
      </c>
      <c r="J150" s="36">
        <v>62.4</v>
      </c>
      <c r="K150" s="36">
        <v>175.0</v>
      </c>
      <c r="L150" s="36">
        <v>11.2</v>
      </c>
      <c r="M150" s="36">
        <v>111.0</v>
      </c>
      <c r="N150" s="36">
        <v>46.0</v>
      </c>
      <c r="O150" s="36">
        <v>31.0</v>
      </c>
      <c r="P150" s="36">
        <v>77.0</v>
      </c>
      <c r="Q150" s="36">
        <v>0.49</v>
      </c>
      <c r="R150" s="36">
        <v>0.93</v>
      </c>
      <c r="S150" s="36">
        <v>0.98</v>
      </c>
      <c r="T150" s="36">
        <v>1.91</v>
      </c>
      <c r="U150" s="21">
        <f t="shared" si="1"/>
        <v>1910</v>
      </c>
      <c r="V150" s="21">
        <f t="shared" si="5"/>
        <v>4900</v>
      </c>
    </row>
    <row r="151" ht="14.25" customHeight="1">
      <c r="A151" s="38">
        <v>0.5527777777777778</v>
      </c>
      <c r="B151" s="36">
        <v>139.0</v>
      </c>
      <c r="C151" s="36">
        <v>33.5</v>
      </c>
      <c r="D151" s="36">
        <v>2046.0</v>
      </c>
      <c r="E151" s="36">
        <v>2995.0</v>
      </c>
      <c r="F151" s="36">
        <v>1.46</v>
      </c>
      <c r="G151" s="36">
        <v>33.0</v>
      </c>
      <c r="H151" s="36">
        <v>2.29</v>
      </c>
      <c r="I151" s="36">
        <v>74.5</v>
      </c>
      <c r="J151" s="36">
        <v>59.3</v>
      </c>
      <c r="K151" s="36">
        <v>175.0</v>
      </c>
      <c r="L151" s="36">
        <v>11.0</v>
      </c>
      <c r="M151" s="36">
        <v>112.0</v>
      </c>
      <c r="N151" s="36">
        <v>46.0</v>
      </c>
      <c r="O151" s="36">
        <v>33.0</v>
      </c>
      <c r="P151" s="36">
        <v>80.0</v>
      </c>
      <c r="Q151" s="36">
        <v>0.48</v>
      </c>
      <c r="R151" s="36">
        <v>0.88</v>
      </c>
      <c r="S151" s="36">
        <v>0.96</v>
      </c>
      <c r="T151" s="36">
        <v>1.84</v>
      </c>
      <c r="U151" s="21">
        <f t="shared" si="1"/>
        <v>1840</v>
      </c>
      <c r="V151" s="21">
        <f t="shared" si="5"/>
        <v>100</v>
      </c>
    </row>
    <row r="152" ht="14.25" customHeight="1">
      <c r="A152" s="38">
        <v>0.5541666666666667</v>
      </c>
      <c r="B152" s="36">
        <v>140.0</v>
      </c>
      <c r="C152" s="36">
        <v>32.1</v>
      </c>
      <c r="D152" s="36">
        <v>1956.0</v>
      </c>
      <c r="E152" s="36">
        <v>2876.0</v>
      </c>
      <c r="F152" s="36">
        <v>1.47</v>
      </c>
      <c r="G152" s="36">
        <v>33.0</v>
      </c>
      <c r="H152" s="36">
        <v>2.24</v>
      </c>
      <c r="I152" s="36">
        <v>73.5</v>
      </c>
      <c r="J152" s="36">
        <v>59.9</v>
      </c>
      <c r="K152" s="36">
        <v>175.0</v>
      </c>
      <c r="L152" s="36">
        <v>11.2</v>
      </c>
      <c r="M152" s="36">
        <v>113.0</v>
      </c>
      <c r="N152" s="36">
        <v>45.0</v>
      </c>
      <c r="O152" s="36">
        <v>33.0</v>
      </c>
      <c r="P152" s="36">
        <v>76.0</v>
      </c>
      <c r="Q152" s="36">
        <v>0.49</v>
      </c>
      <c r="R152" s="36">
        <v>0.89</v>
      </c>
      <c r="S152" s="36">
        <v>0.93</v>
      </c>
      <c r="T152" s="36">
        <v>1.83</v>
      </c>
      <c r="U152" s="21">
        <f t="shared" si="1"/>
        <v>1830</v>
      </c>
      <c r="V152" s="21">
        <f t="shared" si="5"/>
        <v>6400</v>
      </c>
    </row>
    <row r="153" ht="14.25" customHeight="1">
      <c r="A153" s="38">
        <v>0.5555555555555556</v>
      </c>
      <c r="B153" s="36">
        <v>140.0</v>
      </c>
      <c r="C153" s="36">
        <v>30.1</v>
      </c>
      <c r="D153" s="36">
        <v>1836.0</v>
      </c>
      <c r="E153" s="36">
        <v>2762.0</v>
      </c>
      <c r="F153" s="36">
        <v>1.5</v>
      </c>
      <c r="G153" s="36">
        <v>31.0</v>
      </c>
      <c r="H153" s="36">
        <v>2.27</v>
      </c>
      <c r="I153" s="36">
        <v>71.3</v>
      </c>
      <c r="J153" s="36">
        <v>61.1</v>
      </c>
      <c r="K153" s="36">
        <v>176.0</v>
      </c>
      <c r="L153" s="36">
        <v>10.7</v>
      </c>
      <c r="M153" s="36">
        <v>113.0</v>
      </c>
      <c r="N153" s="36">
        <v>45.0</v>
      </c>
      <c r="O153" s="36">
        <v>31.0</v>
      </c>
      <c r="P153" s="36">
        <v>71.0</v>
      </c>
      <c r="Q153" s="36">
        <v>0.48</v>
      </c>
      <c r="R153" s="36">
        <v>0.92</v>
      </c>
      <c r="S153" s="36">
        <v>0.99</v>
      </c>
      <c r="T153" s="36">
        <v>1.91</v>
      </c>
      <c r="U153" s="21">
        <f t="shared" si="1"/>
        <v>1910</v>
      </c>
      <c r="V153" s="21">
        <f t="shared" si="5"/>
        <v>12100</v>
      </c>
    </row>
    <row r="154" ht="14.25" customHeight="1">
      <c r="A154" s="38">
        <v>0.5569444444444445</v>
      </c>
      <c r="B154" s="36">
        <v>142.0</v>
      </c>
      <c r="C154" s="36">
        <v>30.4</v>
      </c>
      <c r="D154" s="36">
        <v>1854.0</v>
      </c>
      <c r="E154" s="36">
        <v>2792.0</v>
      </c>
      <c r="F154" s="36">
        <v>1.51</v>
      </c>
      <c r="G154" s="36">
        <v>33.0</v>
      </c>
      <c r="H154" s="36">
        <v>2.16</v>
      </c>
      <c r="I154" s="36">
        <v>72.1</v>
      </c>
      <c r="J154" s="36">
        <v>60.7</v>
      </c>
      <c r="K154" s="36">
        <v>176.0</v>
      </c>
      <c r="L154" s="36">
        <v>10.5</v>
      </c>
      <c r="M154" s="36">
        <v>113.0</v>
      </c>
      <c r="N154" s="36">
        <v>45.0</v>
      </c>
      <c r="O154" s="36">
        <v>33.0</v>
      </c>
      <c r="P154" s="36">
        <v>72.0</v>
      </c>
      <c r="Q154" s="36">
        <v>0.47</v>
      </c>
      <c r="R154" s="36">
        <v>0.85</v>
      </c>
      <c r="S154" s="36">
        <v>0.94</v>
      </c>
      <c r="T154" s="36">
        <v>1.8</v>
      </c>
      <c r="U154" s="21">
        <f t="shared" si="1"/>
        <v>1800</v>
      </c>
      <c r="V154" s="21">
        <f t="shared" si="5"/>
        <v>3600</v>
      </c>
    </row>
    <row r="155" ht="14.25" customHeight="1">
      <c r="A155" s="38">
        <v>0.5583333333333333</v>
      </c>
      <c r="B155" s="36">
        <v>143.0</v>
      </c>
      <c r="C155" s="36">
        <v>28.3</v>
      </c>
      <c r="D155" s="36">
        <v>1725.0</v>
      </c>
      <c r="E155" s="36">
        <v>2646.0</v>
      </c>
      <c r="F155" s="36">
        <v>1.53</v>
      </c>
      <c r="G155" s="36">
        <v>32.0</v>
      </c>
      <c r="H155" s="36">
        <v>2.17</v>
      </c>
      <c r="I155" s="36">
        <v>70.0</v>
      </c>
      <c r="J155" s="36">
        <v>61.8</v>
      </c>
      <c r="K155" s="36">
        <v>176.0</v>
      </c>
      <c r="L155" s="36">
        <v>10.5</v>
      </c>
      <c r="M155" s="36">
        <v>114.0</v>
      </c>
      <c r="N155" s="36">
        <v>44.0</v>
      </c>
      <c r="O155" s="36">
        <v>32.0</v>
      </c>
      <c r="P155" s="36">
        <v>67.0</v>
      </c>
      <c r="Q155" s="36">
        <v>0.48</v>
      </c>
      <c r="R155" s="36">
        <v>0.89</v>
      </c>
      <c r="S155" s="36">
        <v>0.97</v>
      </c>
      <c r="T155" s="36">
        <v>1.86</v>
      </c>
      <c r="U155" s="21">
        <f t="shared" si="1"/>
        <v>1860</v>
      </c>
      <c r="V155" s="21">
        <f t="shared" si="5"/>
        <v>28900</v>
      </c>
    </row>
    <row r="156" ht="14.25" customHeight="1">
      <c r="A156" s="38">
        <v>0.5597222222222222</v>
      </c>
      <c r="B156" s="36">
        <v>144.0</v>
      </c>
      <c r="C156" s="36">
        <v>29.0</v>
      </c>
      <c r="D156" s="36">
        <v>1768.0</v>
      </c>
      <c r="E156" s="36">
        <v>2768.0</v>
      </c>
      <c r="F156" s="36">
        <v>1.57</v>
      </c>
      <c r="G156" s="36">
        <v>30.0</v>
      </c>
      <c r="H156" s="36">
        <v>2.46</v>
      </c>
      <c r="I156" s="36">
        <v>72.9</v>
      </c>
      <c r="J156" s="36">
        <v>60.2</v>
      </c>
      <c r="K156" s="36">
        <v>176.0</v>
      </c>
      <c r="L156" s="36">
        <v>10.7</v>
      </c>
      <c r="M156" s="36">
        <v>115.0</v>
      </c>
      <c r="N156" s="36">
        <v>44.0</v>
      </c>
      <c r="O156" s="36">
        <v>30.0</v>
      </c>
      <c r="P156" s="36">
        <v>69.0</v>
      </c>
      <c r="Q156" s="36">
        <v>0.46</v>
      </c>
      <c r="R156" s="36">
        <v>0.93</v>
      </c>
      <c r="S156" s="36">
        <v>1.09</v>
      </c>
      <c r="T156" s="36">
        <v>2.03</v>
      </c>
      <c r="U156" s="21">
        <f t="shared" si="1"/>
        <v>2030</v>
      </c>
      <c r="V156" s="21">
        <f t="shared" si="5"/>
        <v>100</v>
      </c>
    </row>
    <row r="157" ht="14.25" customHeight="1">
      <c r="A157" s="38">
        <v>0.5611111111111111</v>
      </c>
      <c r="B157" s="36">
        <v>145.0</v>
      </c>
      <c r="C157" s="36">
        <v>27.7</v>
      </c>
      <c r="D157" s="36">
        <v>1689.0</v>
      </c>
      <c r="E157" s="36">
        <v>2663.0</v>
      </c>
      <c r="F157" s="36">
        <v>1.58</v>
      </c>
      <c r="G157" s="36">
        <v>30.0</v>
      </c>
      <c r="H157" s="36">
        <v>2.37</v>
      </c>
      <c r="I157" s="36">
        <v>70.3</v>
      </c>
      <c r="J157" s="36">
        <v>61.6</v>
      </c>
      <c r="K157" s="36">
        <v>176.0</v>
      </c>
      <c r="L157" s="36">
        <v>10.7</v>
      </c>
      <c r="M157" s="36">
        <v>115.0</v>
      </c>
      <c r="N157" s="36">
        <v>44.0</v>
      </c>
      <c r="O157" s="36">
        <v>30.0</v>
      </c>
      <c r="P157" s="36">
        <v>66.0</v>
      </c>
      <c r="Q157" s="36">
        <v>0.44</v>
      </c>
      <c r="R157" s="36">
        <v>0.89</v>
      </c>
      <c r="S157" s="36">
        <v>1.13</v>
      </c>
      <c r="T157" s="36">
        <v>2.02</v>
      </c>
      <c r="U157" s="21">
        <f t="shared" si="1"/>
        <v>2020</v>
      </c>
      <c r="V157" s="21">
        <f t="shared" si="5"/>
        <v>1600</v>
      </c>
    </row>
    <row r="158" ht="14.25" customHeight="1">
      <c r="A158" s="38">
        <v>0.5631944444444444</v>
      </c>
      <c r="B158" s="36">
        <v>146.0</v>
      </c>
      <c r="C158" s="36">
        <v>25.6</v>
      </c>
      <c r="D158" s="36">
        <v>1560.0</v>
      </c>
      <c r="E158" s="36">
        <v>2468.0</v>
      </c>
      <c r="F158" s="36">
        <v>1.58</v>
      </c>
      <c r="G158" s="36">
        <v>29.0</v>
      </c>
      <c r="H158" s="36">
        <v>2.26</v>
      </c>
      <c r="I158" s="36">
        <v>65.7</v>
      </c>
      <c r="J158" s="36">
        <v>64.2</v>
      </c>
      <c r="K158" s="36">
        <v>174.0</v>
      </c>
      <c r="L158" s="36">
        <v>11.7</v>
      </c>
      <c r="M158" s="36">
        <v>114.0</v>
      </c>
      <c r="N158" s="36">
        <v>44.0</v>
      </c>
      <c r="O158" s="36">
        <v>29.0</v>
      </c>
      <c r="P158" s="36">
        <v>61.0</v>
      </c>
      <c r="Q158" s="36">
        <v>0.42</v>
      </c>
      <c r="R158" s="36">
        <v>0.86</v>
      </c>
      <c r="S158" s="36">
        <v>1.2</v>
      </c>
      <c r="T158" s="36">
        <v>2.06</v>
      </c>
      <c r="U158" s="21">
        <f t="shared" si="1"/>
        <v>2060</v>
      </c>
      <c r="V158" s="21">
        <f t="shared" si="5"/>
        <v>3600</v>
      </c>
    </row>
    <row r="159" ht="14.25" customHeight="1">
      <c r="A159" s="38">
        <v>0.5645833333333333</v>
      </c>
      <c r="B159" s="36">
        <v>25.0</v>
      </c>
      <c r="C159" s="36">
        <v>25.9</v>
      </c>
      <c r="D159" s="36">
        <v>1582.0</v>
      </c>
      <c r="E159" s="36">
        <v>2489.0</v>
      </c>
      <c r="F159" s="36">
        <v>1.57</v>
      </c>
      <c r="G159" s="36">
        <v>28.0</v>
      </c>
      <c r="H159" s="36">
        <v>2.3</v>
      </c>
      <c r="I159" s="36">
        <v>65.2</v>
      </c>
      <c r="J159" s="36">
        <v>64.4</v>
      </c>
      <c r="K159" s="36">
        <v>175.0</v>
      </c>
      <c r="L159" s="36">
        <v>11.2</v>
      </c>
      <c r="M159" s="36">
        <v>114.0</v>
      </c>
      <c r="N159" s="36">
        <v>44.0</v>
      </c>
      <c r="O159" s="36">
        <v>28.0</v>
      </c>
      <c r="P159" s="36">
        <v>62.0</v>
      </c>
      <c r="Q159" s="36">
        <v>0.44</v>
      </c>
      <c r="R159" s="36">
        <v>0.93</v>
      </c>
      <c r="S159" s="36">
        <v>1.19</v>
      </c>
      <c r="T159" s="36">
        <v>2.12</v>
      </c>
      <c r="U159" s="21">
        <f t="shared" si="1"/>
        <v>2120</v>
      </c>
      <c r="V159" s="8">
        <v>0.0</v>
      </c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10.25"/>
    <col customWidth="1" min="23" max="23" width="6.88"/>
    <col customWidth="1" min="24" max="24" width="8.0"/>
    <col customWidth="1" min="25" max="25" width="9.13"/>
    <col customWidth="1" min="26" max="26" width="9.63"/>
    <col customWidth="1" min="27" max="41" width="6.63"/>
  </cols>
  <sheetData>
    <row r="1" ht="14.25" customHeight="1">
      <c r="A1" s="36"/>
      <c r="B1" s="36" t="s">
        <v>34</v>
      </c>
      <c r="C1" s="36" t="s">
        <v>35</v>
      </c>
      <c r="D1" s="36" t="s">
        <v>36</v>
      </c>
      <c r="E1" s="36" t="s">
        <v>37</v>
      </c>
      <c r="F1" s="36" t="s">
        <v>38</v>
      </c>
      <c r="G1" s="36" t="s">
        <v>39</v>
      </c>
      <c r="H1" s="36" t="s">
        <v>40</v>
      </c>
      <c r="I1" s="36" t="s">
        <v>41</v>
      </c>
      <c r="J1" s="36" t="s">
        <v>42</v>
      </c>
      <c r="K1" s="36" t="s">
        <v>43</v>
      </c>
      <c r="L1" s="36" t="s">
        <v>44</v>
      </c>
      <c r="M1" s="36" t="s">
        <v>45</v>
      </c>
      <c r="N1" s="36" t="s">
        <v>46</v>
      </c>
      <c r="O1" s="36" t="s">
        <v>39</v>
      </c>
      <c r="P1" s="36" t="s">
        <v>47</v>
      </c>
      <c r="Q1" s="36" t="s">
        <v>48</v>
      </c>
      <c r="R1" s="36" t="s">
        <v>49</v>
      </c>
      <c r="S1" s="36" t="s">
        <v>50</v>
      </c>
      <c r="T1" s="36" t="s">
        <v>51</v>
      </c>
      <c r="V1" s="43"/>
      <c r="AB1" s="36" t="s">
        <v>95</v>
      </c>
    </row>
    <row r="2" ht="14.25" customHeight="1">
      <c r="A2" s="36" t="s">
        <v>53</v>
      </c>
      <c r="B2" s="36" t="s">
        <v>54</v>
      </c>
      <c r="C2" s="36" t="s">
        <v>55</v>
      </c>
      <c r="D2" s="36" t="s">
        <v>55</v>
      </c>
      <c r="E2" s="36" t="s">
        <v>56</v>
      </c>
      <c r="F2" s="36" t="s">
        <v>38</v>
      </c>
      <c r="G2" s="36" t="s">
        <v>57</v>
      </c>
      <c r="H2" s="36" t="s">
        <v>58</v>
      </c>
      <c r="I2" s="36" t="s">
        <v>59</v>
      </c>
      <c r="J2" s="36" t="s">
        <v>60</v>
      </c>
      <c r="K2" s="36" t="s">
        <v>61</v>
      </c>
      <c r="L2" s="36" t="s">
        <v>62</v>
      </c>
      <c r="M2" s="36" t="s">
        <v>63</v>
      </c>
      <c r="N2" s="36" t="s">
        <v>64</v>
      </c>
      <c r="O2" s="36" t="s">
        <v>57</v>
      </c>
      <c r="P2" s="36" t="s">
        <v>65</v>
      </c>
      <c r="Q2" s="36" t="s">
        <v>48</v>
      </c>
      <c r="R2" s="36" t="s">
        <v>66</v>
      </c>
      <c r="S2" s="36" t="s">
        <v>67</v>
      </c>
      <c r="T2" s="36" t="s">
        <v>68</v>
      </c>
      <c r="V2" s="43"/>
      <c r="AB2" s="37">
        <v>23270.0</v>
      </c>
    </row>
    <row r="3" ht="14.25" customHeight="1">
      <c r="A3" s="36" t="s">
        <v>69</v>
      </c>
      <c r="B3" s="36" t="s">
        <v>70</v>
      </c>
      <c r="C3" s="36" t="s">
        <v>71</v>
      </c>
      <c r="D3" s="36" t="s">
        <v>72</v>
      </c>
      <c r="E3" s="36" t="s">
        <v>72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77</v>
      </c>
      <c r="L3" s="36" t="s">
        <v>76</v>
      </c>
      <c r="M3" s="36" t="s">
        <v>78</v>
      </c>
      <c r="N3" s="36" t="s">
        <v>78</v>
      </c>
      <c r="O3" s="36" t="s">
        <v>73</v>
      </c>
      <c r="P3" s="36" t="s">
        <v>76</v>
      </c>
      <c r="R3" s="36" t="s">
        <v>79</v>
      </c>
      <c r="S3" s="36" t="s">
        <v>79</v>
      </c>
      <c r="T3" s="36" t="s">
        <v>79</v>
      </c>
      <c r="U3" s="8" t="s">
        <v>92</v>
      </c>
      <c r="V3" s="44" t="s">
        <v>85</v>
      </c>
      <c r="W3" s="8" t="s">
        <v>52</v>
      </c>
    </row>
    <row r="4" ht="14.25" customHeight="1">
      <c r="A4" s="36" t="s">
        <v>87</v>
      </c>
      <c r="V4" s="43"/>
      <c r="W4" s="45"/>
    </row>
    <row r="5" ht="14.25" customHeight="1">
      <c r="A5" s="38">
        <v>0.14583333333333334</v>
      </c>
      <c r="B5" s="36">
        <v>1.0</v>
      </c>
      <c r="C5" s="36">
        <v>4.2</v>
      </c>
      <c r="D5" s="36">
        <v>331.0</v>
      </c>
      <c r="E5" s="36">
        <v>362.0</v>
      </c>
      <c r="F5" s="36">
        <v>1.09</v>
      </c>
      <c r="G5" s="36">
        <v>10.0</v>
      </c>
      <c r="H5" s="36">
        <v>1.11</v>
      </c>
      <c r="I5" s="36">
        <v>11.6</v>
      </c>
      <c r="J5" s="36">
        <v>92.7</v>
      </c>
      <c r="K5" s="36">
        <v>79.0</v>
      </c>
      <c r="L5" s="36">
        <v>53.9</v>
      </c>
      <c r="M5" s="36">
        <v>113.0</v>
      </c>
      <c r="N5" s="36">
        <v>39.0</v>
      </c>
      <c r="O5" s="36">
        <v>10.0</v>
      </c>
      <c r="P5" s="36">
        <v>13.0</v>
      </c>
      <c r="Q5" s="36">
        <v>0.31</v>
      </c>
      <c r="R5" s="36">
        <v>1.8</v>
      </c>
      <c r="S5" s="36">
        <v>3.97</v>
      </c>
      <c r="T5" s="36">
        <v>5.76</v>
      </c>
      <c r="U5" s="21">
        <f t="shared" ref="U5:U154" si="1">T5*1000</f>
        <v>5760</v>
      </c>
      <c r="V5" s="46">
        <f t="shared" ref="V5:V81" si="2">(U5-U6)^2</f>
        <v>756900</v>
      </c>
      <c r="W5" s="45">
        <f>SQRT(AVERAGE(V5:V81))</f>
        <v>219.6307409</v>
      </c>
    </row>
    <row r="6" ht="14.25" customHeight="1">
      <c r="A6" s="38">
        <v>0.15208333333333332</v>
      </c>
      <c r="B6" s="36">
        <v>4.0</v>
      </c>
      <c r="C6" s="36">
        <v>4.6</v>
      </c>
      <c r="D6" s="36">
        <v>359.0</v>
      </c>
      <c r="E6" s="36">
        <v>394.0</v>
      </c>
      <c r="F6" s="36">
        <v>1.1</v>
      </c>
      <c r="G6" s="36">
        <v>9.0</v>
      </c>
      <c r="H6" s="36">
        <v>1.36</v>
      </c>
      <c r="I6" s="36">
        <v>12.4</v>
      </c>
      <c r="J6" s="36">
        <v>92.2</v>
      </c>
      <c r="K6" s="36">
        <v>81.0</v>
      </c>
      <c r="L6" s="36">
        <v>52.9</v>
      </c>
      <c r="M6" s="36">
        <v>113.0</v>
      </c>
      <c r="N6" s="36">
        <v>39.0</v>
      </c>
      <c r="O6" s="36">
        <v>9.0</v>
      </c>
      <c r="P6" s="36">
        <v>14.0</v>
      </c>
      <c r="Q6" s="36">
        <v>0.3</v>
      </c>
      <c r="R6" s="36">
        <v>2.01</v>
      </c>
      <c r="S6" s="36">
        <v>4.62</v>
      </c>
      <c r="T6" s="36">
        <v>6.63</v>
      </c>
      <c r="U6" s="21">
        <f t="shared" si="1"/>
        <v>6630</v>
      </c>
      <c r="V6" s="46">
        <f t="shared" si="2"/>
        <v>36100</v>
      </c>
      <c r="W6" s="45"/>
    </row>
    <row r="7" ht="14.25" customHeight="1">
      <c r="A7" s="38">
        <v>0.15555555555555556</v>
      </c>
      <c r="B7" s="36">
        <v>6.0</v>
      </c>
      <c r="C7" s="36">
        <v>4.6</v>
      </c>
      <c r="D7" s="36">
        <v>356.0</v>
      </c>
      <c r="E7" s="36">
        <v>414.0</v>
      </c>
      <c r="F7" s="36">
        <v>1.16</v>
      </c>
      <c r="G7" s="36">
        <v>9.0</v>
      </c>
      <c r="H7" s="36">
        <v>1.37</v>
      </c>
      <c r="I7" s="36">
        <v>12.8</v>
      </c>
      <c r="J7" s="36">
        <v>91.9</v>
      </c>
      <c r="K7" s="36">
        <v>84.0</v>
      </c>
      <c r="L7" s="36">
        <v>51.0</v>
      </c>
      <c r="M7" s="36">
        <v>112.0</v>
      </c>
      <c r="N7" s="36">
        <v>40.0</v>
      </c>
      <c r="O7" s="36">
        <v>9.0</v>
      </c>
      <c r="P7" s="36">
        <v>14.0</v>
      </c>
      <c r="Q7" s="36">
        <v>0.3</v>
      </c>
      <c r="R7" s="36">
        <v>1.93</v>
      </c>
      <c r="S7" s="36">
        <v>4.51</v>
      </c>
      <c r="T7" s="36">
        <v>6.44</v>
      </c>
      <c r="U7" s="21">
        <f t="shared" si="1"/>
        <v>6440</v>
      </c>
      <c r="V7" s="46">
        <f t="shared" si="2"/>
        <v>57600</v>
      </c>
      <c r="W7" s="45"/>
    </row>
    <row r="8" ht="14.25" customHeight="1">
      <c r="A8" s="38">
        <v>0.15833333333333333</v>
      </c>
      <c r="B8" s="36">
        <v>7.0</v>
      </c>
      <c r="C8" s="36">
        <v>4.8</v>
      </c>
      <c r="D8" s="36">
        <v>377.0</v>
      </c>
      <c r="E8" s="36">
        <v>442.0</v>
      </c>
      <c r="F8" s="36">
        <v>1.17</v>
      </c>
      <c r="G8" s="36">
        <v>10.0</v>
      </c>
      <c r="H8" s="36">
        <v>1.39</v>
      </c>
      <c r="I8" s="36">
        <v>13.5</v>
      </c>
      <c r="J8" s="36">
        <v>91.5</v>
      </c>
      <c r="K8" s="36">
        <v>86.0</v>
      </c>
      <c r="L8" s="36">
        <v>49.9</v>
      </c>
      <c r="M8" s="36">
        <v>112.0</v>
      </c>
      <c r="N8" s="36">
        <v>41.0</v>
      </c>
      <c r="O8" s="36">
        <v>10.0</v>
      </c>
      <c r="P8" s="36">
        <v>15.0</v>
      </c>
      <c r="Q8" s="36">
        <v>0.32</v>
      </c>
      <c r="R8" s="36">
        <v>1.97</v>
      </c>
      <c r="S8" s="36">
        <v>4.23</v>
      </c>
      <c r="T8" s="36">
        <v>6.2</v>
      </c>
      <c r="U8" s="21">
        <f t="shared" si="1"/>
        <v>6200</v>
      </c>
      <c r="V8" s="46">
        <f t="shared" si="2"/>
        <v>90000</v>
      </c>
      <c r="W8" s="45"/>
    </row>
    <row r="9" ht="14.25" customHeight="1">
      <c r="A9" s="38">
        <v>0.1625</v>
      </c>
      <c r="B9" s="36">
        <v>9.0</v>
      </c>
      <c r="C9" s="36">
        <v>5.3</v>
      </c>
      <c r="D9" s="36">
        <v>415.0</v>
      </c>
      <c r="E9" s="36">
        <v>471.0</v>
      </c>
      <c r="F9" s="36">
        <v>1.13</v>
      </c>
      <c r="G9" s="36">
        <v>9.0</v>
      </c>
      <c r="H9" s="36">
        <v>1.53</v>
      </c>
      <c r="I9" s="36">
        <v>14.1</v>
      </c>
      <c r="J9" s="36">
        <v>91.1</v>
      </c>
      <c r="K9" s="36">
        <v>88.0</v>
      </c>
      <c r="L9" s="36">
        <v>49.0</v>
      </c>
      <c r="M9" s="36">
        <v>112.0</v>
      </c>
      <c r="N9" s="36">
        <v>41.0</v>
      </c>
      <c r="O9" s="36">
        <v>9.0</v>
      </c>
      <c r="P9" s="36">
        <v>16.0</v>
      </c>
      <c r="Q9" s="36">
        <v>0.32</v>
      </c>
      <c r="R9" s="36">
        <v>2.09</v>
      </c>
      <c r="S9" s="36">
        <v>4.41</v>
      </c>
      <c r="T9" s="36">
        <v>6.5</v>
      </c>
      <c r="U9" s="21">
        <f t="shared" si="1"/>
        <v>6500</v>
      </c>
      <c r="V9" s="46">
        <f t="shared" si="2"/>
        <v>324900</v>
      </c>
      <c r="W9" s="45"/>
    </row>
    <row r="10" ht="14.25" customHeight="1">
      <c r="A10" s="38">
        <v>0.17083333333333334</v>
      </c>
      <c r="B10" s="36">
        <v>13.0</v>
      </c>
      <c r="C10" s="36">
        <v>5.6</v>
      </c>
      <c r="D10" s="36">
        <v>433.0</v>
      </c>
      <c r="E10" s="36">
        <v>489.0</v>
      </c>
      <c r="F10" s="36">
        <v>1.13</v>
      </c>
      <c r="G10" s="36">
        <v>10.0</v>
      </c>
      <c r="H10" s="36">
        <v>1.42</v>
      </c>
      <c r="I10" s="36">
        <v>14.4</v>
      </c>
      <c r="J10" s="36">
        <v>90.9</v>
      </c>
      <c r="K10" s="36">
        <v>89.0</v>
      </c>
      <c r="L10" s="36">
        <v>48.3</v>
      </c>
      <c r="M10" s="36">
        <v>112.0</v>
      </c>
      <c r="N10" s="36">
        <v>41.0</v>
      </c>
      <c r="O10" s="36">
        <v>10.0</v>
      </c>
      <c r="P10" s="36">
        <v>17.0</v>
      </c>
      <c r="Q10" s="36">
        <v>0.35</v>
      </c>
      <c r="R10" s="36">
        <v>2.08</v>
      </c>
      <c r="S10" s="36">
        <v>3.85</v>
      </c>
      <c r="T10" s="36">
        <v>5.93</v>
      </c>
      <c r="U10" s="21">
        <f t="shared" si="1"/>
        <v>5930</v>
      </c>
      <c r="V10" s="46">
        <f t="shared" si="2"/>
        <v>57600</v>
      </c>
      <c r="W10" s="45"/>
    </row>
    <row r="11" ht="14.25" customHeight="1">
      <c r="A11" s="38">
        <v>0.175</v>
      </c>
      <c r="B11" s="36">
        <v>15.0</v>
      </c>
      <c r="C11" s="36">
        <v>6.1</v>
      </c>
      <c r="D11" s="36">
        <v>474.0</v>
      </c>
      <c r="E11" s="36">
        <v>530.0</v>
      </c>
      <c r="F11" s="36">
        <v>1.12</v>
      </c>
      <c r="G11" s="36">
        <v>11.0</v>
      </c>
      <c r="H11" s="36">
        <v>1.43</v>
      </c>
      <c r="I11" s="36">
        <v>15.0</v>
      </c>
      <c r="J11" s="36">
        <v>90.5</v>
      </c>
      <c r="K11" s="36">
        <v>88.0</v>
      </c>
      <c r="L11" s="36">
        <v>49.0</v>
      </c>
      <c r="M11" s="36">
        <v>110.0</v>
      </c>
      <c r="N11" s="36">
        <v>42.0</v>
      </c>
      <c r="O11" s="36">
        <v>11.0</v>
      </c>
      <c r="P11" s="36">
        <v>18.0</v>
      </c>
      <c r="Q11" s="36">
        <v>0.36</v>
      </c>
      <c r="R11" s="36">
        <v>2.04</v>
      </c>
      <c r="S11" s="36">
        <v>3.65</v>
      </c>
      <c r="T11" s="36">
        <v>5.69</v>
      </c>
      <c r="U11" s="21">
        <f t="shared" si="1"/>
        <v>5690</v>
      </c>
      <c r="V11" s="46">
        <f t="shared" si="2"/>
        <v>44100</v>
      </c>
      <c r="W11" s="45"/>
    </row>
    <row r="12" ht="14.25" customHeight="1">
      <c r="A12" s="38">
        <v>0.17847222222222223</v>
      </c>
      <c r="B12" s="36">
        <v>17.0</v>
      </c>
      <c r="C12" s="36">
        <v>6.2</v>
      </c>
      <c r="D12" s="36">
        <v>486.0</v>
      </c>
      <c r="E12" s="36">
        <v>540.0</v>
      </c>
      <c r="F12" s="36">
        <v>1.11</v>
      </c>
      <c r="G12" s="36">
        <v>11.0</v>
      </c>
      <c r="H12" s="36">
        <v>1.37</v>
      </c>
      <c r="I12" s="36">
        <v>15.0</v>
      </c>
      <c r="J12" s="36">
        <v>90.5</v>
      </c>
      <c r="K12" s="36">
        <v>88.0</v>
      </c>
      <c r="L12" s="36">
        <v>48.8</v>
      </c>
      <c r="M12" s="36">
        <v>109.0</v>
      </c>
      <c r="N12" s="36">
        <v>43.0</v>
      </c>
      <c r="O12" s="36">
        <v>11.0</v>
      </c>
      <c r="P12" s="36">
        <v>19.0</v>
      </c>
      <c r="Q12" s="36">
        <v>0.36</v>
      </c>
      <c r="R12" s="36">
        <v>1.99</v>
      </c>
      <c r="S12" s="36">
        <v>3.49</v>
      </c>
      <c r="T12" s="36">
        <v>5.48</v>
      </c>
      <c r="U12" s="21">
        <f t="shared" si="1"/>
        <v>5480</v>
      </c>
      <c r="V12" s="46">
        <f t="shared" si="2"/>
        <v>0</v>
      </c>
      <c r="W12" s="45"/>
    </row>
    <row r="13" ht="14.25" customHeight="1">
      <c r="A13" s="38">
        <v>0.18194444444444444</v>
      </c>
      <c r="B13" s="36">
        <v>18.0</v>
      </c>
      <c r="C13" s="36">
        <v>6.2</v>
      </c>
      <c r="D13" s="36">
        <v>486.0</v>
      </c>
      <c r="E13" s="36">
        <v>539.0</v>
      </c>
      <c r="F13" s="36">
        <v>1.11</v>
      </c>
      <c r="G13" s="36">
        <v>11.0</v>
      </c>
      <c r="H13" s="36">
        <v>1.37</v>
      </c>
      <c r="I13" s="36">
        <v>15.0</v>
      </c>
      <c r="J13" s="36">
        <v>90.5</v>
      </c>
      <c r="K13" s="36">
        <v>87.0</v>
      </c>
      <c r="L13" s="36">
        <v>49.2</v>
      </c>
      <c r="M13" s="36">
        <v>109.0</v>
      </c>
      <c r="N13" s="36">
        <v>43.0</v>
      </c>
      <c r="O13" s="36">
        <v>11.0</v>
      </c>
      <c r="P13" s="36">
        <v>19.0</v>
      </c>
      <c r="Q13" s="36">
        <v>0.36</v>
      </c>
      <c r="R13" s="36">
        <v>1.99</v>
      </c>
      <c r="S13" s="36">
        <v>3.49</v>
      </c>
      <c r="T13" s="36">
        <v>5.48</v>
      </c>
      <c r="U13" s="21">
        <f t="shared" si="1"/>
        <v>5480</v>
      </c>
      <c r="V13" s="46">
        <f t="shared" si="2"/>
        <v>2500</v>
      </c>
      <c r="W13" s="45"/>
    </row>
    <row r="14" ht="14.25" customHeight="1">
      <c r="A14" s="38">
        <v>0.18541666666666667</v>
      </c>
      <c r="B14" s="36">
        <v>20.0</v>
      </c>
      <c r="C14" s="36">
        <v>6.6</v>
      </c>
      <c r="D14" s="36">
        <v>512.0</v>
      </c>
      <c r="E14" s="36">
        <v>557.0</v>
      </c>
      <c r="F14" s="36">
        <v>1.09</v>
      </c>
      <c r="G14" s="36">
        <v>11.0</v>
      </c>
      <c r="H14" s="36">
        <v>1.42</v>
      </c>
      <c r="I14" s="36">
        <v>15.4</v>
      </c>
      <c r="J14" s="36">
        <v>90.3</v>
      </c>
      <c r="K14" s="36">
        <v>87.0</v>
      </c>
      <c r="L14" s="36">
        <v>49.2</v>
      </c>
      <c r="M14" s="36">
        <v>108.0</v>
      </c>
      <c r="N14" s="36">
        <v>43.0</v>
      </c>
      <c r="O14" s="36">
        <v>11.0</v>
      </c>
      <c r="P14" s="36">
        <v>20.0</v>
      </c>
      <c r="Q14" s="36">
        <v>0.35</v>
      </c>
      <c r="R14" s="36">
        <v>1.93</v>
      </c>
      <c r="S14" s="36">
        <v>3.59</v>
      </c>
      <c r="T14" s="36">
        <v>5.53</v>
      </c>
      <c r="U14" s="21">
        <f t="shared" si="1"/>
        <v>5530</v>
      </c>
      <c r="V14" s="46">
        <f t="shared" si="2"/>
        <v>2500</v>
      </c>
      <c r="W14" s="45"/>
    </row>
    <row r="15" ht="14.25" customHeight="1">
      <c r="A15" s="38">
        <v>0.18888888888888888</v>
      </c>
      <c r="B15" s="36">
        <v>22.0</v>
      </c>
      <c r="C15" s="36">
        <v>7.0</v>
      </c>
      <c r="D15" s="36">
        <v>548.0</v>
      </c>
      <c r="E15" s="36">
        <v>585.0</v>
      </c>
      <c r="F15" s="36">
        <v>1.07</v>
      </c>
      <c r="G15" s="36">
        <v>11.0</v>
      </c>
      <c r="H15" s="36">
        <v>1.46</v>
      </c>
      <c r="I15" s="36">
        <v>16.0</v>
      </c>
      <c r="J15" s="36">
        <v>89.9</v>
      </c>
      <c r="K15" s="36">
        <v>84.0</v>
      </c>
      <c r="L15" s="36">
        <v>51.3</v>
      </c>
      <c r="M15" s="36">
        <v>107.0</v>
      </c>
      <c r="N15" s="36">
        <v>44.0</v>
      </c>
      <c r="O15" s="36">
        <v>11.0</v>
      </c>
      <c r="P15" s="36">
        <v>21.0</v>
      </c>
      <c r="Q15" s="36">
        <v>0.35</v>
      </c>
      <c r="R15" s="36">
        <v>1.93</v>
      </c>
      <c r="S15" s="36">
        <v>3.55</v>
      </c>
      <c r="T15" s="36">
        <v>5.48</v>
      </c>
      <c r="U15" s="21">
        <f t="shared" si="1"/>
        <v>5480</v>
      </c>
      <c r="V15" s="46">
        <f t="shared" si="2"/>
        <v>28900</v>
      </c>
      <c r="W15" s="45"/>
    </row>
    <row r="16" ht="14.25" customHeight="1">
      <c r="A16" s="38">
        <v>0.19236111111111112</v>
      </c>
      <c r="B16" s="36">
        <v>23.0</v>
      </c>
      <c r="C16" s="36">
        <v>6.7</v>
      </c>
      <c r="D16" s="36">
        <v>523.0</v>
      </c>
      <c r="E16" s="36">
        <v>553.0</v>
      </c>
      <c r="F16" s="36">
        <v>1.06</v>
      </c>
      <c r="G16" s="36">
        <v>11.0</v>
      </c>
      <c r="H16" s="36">
        <v>1.35</v>
      </c>
      <c r="I16" s="36">
        <v>15.2</v>
      </c>
      <c r="J16" s="36">
        <v>90.4</v>
      </c>
      <c r="K16" s="36">
        <v>83.0</v>
      </c>
      <c r="L16" s="36">
        <v>51.5</v>
      </c>
      <c r="M16" s="36">
        <v>107.0</v>
      </c>
      <c r="N16" s="36">
        <v>44.0</v>
      </c>
      <c r="O16" s="36">
        <v>11.0</v>
      </c>
      <c r="P16" s="36">
        <v>20.0</v>
      </c>
      <c r="Q16" s="36">
        <v>0.37</v>
      </c>
      <c r="R16" s="36">
        <v>1.95</v>
      </c>
      <c r="S16" s="36">
        <v>3.36</v>
      </c>
      <c r="T16" s="36">
        <v>5.31</v>
      </c>
      <c r="U16" s="21">
        <f t="shared" si="1"/>
        <v>5310</v>
      </c>
      <c r="V16" s="46">
        <f t="shared" si="2"/>
        <v>160000</v>
      </c>
      <c r="W16" s="45"/>
    </row>
    <row r="17" ht="14.25" customHeight="1">
      <c r="A17" s="38">
        <v>0.1951388888888889</v>
      </c>
      <c r="B17" s="36">
        <v>25.0</v>
      </c>
      <c r="C17" s="36">
        <v>6.9</v>
      </c>
      <c r="D17" s="36">
        <v>541.0</v>
      </c>
      <c r="E17" s="36">
        <v>554.0</v>
      </c>
      <c r="F17" s="36">
        <v>1.02</v>
      </c>
      <c r="G17" s="36">
        <v>12.0</v>
      </c>
      <c r="H17" s="36">
        <v>1.24</v>
      </c>
      <c r="I17" s="36">
        <v>15.2</v>
      </c>
      <c r="J17" s="36">
        <v>90.4</v>
      </c>
      <c r="K17" s="36">
        <v>81.0</v>
      </c>
      <c r="L17" s="36">
        <v>52.9</v>
      </c>
      <c r="M17" s="36">
        <v>106.0</v>
      </c>
      <c r="N17" s="36">
        <v>44.0</v>
      </c>
      <c r="O17" s="36">
        <v>12.0</v>
      </c>
      <c r="P17" s="36">
        <v>21.0</v>
      </c>
      <c r="Q17" s="36">
        <v>0.35</v>
      </c>
      <c r="R17" s="36">
        <v>1.69</v>
      </c>
      <c r="S17" s="36">
        <v>3.21</v>
      </c>
      <c r="T17" s="36">
        <v>4.91</v>
      </c>
      <c r="U17" s="21">
        <f t="shared" si="1"/>
        <v>4910</v>
      </c>
      <c r="V17" s="46">
        <f t="shared" si="2"/>
        <v>270400</v>
      </c>
      <c r="W17" s="45"/>
    </row>
    <row r="18" ht="14.25" customHeight="1">
      <c r="A18" s="38">
        <v>0.19722222222222222</v>
      </c>
      <c r="B18" s="36">
        <v>26.0</v>
      </c>
      <c r="C18" s="36">
        <v>6.5</v>
      </c>
      <c r="D18" s="36">
        <v>503.0</v>
      </c>
      <c r="E18" s="36">
        <v>500.0</v>
      </c>
      <c r="F18" s="36">
        <v>0.99</v>
      </c>
      <c r="G18" s="36">
        <v>14.0</v>
      </c>
      <c r="H18" s="36">
        <v>1.03</v>
      </c>
      <c r="I18" s="36">
        <v>14.1</v>
      </c>
      <c r="J18" s="36">
        <v>91.1</v>
      </c>
      <c r="K18" s="36">
        <v>82.0</v>
      </c>
      <c r="L18" s="36">
        <v>52.3</v>
      </c>
      <c r="M18" s="36">
        <v>105.0</v>
      </c>
      <c r="N18" s="36">
        <v>44.0</v>
      </c>
      <c r="O18" s="36">
        <v>14.0</v>
      </c>
      <c r="P18" s="36">
        <v>20.0</v>
      </c>
      <c r="Q18" s="36">
        <v>0.34</v>
      </c>
      <c r="R18" s="36">
        <v>1.47</v>
      </c>
      <c r="S18" s="36">
        <v>2.92</v>
      </c>
      <c r="T18" s="36">
        <v>4.39</v>
      </c>
      <c r="U18" s="21">
        <f t="shared" si="1"/>
        <v>4390</v>
      </c>
      <c r="V18" s="46">
        <f t="shared" si="2"/>
        <v>52900</v>
      </c>
      <c r="W18" s="45"/>
    </row>
    <row r="19" ht="14.25" customHeight="1">
      <c r="A19" s="38">
        <v>0.2013888888888889</v>
      </c>
      <c r="B19" s="36">
        <v>28.0</v>
      </c>
      <c r="C19" s="36">
        <v>6.9</v>
      </c>
      <c r="D19" s="36">
        <v>540.0</v>
      </c>
      <c r="E19" s="36">
        <v>526.0</v>
      </c>
      <c r="F19" s="36">
        <v>0.97</v>
      </c>
      <c r="G19" s="36">
        <v>13.0</v>
      </c>
      <c r="H19" s="36">
        <v>1.13</v>
      </c>
      <c r="I19" s="36">
        <v>14.7</v>
      </c>
      <c r="J19" s="36">
        <v>90.7</v>
      </c>
      <c r="K19" s="36">
        <v>83.0</v>
      </c>
      <c r="L19" s="36">
        <v>51.9</v>
      </c>
      <c r="M19" s="36">
        <v>104.0</v>
      </c>
      <c r="N19" s="36">
        <v>44.0</v>
      </c>
      <c r="O19" s="36">
        <v>13.0</v>
      </c>
      <c r="P19" s="36">
        <v>21.0</v>
      </c>
      <c r="Q19" s="36">
        <v>0.32</v>
      </c>
      <c r="R19" s="36">
        <v>1.47</v>
      </c>
      <c r="S19" s="36">
        <v>3.15</v>
      </c>
      <c r="T19" s="36">
        <v>4.62</v>
      </c>
      <c r="U19" s="21">
        <f t="shared" si="1"/>
        <v>4620</v>
      </c>
      <c r="V19" s="46">
        <f t="shared" si="2"/>
        <v>22500</v>
      </c>
      <c r="W19" s="45"/>
    </row>
    <row r="20" ht="14.25" customHeight="1">
      <c r="A20" s="38">
        <v>0.20347222222222222</v>
      </c>
      <c r="B20" s="36">
        <v>28.0</v>
      </c>
      <c r="C20" s="36">
        <v>7.0</v>
      </c>
      <c r="D20" s="36">
        <v>545.0</v>
      </c>
      <c r="E20" s="36">
        <v>532.0</v>
      </c>
      <c r="F20" s="36">
        <v>0.98</v>
      </c>
      <c r="G20" s="36">
        <v>13.0</v>
      </c>
      <c r="H20" s="36">
        <v>1.18</v>
      </c>
      <c r="I20" s="36">
        <v>14.8</v>
      </c>
      <c r="J20" s="36">
        <v>90.6</v>
      </c>
      <c r="K20" s="36">
        <v>82.0</v>
      </c>
      <c r="L20" s="36">
        <v>52.3</v>
      </c>
      <c r="M20" s="36">
        <v>104.0</v>
      </c>
      <c r="N20" s="36">
        <v>44.0</v>
      </c>
      <c r="O20" s="36">
        <v>13.0</v>
      </c>
      <c r="P20" s="36">
        <v>21.0</v>
      </c>
      <c r="Q20" s="36">
        <v>0.32</v>
      </c>
      <c r="R20" s="36">
        <v>1.53</v>
      </c>
      <c r="S20" s="36">
        <v>3.24</v>
      </c>
      <c r="T20" s="36">
        <v>4.77</v>
      </c>
      <c r="U20" s="21">
        <f t="shared" si="1"/>
        <v>4770</v>
      </c>
      <c r="V20" s="46">
        <f t="shared" si="2"/>
        <v>4900</v>
      </c>
      <c r="W20" s="45"/>
    </row>
    <row r="21" ht="14.25" customHeight="1">
      <c r="A21" s="38">
        <v>0.20625</v>
      </c>
      <c r="B21" s="36">
        <v>30.0</v>
      </c>
      <c r="C21" s="36">
        <v>7.1</v>
      </c>
      <c r="D21" s="36">
        <v>557.0</v>
      </c>
      <c r="E21" s="36">
        <v>533.0</v>
      </c>
      <c r="F21" s="36">
        <v>0.96</v>
      </c>
      <c r="G21" s="36">
        <v>13.0</v>
      </c>
      <c r="H21" s="36">
        <v>1.17</v>
      </c>
      <c r="I21" s="36">
        <v>14.9</v>
      </c>
      <c r="J21" s="36">
        <v>90.6</v>
      </c>
      <c r="K21" s="36">
        <v>83.0</v>
      </c>
      <c r="L21" s="36">
        <v>51.7</v>
      </c>
      <c r="M21" s="36">
        <v>104.0</v>
      </c>
      <c r="N21" s="36">
        <v>44.0</v>
      </c>
      <c r="O21" s="36">
        <v>13.0</v>
      </c>
      <c r="P21" s="36">
        <v>22.0</v>
      </c>
      <c r="Q21" s="36">
        <v>0.34</v>
      </c>
      <c r="R21" s="36">
        <v>1.59</v>
      </c>
      <c r="S21" s="36">
        <v>3.11</v>
      </c>
      <c r="T21" s="36">
        <v>4.7</v>
      </c>
      <c r="U21" s="21">
        <f t="shared" si="1"/>
        <v>4700</v>
      </c>
      <c r="V21" s="46">
        <f t="shared" si="2"/>
        <v>36100</v>
      </c>
      <c r="W21" s="45"/>
    </row>
    <row r="22" ht="14.25" customHeight="1">
      <c r="A22" s="38">
        <v>0.20972222222222223</v>
      </c>
      <c r="B22" s="36">
        <v>31.0</v>
      </c>
      <c r="C22" s="36">
        <v>6.7</v>
      </c>
      <c r="D22" s="36">
        <v>525.0</v>
      </c>
      <c r="E22" s="36">
        <v>495.0</v>
      </c>
      <c r="F22" s="36">
        <v>0.94</v>
      </c>
      <c r="G22" s="36">
        <v>13.0</v>
      </c>
      <c r="H22" s="36">
        <v>1.05</v>
      </c>
      <c r="I22" s="36">
        <v>14.0</v>
      </c>
      <c r="J22" s="36">
        <v>91.2</v>
      </c>
      <c r="K22" s="36">
        <v>83.0</v>
      </c>
      <c r="L22" s="36">
        <v>52.0</v>
      </c>
      <c r="M22" s="36">
        <v>105.0</v>
      </c>
      <c r="N22" s="36">
        <v>44.0</v>
      </c>
      <c r="O22" s="36">
        <v>13.0</v>
      </c>
      <c r="P22" s="36">
        <v>20.0</v>
      </c>
      <c r="Q22" s="36">
        <v>0.34</v>
      </c>
      <c r="R22" s="36">
        <v>1.51</v>
      </c>
      <c r="S22" s="36">
        <v>2.99</v>
      </c>
      <c r="T22" s="36">
        <v>4.51</v>
      </c>
      <c r="U22" s="21">
        <f t="shared" si="1"/>
        <v>4510</v>
      </c>
      <c r="V22" s="46">
        <f t="shared" si="2"/>
        <v>90000</v>
      </c>
      <c r="W22" s="45"/>
    </row>
    <row r="23" ht="14.25" customHeight="1">
      <c r="A23" s="38">
        <v>0.21319444444444444</v>
      </c>
      <c r="B23" s="36">
        <v>33.0</v>
      </c>
      <c r="C23" s="36">
        <v>7.1</v>
      </c>
      <c r="D23" s="36">
        <v>554.0</v>
      </c>
      <c r="E23" s="36">
        <v>531.0</v>
      </c>
      <c r="F23" s="36">
        <v>0.96</v>
      </c>
      <c r="G23" s="36">
        <v>12.0</v>
      </c>
      <c r="H23" s="36">
        <v>1.16</v>
      </c>
      <c r="I23" s="36">
        <v>14.5</v>
      </c>
      <c r="J23" s="36">
        <v>90.8</v>
      </c>
      <c r="K23" s="36">
        <v>81.0</v>
      </c>
      <c r="L23" s="36">
        <v>53.0</v>
      </c>
      <c r="M23" s="36">
        <v>104.0</v>
      </c>
      <c r="N23" s="36">
        <v>44.0</v>
      </c>
      <c r="O23" s="36">
        <v>12.0</v>
      </c>
      <c r="P23" s="36">
        <v>22.0</v>
      </c>
      <c r="Q23" s="36">
        <v>0.33</v>
      </c>
      <c r="R23" s="36">
        <v>1.59</v>
      </c>
      <c r="S23" s="36">
        <v>3.22</v>
      </c>
      <c r="T23" s="36">
        <v>4.81</v>
      </c>
      <c r="U23" s="21">
        <f t="shared" si="1"/>
        <v>4810</v>
      </c>
      <c r="V23" s="46">
        <f t="shared" si="2"/>
        <v>1600</v>
      </c>
      <c r="W23" s="45"/>
    </row>
    <row r="24" ht="14.25" customHeight="1">
      <c r="A24" s="38">
        <v>0.21597222222222223</v>
      </c>
      <c r="B24" s="36">
        <v>34.0</v>
      </c>
      <c r="C24" s="36">
        <v>7.0</v>
      </c>
      <c r="D24" s="36">
        <v>550.0</v>
      </c>
      <c r="E24" s="36">
        <v>524.0</v>
      </c>
      <c r="F24" s="36">
        <v>0.95</v>
      </c>
      <c r="G24" s="36">
        <v>12.0</v>
      </c>
      <c r="H24" s="36">
        <v>1.15</v>
      </c>
      <c r="I24" s="36">
        <v>14.3</v>
      </c>
      <c r="J24" s="36">
        <v>91.0</v>
      </c>
      <c r="K24" s="36">
        <v>81.0</v>
      </c>
      <c r="L24" s="36">
        <v>53.0</v>
      </c>
      <c r="M24" s="36">
        <v>104.0</v>
      </c>
      <c r="N24" s="36">
        <v>44.0</v>
      </c>
      <c r="O24" s="36">
        <v>12.0</v>
      </c>
      <c r="P24" s="36">
        <v>21.0</v>
      </c>
      <c r="Q24" s="36">
        <v>0.34</v>
      </c>
      <c r="R24" s="36">
        <v>1.65</v>
      </c>
      <c r="S24" s="36">
        <v>3.2</v>
      </c>
      <c r="T24" s="36">
        <v>4.85</v>
      </c>
      <c r="U24" s="21">
        <f t="shared" si="1"/>
        <v>4850</v>
      </c>
      <c r="V24" s="46">
        <f t="shared" si="2"/>
        <v>900</v>
      </c>
      <c r="W24" s="45"/>
    </row>
    <row r="25" ht="14.25" customHeight="1">
      <c r="A25" s="38">
        <v>0.21875</v>
      </c>
      <c r="B25" s="36">
        <v>36.0</v>
      </c>
      <c r="C25" s="36">
        <v>7.3</v>
      </c>
      <c r="D25" s="36">
        <v>566.0</v>
      </c>
      <c r="E25" s="36">
        <v>544.0</v>
      </c>
      <c r="F25" s="36">
        <v>0.96</v>
      </c>
      <c r="G25" s="36">
        <v>12.0</v>
      </c>
      <c r="H25" s="36">
        <v>1.18</v>
      </c>
      <c r="I25" s="36">
        <v>14.7</v>
      </c>
      <c r="J25" s="36">
        <v>90.7</v>
      </c>
      <c r="K25" s="36">
        <v>80.0</v>
      </c>
      <c r="L25" s="36">
        <v>53.4</v>
      </c>
      <c r="M25" s="36">
        <v>103.0</v>
      </c>
      <c r="N25" s="36">
        <v>45.0</v>
      </c>
      <c r="O25" s="36">
        <v>12.0</v>
      </c>
      <c r="P25" s="36">
        <v>22.0</v>
      </c>
      <c r="Q25" s="36">
        <v>0.34</v>
      </c>
      <c r="R25" s="36">
        <v>1.65</v>
      </c>
      <c r="S25" s="36">
        <v>3.17</v>
      </c>
      <c r="T25" s="36">
        <v>4.82</v>
      </c>
      <c r="U25" s="21">
        <f t="shared" si="1"/>
        <v>4820</v>
      </c>
      <c r="V25" s="46">
        <f t="shared" si="2"/>
        <v>90000</v>
      </c>
      <c r="W25" s="45"/>
    </row>
    <row r="26" ht="14.25" customHeight="1">
      <c r="A26" s="38">
        <v>0.22152777777777777</v>
      </c>
      <c r="B26" s="36">
        <v>37.0</v>
      </c>
      <c r="C26" s="36">
        <v>7.5</v>
      </c>
      <c r="D26" s="36">
        <v>585.0</v>
      </c>
      <c r="E26" s="36">
        <v>551.0</v>
      </c>
      <c r="F26" s="36">
        <v>0.94</v>
      </c>
      <c r="G26" s="36">
        <v>13.0</v>
      </c>
      <c r="H26" s="36">
        <v>1.11</v>
      </c>
      <c r="I26" s="36">
        <v>14.7</v>
      </c>
      <c r="J26" s="36">
        <v>90.7</v>
      </c>
      <c r="K26" s="36">
        <v>78.0</v>
      </c>
      <c r="L26" s="36">
        <v>54.6</v>
      </c>
      <c r="M26" s="36">
        <v>102.0</v>
      </c>
      <c r="N26" s="36">
        <v>45.0</v>
      </c>
      <c r="O26" s="36">
        <v>13.0</v>
      </c>
      <c r="P26" s="36">
        <v>23.0</v>
      </c>
      <c r="Q26" s="36">
        <v>0.36</v>
      </c>
      <c r="R26" s="36">
        <v>1.61</v>
      </c>
      <c r="S26" s="36">
        <v>2.91</v>
      </c>
      <c r="T26" s="36">
        <v>4.52</v>
      </c>
      <c r="U26" s="21">
        <f t="shared" si="1"/>
        <v>4520</v>
      </c>
      <c r="V26" s="46">
        <f t="shared" si="2"/>
        <v>6400</v>
      </c>
      <c r="W26" s="45"/>
    </row>
    <row r="27" ht="14.25" customHeight="1">
      <c r="A27" s="38">
        <v>0.225</v>
      </c>
      <c r="B27" s="36">
        <v>39.0</v>
      </c>
      <c r="C27" s="36">
        <v>7.2</v>
      </c>
      <c r="D27" s="36">
        <v>561.0</v>
      </c>
      <c r="E27" s="36">
        <v>534.0</v>
      </c>
      <c r="F27" s="36">
        <v>0.95</v>
      </c>
      <c r="G27" s="36">
        <v>13.0</v>
      </c>
      <c r="H27" s="36">
        <v>1.1</v>
      </c>
      <c r="I27" s="36">
        <v>14.3</v>
      </c>
      <c r="J27" s="36">
        <v>90.9</v>
      </c>
      <c r="K27" s="36">
        <v>79.0</v>
      </c>
      <c r="L27" s="36">
        <v>54.3</v>
      </c>
      <c r="M27" s="36">
        <v>103.0</v>
      </c>
      <c r="N27" s="36">
        <v>45.0</v>
      </c>
      <c r="O27" s="36">
        <v>13.0</v>
      </c>
      <c r="P27" s="36">
        <v>22.0</v>
      </c>
      <c r="Q27" s="36">
        <v>0.37</v>
      </c>
      <c r="R27" s="36">
        <v>1.71</v>
      </c>
      <c r="S27" s="36">
        <v>2.89</v>
      </c>
      <c r="T27" s="36">
        <v>4.6</v>
      </c>
      <c r="U27" s="21">
        <f t="shared" si="1"/>
        <v>4600</v>
      </c>
      <c r="V27" s="46">
        <f t="shared" si="2"/>
        <v>32400</v>
      </c>
      <c r="W27" s="45"/>
    </row>
    <row r="28" ht="14.25" customHeight="1">
      <c r="A28" s="38">
        <v>0.22777777777777777</v>
      </c>
      <c r="B28" s="36">
        <v>40.0</v>
      </c>
      <c r="C28" s="36">
        <v>7.2</v>
      </c>
      <c r="D28" s="36">
        <v>562.0</v>
      </c>
      <c r="E28" s="36">
        <v>544.0</v>
      </c>
      <c r="F28" s="36">
        <v>0.97</v>
      </c>
      <c r="G28" s="36">
        <v>14.0</v>
      </c>
      <c r="H28" s="36">
        <v>1.07</v>
      </c>
      <c r="I28" s="36">
        <v>14.6</v>
      </c>
      <c r="J28" s="36">
        <v>90.8</v>
      </c>
      <c r="K28" s="36">
        <v>79.0</v>
      </c>
      <c r="L28" s="36">
        <v>54.3</v>
      </c>
      <c r="M28" s="36">
        <v>103.0</v>
      </c>
      <c r="N28" s="36">
        <v>45.0</v>
      </c>
      <c r="O28" s="36">
        <v>14.0</v>
      </c>
      <c r="P28" s="36">
        <v>22.0</v>
      </c>
      <c r="Q28" s="36">
        <v>0.37</v>
      </c>
      <c r="R28" s="36">
        <v>1.64</v>
      </c>
      <c r="S28" s="36">
        <v>2.78</v>
      </c>
      <c r="T28" s="36">
        <v>4.42</v>
      </c>
      <c r="U28" s="21">
        <f t="shared" si="1"/>
        <v>4420</v>
      </c>
      <c r="V28" s="46">
        <f t="shared" si="2"/>
        <v>0</v>
      </c>
      <c r="W28" s="45"/>
    </row>
    <row r="29" ht="14.25" customHeight="1">
      <c r="A29" s="38">
        <v>0.2298611111111111</v>
      </c>
      <c r="B29" s="36">
        <v>41.0</v>
      </c>
      <c r="C29" s="36">
        <v>7.2</v>
      </c>
      <c r="D29" s="36">
        <v>561.0</v>
      </c>
      <c r="E29" s="36">
        <v>544.0</v>
      </c>
      <c r="F29" s="36">
        <v>0.97</v>
      </c>
      <c r="G29" s="36">
        <v>14.0</v>
      </c>
      <c r="H29" s="36">
        <v>1.07</v>
      </c>
      <c r="I29" s="36">
        <v>14.6</v>
      </c>
      <c r="J29" s="36">
        <v>90.8</v>
      </c>
      <c r="K29" s="36">
        <v>79.0</v>
      </c>
      <c r="L29" s="36">
        <v>54.2</v>
      </c>
      <c r="M29" s="36">
        <v>103.0</v>
      </c>
      <c r="N29" s="36">
        <v>45.0</v>
      </c>
      <c r="O29" s="36">
        <v>14.0</v>
      </c>
      <c r="P29" s="36">
        <v>22.0</v>
      </c>
      <c r="Q29" s="36">
        <v>0.37</v>
      </c>
      <c r="R29" s="36">
        <v>1.64</v>
      </c>
      <c r="S29" s="36">
        <v>2.78</v>
      </c>
      <c r="T29" s="36">
        <v>4.42</v>
      </c>
      <c r="U29" s="21">
        <f t="shared" si="1"/>
        <v>4420</v>
      </c>
      <c r="V29" s="46">
        <f t="shared" si="2"/>
        <v>22500</v>
      </c>
      <c r="W29" s="45"/>
    </row>
    <row r="30" ht="14.25" customHeight="1">
      <c r="A30" s="38">
        <v>0.2326388888888889</v>
      </c>
      <c r="B30" s="36">
        <v>42.0</v>
      </c>
      <c r="C30" s="36">
        <v>7.3</v>
      </c>
      <c r="D30" s="36">
        <v>571.0</v>
      </c>
      <c r="E30" s="36">
        <v>542.0</v>
      </c>
      <c r="F30" s="36">
        <v>0.95</v>
      </c>
      <c r="G30" s="36">
        <v>14.0</v>
      </c>
      <c r="H30" s="36">
        <v>1.04</v>
      </c>
      <c r="I30" s="36">
        <v>14.6</v>
      </c>
      <c r="J30" s="36">
        <v>90.7</v>
      </c>
      <c r="K30" s="36">
        <v>80.0</v>
      </c>
      <c r="L30" s="36">
        <v>53.5</v>
      </c>
      <c r="M30" s="36">
        <v>102.0</v>
      </c>
      <c r="N30" s="36">
        <v>45.0</v>
      </c>
      <c r="O30" s="36">
        <v>14.0</v>
      </c>
      <c r="P30" s="36">
        <v>22.0</v>
      </c>
      <c r="Q30" s="36">
        <v>0.38</v>
      </c>
      <c r="R30" s="36">
        <v>1.62</v>
      </c>
      <c r="S30" s="36">
        <v>2.65</v>
      </c>
      <c r="T30" s="36">
        <v>4.27</v>
      </c>
      <c r="U30" s="21">
        <f t="shared" si="1"/>
        <v>4270</v>
      </c>
      <c r="V30" s="46">
        <f t="shared" si="2"/>
        <v>14400</v>
      </c>
      <c r="W30" s="45"/>
    </row>
    <row r="31" ht="14.25" customHeight="1">
      <c r="A31" s="38">
        <v>0.23472222222222222</v>
      </c>
      <c r="B31" s="36">
        <v>43.0</v>
      </c>
      <c r="C31" s="36">
        <v>7.1</v>
      </c>
      <c r="D31" s="36">
        <v>556.0</v>
      </c>
      <c r="E31" s="36">
        <v>529.0</v>
      </c>
      <c r="F31" s="36">
        <v>0.95</v>
      </c>
      <c r="G31" s="36">
        <v>14.0</v>
      </c>
      <c r="H31" s="36">
        <v>1.0</v>
      </c>
      <c r="I31" s="36">
        <v>14.4</v>
      </c>
      <c r="J31" s="36">
        <v>90.9</v>
      </c>
      <c r="K31" s="36">
        <v>81.0</v>
      </c>
      <c r="L31" s="36">
        <v>53.1</v>
      </c>
      <c r="M31" s="36">
        <v>103.0</v>
      </c>
      <c r="N31" s="36">
        <v>45.0</v>
      </c>
      <c r="O31" s="36">
        <v>14.0</v>
      </c>
      <c r="P31" s="36">
        <v>22.0</v>
      </c>
      <c r="Q31" s="36">
        <v>0.38</v>
      </c>
      <c r="R31" s="36">
        <v>1.59</v>
      </c>
      <c r="S31" s="36">
        <v>2.56</v>
      </c>
      <c r="T31" s="36">
        <v>4.15</v>
      </c>
      <c r="U31" s="21">
        <f t="shared" si="1"/>
        <v>4150</v>
      </c>
      <c r="V31" s="46">
        <f t="shared" si="2"/>
        <v>40000</v>
      </c>
      <c r="W31" s="45"/>
    </row>
    <row r="32" ht="14.25" customHeight="1">
      <c r="A32" s="38">
        <v>0.2375</v>
      </c>
      <c r="B32" s="36">
        <v>45.0</v>
      </c>
      <c r="C32" s="36">
        <v>7.2</v>
      </c>
      <c r="D32" s="36">
        <v>560.0</v>
      </c>
      <c r="E32" s="36">
        <v>529.0</v>
      </c>
      <c r="F32" s="36">
        <v>0.95</v>
      </c>
      <c r="G32" s="36">
        <v>15.0</v>
      </c>
      <c r="H32" s="36">
        <v>0.96</v>
      </c>
      <c r="I32" s="36">
        <v>14.6</v>
      </c>
      <c r="J32" s="36">
        <v>90.7</v>
      </c>
      <c r="K32" s="36">
        <v>81.0</v>
      </c>
      <c r="L32" s="36">
        <v>52.9</v>
      </c>
      <c r="M32" s="36">
        <v>104.0</v>
      </c>
      <c r="N32" s="36">
        <v>44.0</v>
      </c>
      <c r="O32" s="36">
        <v>15.0</v>
      </c>
      <c r="P32" s="36">
        <v>22.0</v>
      </c>
      <c r="Q32" s="36">
        <v>0.37</v>
      </c>
      <c r="R32" s="36">
        <v>1.45</v>
      </c>
      <c r="S32" s="36">
        <v>2.5</v>
      </c>
      <c r="T32" s="36">
        <v>3.95</v>
      </c>
      <c r="U32" s="21">
        <f t="shared" si="1"/>
        <v>3950</v>
      </c>
      <c r="V32" s="46">
        <f t="shared" si="2"/>
        <v>1600</v>
      </c>
      <c r="W32" s="45"/>
    </row>
    <row r="33" ht="14.25" customHeight="1">
      <c r="A33" s="38">
        <v>0.24027777777777778</v>
      </c>
      <c r="B33" s="36">
        <v>46.0</v>
      </c>
      <c r="C33" s="36">
        <v>7.1</v>
      </c>
      <c r="D33" s="36">
        <v>556.0</v>
      </c>
      <c r="E33" s="36">
        <v>531.0</v>
      </c>
      <c r="F33" s="36">
        <v>0.95</v>
      </c>
      <c r="G33" s="36">
        <v>15.0</v>
      </c>
      <c r="H33" s="36">
        <v>0.97</v>
      </c>
      <c r="I33" s="36">
        <v>14.8</v>
      </c>
      <c r="J33" s="36">
        <v>90.6</v>
      </c>
      <c r="K33" s="36">
        <v>81.0</v>
      </c>
      <c r="L33" s="36">
        <v>52.9</v>
      </c>
      <c r="M33" s="36">
        <v>104.0</v>
      </c>
      <c r="N33" s="36">
        <v>44.0</v>
      </c>
      <c r="O33" s="36">
        <v>15.0</v>
      </c>
      <c r="P33" s="36">
        <v>22.0</v>
      </c>
      <c r="Q33" s="36">
        <v>0.37</v>
      </c>
      <c r="R33" s="36">
        <v>1.44</v>
      </c>
      <c r="S33" s="36">
        <v>2.46</v>
      </c>
      <c r="T33" s="36">
        <v>3.91</v>
      </c>
      <c r="U33" s="21">
        <f t="shared" si="1"/>
        <v>3910</v>
      </c>
      <c r="V33" s="46">
        <f t="shared" si="2"/>
        <v>14400</v>
      </c>
      <c r="W33" s="45"/>
    </row>
    <row r="34" ht="14.25" customHeight="1">
      <c r="A34" s="38">
        <v>0.24305555555555555</v>
      </c>
      <c r="B34" s="36">
        <v>48.0</v>
      </c>
      <c r="C34" s="36">
        <v>7.4</v>
      </c>
      <c r="D34" s="36">
        <v>581.0</v>
      </c>
      <c r="E34" s="36">
        <v>554.0</v>
      </c>
      <c r="F34" s="36">
        <v>0.95</v>
      </c>
      <c r="G34" s="36">
        <v>16.0</v>
      </c>
      <c r="H34" s="36">
        <v>0.98</v>
      </c>
      <c r="I34" s="36">
        <v>15.5</v>
      </c>
      <c r="J34" s="36">
        <v>90.2</v>
      </c>
      <c r="K34" s="36">
        <v>81.0</v>
      </c>
      <c r="L34" s="36">
        <v>52.9</v>
      </c>
      <c r="M34" s="36">
        <v>104.0</v>
      </c>
      <c r="N34" s="36">
        <v>44.0</v>
      </c>
      <c r="O34" s="36">
        <v>16.0</v>
      </c>
      <c r="P34" s="36">
        <v>23.0</v>
      </c>
      <c r="Q34" s="36">
        <v>0.36</v>
      </c>
      <c r="R34" s="36">
        <v>1.37</v>
      </c>
      <c r="S34" s="36">
        <v>2.42</v>
      </c>
      <c r="T34" s="36">
        <v>3.79</v>
      </c>
      <c r="U34" s="21">
        <f t="shared" si="1"/>
        <v>3790</v>
      </c>
      <c r="V34" s="46">
        <f t="shared" si="2"/>
        <v>8100</v>
      </c>
      <c r="W34" s="45"/>
    </row>
    <row r="35" ht="14.25" customHeight="1">
      <c r="A35" s="38">
        <v>0.2465277777777778</v>
      </c>
      <c r="B35" s="36">
        <v>49.0</v>
      </c>
      <c r="C35" s="36">
        <v>7.5</v>
      </c>
      <c r="D35" s="36">
        <v>582.0</v>
      </c>
      <c r="E35" s="36">
        <v>549.0</v>
      </c>
      <c r="F35" s="36">
        <v>0.94</v>
      </c>
      <c r="G35" s="36">
        <v>15.0</v>
      </c>
      <c r="H35" s="36">
        <v>0.99</v>
      </c>
      <c r="I35" s="36">
        <v>15.3</v>
      </c>
      <c r="J35" s="36">
        <v>90.3</v>
      </c>
      <c r="K35" s="36">
        <v>81.0</v>
      </c>
      <c r="L35" s="36">
        <v>52.9</v>
      </c>
      <c r="M35" s="36">
        <v>104.0</v>
      </c>
      <c r="N35" s="36">
        <v>44.0</v>
      </c>
      <c r="O35" s="36">
        <v>15.0</v>
      </c>
      <c r="P35" s="36">
        <v>23.0</v>
      </c>
      <c r="Q35" s="36">
        <v>0.37</v>
      </c>
      <c r="R35" s="36">
        <v>1.44</v>
      </c>
      <c r="S35" s="36">
        <v>2.44</v>
      </c>
      <c r="T35" s="36">
        <v>3.88</v>
      </c>
      <c r="U35" s="21">
        <f t="shared" si="1"/>
        <v>3880</v>
      </c>
      <c r="V35" s="46">
        <f t="shared" si="2"/>
        <v>0</v>
      </c>
      <c r="W35" s="45"/>
    </row>
    <row r="36" ht="14.25" customHeight="1">
      <c r="A36" s="38">
        <v>0.25</v>
      </c>
      <c r="B36" s="36">
        <v>51.0</v>
      </c>
      <c r="C36" s="36">
        <v>7.5</v>
      </c>
      <c r="D36" s="36">
        <v>582.0</v>
      </c>
      <c r="E36" s="36">
        <v>549.0</v>
      </c>
      <c r="F36" s="36">
        <v>0.94</v>
      </c>
      <c r="G36" s="36">
        <v>15.0</v>
      </c>
      <c r="H36" s="36">
        <v>0.99</v>
      </c>
      <c r="I36" s="36">
        <v>15.3</v>
      </c>
      <c r="J36" s="36">
        <v>90.3</v>
      </c>
      <c r="K36" s="36">
        <v>81.0</v>
      </c>
      <c r="L36" s="36">
        <v>52.9</v>
      </c>
      <c r="M36" s="36">
        <v>104.0</v>
      </c>
      <c r="N36" s="36">
        <v>44.0</v>
      </c>
      <c r="O36" s="36">
        <v>15.0</v>
      </c>
      <c r="P36" s="36">
        <v>23.0</v>
      </c>
      <c r="Q36" s="36">
        <v>0.37</v>
      </c>
      <c r="R36" s="36">
        <v>1.44</v>
      </c>
      <c r="S36" s="36">
        <v>2.44</v>
      </c>
      <c r="T36" s="36">
        <v>3.88</v>
      </c>
      <c r="U36" s="21">
        <f t="shared" si="1"/>
        <v>3880</v>
      </c>
      <c r="V36" s="46">
        <f t="shared" si="2"/>
        <v>36100</v>
      </c>
      <c r="W36" s="45"/>
    </row>
    <row r="37" ht="14.25" customHeight="1">
      <c r="A37" s="38">
        <v>0.25625</v>
      </c>
      <c r="B37" s="36">
        <v>54.0</v>
      </c>
      <c r="C37" s="36">
        <v>8.0</v>
      </c>
      <c r="D37" s="36">
        <v>621.0</v>
      </c>
      <c r="E37" s="36">
        <v>587.0</v>
      </c>
      <c r="F37" s="36">
        <v>0.94</v>
      </c>
      <c r="G37" s="36">
        <v>15.0</v>
      </c>
      <c r="H37" s="36">
        <v>1.08</v>
      </c>
      <c r="I37" s="36">
        <v>16.0</v>
      </c>
      <c r="J37" s="36">
        <v>89.9</v>
      </c>
      <c r="K37" s="36">
        <v>80.0</v>
      </c>
      <c r="L37" s="36">
        <v>53.3</v>
      </c>
      <c r="M37" s="36">
        <v>104.0</v>
      </c>
      <c r="N37" s="36">
        <v>45.0</v>
      </c>
      <c r="O37" s="36">
        <v>15.0</v>
      </c>
      <c r="P37" s="36">
        <v>24.0</v>
      </c>
      <c r="Q37" s="36">
        <v>0.38</v>
      </c>
      <c r="R37" s="36">
        <v>1.55</v>
      </c>
      <c r="S37" s="36">
        <v>2.52</v>
      </c>
      <c r="T37" s="36">
        <v>4.07</v>
      </c>
      <c r="U37" s="21">
        <f t="shared" si="1"/>
        <v>4070</v>
      </c>
      <c r="V37" s="46">
        <f t="shared" si="2"/>
        <v>102400</v>
      </c>
      <c r="W37" s="45"/>
    </row>
    <row r="38" ht="14.25" customHeight="1">
      <c r="A38" s="38">
        <v>0.25972222222222224</v>
      </c>
      <c r="B38" s="36">
        <v>55.0</v>
      </c>
      <c r="C38" s="36">
        <v>7.7</v>
      </c>
      <c r="D38" s="36">
        <v>598.0</v>
      </c>
      <c r="E38" s="36">
        <v>568.0</v>
      </c>
      <c r="F38" s="36">
        <v>0.95</v>
      </c>
      <c r="G38" s="36">
        <v>14.0</v>
      </c>
      <c r="H38" s="36">
        <v>1.13</v>
      </c>
      <c r="I38" s="36">
        <v>15.4</v>
      </c>
      <c r="J38" s="36">
        <v>90.2</v>
      </c>
      <c r="K38" s="36">
        <v>80.0</v>
      </c>
      <c r="L38" s="36">
        <v>53.3</v>
      </c>
      <c r="M38" s="36">
        <v>104.0</v>
      </c>
      <c r="N38" s="36">
        <v>45.0</v>
      </c>
      <c r="O38" s="36">
        <v>14.0</v>
      </c>
      <c r="P38" s="36">
        <v>23.0</v>
      </c>
      <c r="Q38" s="36">
        <v>0.37</v>
      </c>
      <c r="R38" s="36">
        <v>1.63</v>
      </c>
      <c r="S38" s="36">
        <v>2.76</v>
      </c>
      <c r="T38" s="36">
        <v>4.39</v>
      </c>
      <c r="U38" s="21">
        <f t="shared" si="1"/>
        <v>4390</v>
      </c>
      <c r="V38" s="46">
        <f t="shared" si="2"/>
        <v>57600</v>
      </c>
      <c r="W38" s="45"/>
    </row>
    <row r="39" ht="14.25" customHeight="1">
      <c r="A39" s="38">
        <v>0.26180555555555557</v>
      </c>
      <c r="B39" s="36">
        <v>56.0</v>
      </c>
      <c r="C39" s="36">
        <v>7.4</v>
      </c>
      <c r="D39" s="36">
        <v>574.0</v>
      </c>
      <c r="E39" s="36">
        <v>542.0</v>
      </c>
      <c r="F39" s="36">
        <v>0.94</v>
      </c>
      <c r="G39" s="36">
        <v>14.0</v>
      </c>
      <c r="H39" s="36">
        <v>1.03</v>
      </c>
      <c r="I39" s="36">
        <v>14.9</v>
      </c>
      <c r="J39" s="36">
        <v>90.6</v>
      </c>
      <c r="K39" s="36">
        <v>81.0</v>
      </c>
      <c r="L39" s="36">
        <v>53.1</v>
      </c>
      <c r="M39" s="36">
        <v>103.0</v>
      </c>
      <c r="N39" s="36">
        <v>45.0</v>
      </c>
      <c r="O39" s="36">
        <v>14.0</v>
      </c>
      <c r="P39" s="36">
        <v>22.0</v>
      </c>
      <c r="Q39" s="36">
        <v>0.37</v>
      </c>
      <c r="R39" s="36">
        <v>1.55</v>
      </c>
      <c r="S39" s="36">
        <v>2.6</v>
      </c>
      <c r="T39" s="36">
        <v>4.15</v>
      </c>
      <c r="U39" s="21">
        <f t="shared" si="1"/>
        <v>4150</v>
      </c>
      <c r="V39" s="46">
        <f t="shared" si="2"/>
        <v>16900</v>
      </c>
      <c r="W39" s="45"/>
    </row>
    <row r="40" ht="14.25" customHeight="1">
      <c r="A40" s="38">
        <v>0.2638888888888889</v>
      </c>
      <c r="B40" s="36">
        <v>58.0</v>
      </c>
      <c r="C40" s="36">
        <v>7.6</v>
      </c>
      <c r="D40" s="36">
        <v>595.0</v>
      </c>
      <c r="E40" s="36">
        <v>555.0</v>
      </c>
      <c r="F40" s="36">
        <v>0.93</v>
      </c>
      <c r="G40" s="36">
        <v>15.0</v>
      </c>
      <c r="H40" s="36">
        <v>1.01</v>
      </c>
      <c r="I40" s="36">
        <v>15.1</v>
      </c>
      <c r="J40" s="36">
        <v>90.4</v>
      </c>
      <c r="K40" s="36">
        <v>84.0</v>
      </c>
      <c r="L40" s="36">
        <v>51.4</v>
      </c>
      <c r="M40" s="36">
        <v>103.0</v>
      </c>
      <c r="N40" s="36">
        <v>45.0</v>
      </c>
      <c r="O40" s="36">
        <v>15.0</v>
      </c>
      <c r="P40" s="36">
        <v>23.0</v>
      </c>
      <c r="Q40" s="36">
        <v>0.37</v>
      </c>
      <c r="R40" s="36">
        <v>1.48</v>
      </c>
      <c r="S40" s="36">
        <v>2.55</v>
      </c>
      <c r="T40" s="36">
        <v>4.02</v>
      </c>
      <c r="U40" s="21">
        <f t="shared" si="1"/>
        <v>4020</v>
      </c>
      <c r="V40" s="46">
        <f t="shared" si="2"/>
        <v>48400</v>
      </c>
      <c r="W40" s="45"/>
    </row>
    <row r="41" ht="14.25" customHeight="1">
      <c r="A41" s="38">
        <v>0.26805555555555555</v>
      </c>
      <c r="B41" s="36">
        <v>60.0</v>
      </c>
      <c r="C41" s="36">
        <v>7.4</v>
      </c>
      <c r="D41" s="36">
        <v>575.0</v>
      </c>
      <c r="E41" s="36">
        <v>530.0</v>
      </c>
      <c r="F41" s="36">
        <v>0.92</v>
      </c>
      <c r="G41" s="36">
        <v>14.0</v>
      </c>
      <c r="H41" s="36">
        <v>1.01</v>
      </c>
      <c r="I41" s="36">
        <v>14.3</v>
      </c>
      <c r="J41" s="36">
        <v>90.9</v>
      </c>
      <c r="K41" s="36">
        <v>84.0</v>
      </c>
      <c r="L41" s="36">
        <v>51.4</v>
      </c>
      <c r="M41" s="36">
        <v>101.0</v>
      </c>
      <c r="N41" s="36">
        <v>46.0</v>
      </c>
      <c r="O41" s="36">
        <v>14.0</v>
      </c>
      <c r="P41" s="36">
        <v>22.0</v>
      </c>
      <c r="Q41" s="36">
        <v>0.34</v>
      </c>
      <c r="R41" s="36">
        <v>1.46</v>
      </c>
      <c r="S41" s="36">
        <v>2.78</v>
      </c>
      <c r="T41" s="36">
        <v>4.24</v>
      </c>
      <c r="U41" s="21">
        <f t="shared" si="1"/>
        <v>4240</v>
      </c>
      <c r="V41" s="46">
        <f t="shared" si="2"/>
        <v>44100</v>
      </c>
      <c r="W41" s="45"/>
    </row>
    <row r="42" ht="14.25" customHeight="1">
      <c r="A42" s="38">
        <v>0.2701388888888889</v>
      </c>
      <c r="B42" s="36">
        <v>61.0</v>
      </c>
      <c r="C42" s="36">
        <v>7.4</v>
      </c>
      <c r="D42" s="36">
        <v>581.0</v>
      </c>
      <c r="E42" s="36">
        <v>524.0</v>
      </c>
      <c r="F42" s="36">
        <v>0.9</v>
      </c>
      <c r="G42" s="36">
        <v>15.0</v>
      </c>
      <c r="H42" s="36">
        <v>0.95</v>
      </c>
      <c r="I42" s="36">
        <v>14.2</v>
      </c>
      <c r="J42" s="36">
        <v>91.0</v>
      </c>
      <c r="K42" s="36">
        <v>84.0</v>
      </c>
      <c r="L42" s="36">
        <v>51.2</v>
      </c>
      <c r="M42" s="36">
        <v>100.0</v>
      </c>
      <c r="N42" s="36">
        <v>46.0</v>
      </c>
      <c r="O42" s="36">
        <v>15.0</v>
      </c>
      <c r="P42" s="36">
        <v>23.0</v>
      </c>
      <c r="Q42" s="36">
        <v>0.34</v>
      </c>
      <c r="R42" s="36">
        <v>1.37</v>
      </c>
      <c r="S42" s="36">
        <v>2.66</v>
      </c>
      <c r="T42" s="36">
        <v>4.03</v>
      </c>
      <c r="U42" s="21">
        <f t="shared" si="1"/>
        <v>4030</v>
      </c>
      <c r="V42" s="46">
        <f t="shared" si="2"/>
        <v>62500</v>
      </c>
      <c r="W42" s="45"/>
    </row>
    <row r="43" ht="14.25" customHeight="1">
      <c r="A43" s="38">
        <v>0.27291666666666664</v>
      </c>
      <c r="B43" s="36">
        <v>62.0</v>
      </c>
      <c r="C43" s="36">
        <v>8.1</v>
      </c>
      <c r="D43" s="36">
        <v>634.0</v>
      </c>
      <c r="E43" s="36">
        <v>561.0</v>
      </c>
      <c r="F43" s="36">
        <v>0.88</v>
      </c>
      <c r="G43" s="36">
        <v>16.0</v>
      </c>
      <c r="H43" s="36">
        <v>0.95</v>
      </c>
      <c r="I43" s="36">
        <v>15.0</v>
      </c>
      <c r="J43" s="36">
        <v>90.5</v>
      </c>
      <c r="K43" s="36">
        <v>83.0</v>
      </c>
      <c r="L43" s="36">
        <v>51.5</v>
      </c>
      <c r="M43" s="36">
        <v>100.0</v>
      </c>
      <c r="N43" s="36">
        <v>46.0</v>
      </c>
      <c r="O43" s="36">
        <v>16.0</v>
      </c>
      <c r="P43" s="36">
        <v>25.0</v>
      </c>
      <c r="Q43" s="36">
        <v>0.35</v>
      </c>
      <c r="R43" s="36">
        <v>1.33</v>
      </c>
      <c r="S43" s="36">
        <v>2.45</v>
      </c>
      <c r="T43" s="36">
        <v>3.78</v>
      </c>
      <c r="U43" s="21">
        <f t="shared" si="1"/>
        <v>3780</v>
      </c>
      <c r="V43" s="46">
        <f t="shared" si="2"/>
        <v>12100</v>
      </c>
      <c r="W43" s="45"/>
    </row>
    <row r="44" ht="14.25" customHeight="1">
      <c r="A44" s="38">
        <v>0.27569444444444446</v>
      </c>
      <c r="B44" s="36">
        <v>63.0</v>
      </c>
      <c r="C44" s="36">
        <v>7.7</v>
      </c>
      <c r="D44" s="36">
        <v>597.0</v>
      </c>
      <c r="E44" s="36">
        <v>524.0</v>
      </c>
      <c r="F44" s="36">
        <v>0.88</v>
      </c>
      <c r="G44" s="36">
        <v>15.0</v>
      </c>
      <c r="H44" s="36">
        <v>0.91</v>
      </c>
      <c r="I44" s="36">
        <v>14.1</v>
      </c>
      <c r="J44" s="36">
        <v>91.1</v>
      </c>
      <c r="K44" s="36">
        <v>82.0</v>
      </c>
      <c r="L44" s="36">
        <v>52.2</v>
      </c>
      <c r="M44" s="36">
        <v>99.0</v>
      </c>
      <c r="N44" s="36">
        <v>46.0</v>
      </c>
      <c r="O44" s="36">
        <v>15.0</v>
      </c>
      <c r="P44" s="36">
        <v>23.0</v>
      </c>
      <c r="Q44" s="36">
        <v>0.36</v>
      </c>
      <c r="R44" s="36">
        <v>1.39</v>
      </c>
      <c r="S44" s="36">
        <v>2.5</v>
      </c>
      <c r="T44" s="36">
        <v>3.89</v>
      </c>
      <c r="U44" s="21">
        <f t="shared" si="1"/>
        <v>3890</v>
      </c>
      <c r="V44" s="46">
        <f t="shared" si="2"/>
        <v>122500</v>
      </c>
      <c r="W44" s="45"/>
    </row>
    <row r="45" ht="14.25" customHeight="1">
      <c r="A45" s="38">
        <v>0.2777777777777778</v>
      </c>
      <c r="B45" s="36">
        <v>65.0</v>
      </c>
      <c r="C45" s="36">
        <v>7.6</v>
      </c>
      <c r="D45" s="36">
        <v>596.0</v>
      </c>
      <c r="E45" s="36">
        <v>543.0</v>
      </c>
      <c r="F45" s="36">
        <v>0.91</v>
      </c>
      <c r="G45" s="36">
        <v>17.0</v>
      </c>
      <c r="H45" s="36">
        <v>0.86</v>
      </c>
      <c r="I45" s="36">
        <v>14.7</v>
      </c>
      <c r="J45" s="36">
        <v>90.7</v>
      </c>
      <c r="K45" s="36">
        <v>82.0</v>
      </c>
      <c r="L45" s="36">
        <v>52.1</v>
      </c>
      <c r="M45" s="36">
        <v>99.0</v>
      </c>
      <c r="N45" s="36">
        <v>46.0</v>
      </c>
      <c r="O45" s="36">
        <v>17.0</v>
      </c>
      <c r="P45" s="36">
        <v>23.0</v>
      </c>
      <c r="Q45" s="36">
        <v>0.37</v>
      </c>
      <c r="R45" s="36">
        <v>1.32</v>
      </c>
      <c r="S45" s="36">
        <v>2.22</v>
      </c>
      <c r="T45" s="36">
        <v>3.54</v>
      </c>
      <c r="U45" s="21">
        <f t="shared" si="1"/>
        <v>3540</v>
      </c>
      <c r="V45" s="46">
        <f t="shared" si="2"/>
        <v>57600</v>
      </c>
      <c r="W45" s="45"/>
    </row>
    <row r="46" ht="14.25" customHeight="1">
      <c r="A46" s="38">
        <v>0.28055555555555556</v>
      </c>
      <c r="B46" s="36">
        <v>66.0</v>
      </c>
      <c r="C46" s="36">
        <v>7.5</v>
      </c>
      <c r="D46" s="36">
        <v>583.0</v>
      </c>
      <c r="E46" s="36">
        <v>524.0</v>
      </c>
      <c r="F46" s="36">
        <v>0.9</v>
      </c>
      <c r="G46" s="36">
        <v>16.0</v>
      </c>
      <c r="H46" s="36">
        <v>0.89</v>
      </c>
      <c r="I46" s="36">
        <v>14.1</v>
      </c>
      <c r="J46" s="36">
        <v>91.1</v>
      </c>
      <c r="K46" s="36">
        <v>83.0</v>
      </c>
      <c r="L46" s="36">
        <v>52.0</v>
      </c>
      <c r="M46" s="36">
        <v>98.0</v>
      </c>
      <c r="N46" s="36">
        <v>46.0</v>
      </c>
      <c r="O46" s="36">
        <v>16.0</v>
      </c>
      <c r="P46" s="36">
        <v>23.0</v>
      </c>
      <c r="Q46" s="36">
        <v>0.38</v>
      </c>
      <c r="R46" s="36">
        <v>1.42</v>
      </c>
      <c r="S46" s="36">
        <v>2.36</v>
      </c>
      <c r="T46" s="36">
        <v>3.78</v>
      </c>
      <c r="U46" s="21">
        <f t="shared" si="1"/>
        <v>3780</v>
      </c>
      <c r="V46" s="46">
        <f t="shared" si="2"/>
        <v>57600</v>
      </c>
      <c r="W46" s="45"/>
    </row>
    <row r="47" ht="14.25" customHeight="1">
      <c r="A47" s="38">
        <v>0.28402777777777777</v>
      </c>
      <c r="B47" s="36">
        <v>67.0</v>
      </c>
      <c r="C47" s="36">
        <v>7.0</v>
      </c>
      <c r="D47" s="36">
        <v>547.0</v>
      </c>
      <c r="E47" s="36">
        <v>496.0</v>
      </c>
      <c r="F47" s="36">
        <v>0.91</v>
      </c>
      <c r="G47" s="36">
        <v>15.0</v>
      </c>
      <c r="H47" s="36">
        <v>0.89</v>
      </c>
      <c r="I47" s="36">
        <v>13.3</v>
      </c>
      <c r="J47" s="36">
        <v>91.6</v>
      </c>
      <c r="K47" s="36">
        <v>82.0</v>
      </c>
      <c r="L47" s="36">
        <v>52.6</v>
      </c>
      <c r="M47" s="36">
        <v>98.0</v>
      </c>
      <c r="N47" s="36">
        <v>47.0</v>
      </c>
      <c r="O47" s="36">
        <v>15.0</v>
      </c>
      <c r="P47" s="36">
        <v>21.0</v>
      </c>
      <c r="Q47" s="36">
        <v>0.36</v>
      </c>
      <c r="R47" s="36">
        <v>1.43</v>
      </c>
      <c r="S47" s="36">
        <v>2.59</v>
      </c>
      <c r="T47" s="36">
        <v>4.02</v>
      </c>
      <c r="U47" s="21">
        <f t="shared" si="1"/>
        <v>4020</v>
      </c>
      <c r="V47" s="46">
        <f t="shared" si="2"/>
        <v>16900</v>
      </c>
      <c r="W47" s="45"/>
    </row>
    <row r="48" ht="14.25" customHeight="1">
      <c r="A48" s="38">
        <v>0.28541666666666665</v>
      </c>
      <c r="B48" s="36">
        <v>68.0</v>
      </c>
      <c r="C48" s="36">
        <v>7.0</v>
      </c>
      <c r="D48" s="36">
        <v>545.0</v>
      </c>
      <c r="E48" s="36">
        <v>486.0</v>
      </c>
      <c r="F48" s="36">
        <v>0.89</v>
      </c>
      <c r="G48" s="36">
        <v>15.0</v>
      </c>
      <c r="H48" s="36">
        <v>0.85</v>
      </c>
      <c r="I48" s="36">
        <v>13.1</v>
      </c>
      <c r="J48" s="36">
        <v>91.7</v>
      </c>
      <c r="K48" s="36">
        <v>82.0</v>
      </c>
      <c r="L48" s="36">
        <v>52.6</v>
      </c>
      <c r="M48" s="36">
        <v>98.0</v>
      </c>
      <c r="N48" s="36">
        <v>46.0</v>
      </c>
      <c r="O48" s="36">
        <v>15.0</v>
      </c>
      <c r="P48" s="36">
        <v>21.0</v>
      </c>
      <c r="Q48" s="36">
        <v>0.36</v>
      </c>
      <c r="R48" s="36">
        <v>1.4</v>
      </c>
      <c r="S48" s="36">
        <v>2.49</v>
      </c>
      <c r="T48" s="36">
        <v>3.89</v>
      </c>
      <c r="U48" s="21">
        <f t="shared" si="1"/>
        <v>3890</v>
      </c>
      <c r="V48" s="46">
        <f t="shared" si="2"/>
        <v>12100</v>
      </c>
      <c r="W48" s="45"/>
    </row>
    <row r="49" ht="14.25" customHeight="1">
      <c r="A49" s="38">
        <v>0.2875</v>
      </c>
      <c r="B49" s="36">
        <v>69.0</v>
      </c>
      <c r="C49" s="36">
        <v>7.2</v>
      </c>
      <c r="D49" s="36">
        <v>561.0</v>
      </c>
      <c r="E49" s="36">
        <v>502.0</v>
      </c>
      <c r="F49" s="36">
        <v>0.89</v>
      </c>
      <c r="G49" s="36">
        <v>15.0</v>
      </c>
      <c r="H49" s="36">
        <v>0.9</v>
      </c>
      <c r="I49" s="36">
        <v>13.5</v>
      </c>
      <c r="J49" s="36">
        <v>91.5</v>
      </c>
      <c r="K49" s="36">
        <v>81.0</v>
      </c>
      <c r="L49" s="36">
        <v>52.8</v>
      </c>
      <c r="M49" s="36">
        <v>98.0</v>
      </c>
      <c r="N49" s="36">
        <v>46.0</v>
      </c>
      <c r="O49" s="36">
        <v>15.0</v>
      </c>
      <c r="P49" s="36">
        <v>22.0</v>
      </c>
      <c r="Q49" s="36">
        <v>0.36</v>
      </c>
      <c r="R49" s="36">
        <v>1.42</v>
      </c>
      <c r="S49" s="36">
        <v>2.57</v>
      </c>
      <c r="T49" s="36">
        <v>4.0</v>
      </c>
      <c r="U49" s="21">
        <f t="shared" si="1"/>
        <v>4000</v>
      </c>
      <c r="V49" s="46">
        <f t="shared" si="2"/>
        <v>62500</v>
      </c>
      <c r="W49" s="45"/>
    </row>
    <row r="50" ht="14.25" customHeight="1">
      <c r="A50" s="38">
        <v>0.28958333333333336</v>
      </c>
      <c r="B50" s="36">
        <v>70.0</v>
      </c>
      <c r="C50" s="36">
        <v>7.3</v>
      </c>
      <c r="D50" s="36">
        <v>571.0</v>
      </c>
      <c r="E50" s="36">
        <v>494.0</v>
      </c>
      <c r="F50" s="36">
        <v>0.86</v>
      </c>
      <c r="G50" s="36">
        <v>16.0</v>
      </c>
      <c r="H50" s="36">
        <v>0.82</v>
      </c>
      <c r="I50" s="36">
        <v>13.2</v>
      </c>
      <c r="J50" s="36">
        <v>91.7</v>
      </c>
      <c r="K50" s="36">
        <v>81.0</v>
      </c>
      <c r="L50" s="36">
        <v>53.0</v>
      </c>
      <c r="M50" s="36">
        <v>96.0</v>
      </c>
      <c r="N50" s="36">
        <v>47.0</v>
      </c>
      <c r="O50" s="36">
        <v>16.0</v>
      </c>
      <c r="P50" s="36">
        <v>22.0</v>
      </c>
      <c r="Q50" s="36">
        <v>0.36</v>
      </c>
      <c r="R50" s="36">
        <v>1.35</v>
      </c>
      <c r="S50" s="36">
        <v>2.4</v>
      </c>
      <c r="T50" s="36">
        <v>3.75</v>
      </c>
      <c r="U50" s="21">
        <f t="shared" si="1"/>
        <v>3750</v>
      </c>
      <c r="V50" s="46">
        <f t="shared" si="2"/>
        <v>102400</v>
      </c>
      <c r="W50" s="45"/>
    </row>
    <row r="51" ht="14.25" customHeight="1">
      <c r="A51" s="38">
        <v>0.2916666666666667</v>
      </c>
      <c r="B51" s="36">
        <v>71.0</v>
      </c>
      <c r="C51" s="36">
        <v>8.1</v>
      </c>
      <c r="D51" s="36">
        <v>629.0</v>
      </c>
      <c r="E51" s="36">
        <v>522.0</v>
      </c>
      <c r="F51" s="36">
        <v>0.83</v>
      </c>
      <c r="G51" s="36">
        <v>17.0</v>
      </c>
      <c r="H51" s="36">
        <v>0.8</v>
      </c>
      <c r="I51" s="36">
        <v>13.9</v>
      </c>
      <c r="J51" s="36">
        <v>91.2</v>
      </c>
      <c r="K51" s="36">
        <v>81.0</v>
      </c>
      <c r="L51" s="36">
        <v>52.9</v>
      </c>
      <c r="M51" s="36">
        <v>94.0</v>
      </c>
      <c r="N51" s="36">
        <v>47.0</v>
      </c>
      <c r="O51" s="36">
        <v>17.0</v>
      </c>
      <c r="P51" s="36">
        <v>25.0</v>
      </c>
      <c r="Q51" s="36">
        <v>0.36</v>
      </c>
      <c r="R51" s="36">
        <v>1.25</v>
      </c>
      <c r="S51" s="36">
        <v>2.18</v>
      </c>
      <c r="T51" s="36">
        <v>3.43</v>
      </c>
      <c r="U51" s="21">
        <f t="shared" si="1"/>
        <v>3430</v>
      </c>
      <c r="V51" s="46">
        <f t="shared" si="2"/>
        <v>62500</v>
      </c>
      <c r="W51" s="45"/>
    </row>
    <row r="52" ht="14.25" customHeight="1">
      <c r="A52" s="38">
        <v>0.29444444444444445</v>
      </c>
      <c r="B52" s="36">
        <v>72.0</v>
      </c>
      <c r="C52" s="36">
        <v>8.5</v>
      </c>
      <c r="D52" s="36">
        <v>660.0</v>
      </c>
      <c r="E52" s="36">
        <v>523.0</v>
      </c>
      <c r="F52" s="36">
        <v>0.79</v>
      </c>
      <c r="G52" s="36">
        <v>16.0</v>
      </c>
      <c r="H52" s="36">
        <v>0.85</v>
      </c>
      <c r="I52" s="36">
        <v>13.8</v>
      </c>
      <c r="J52" s="36">
        <v>91.3</v>
      </c>
      <c r="K52" s="36">
        <v>81.0</v>
      </c>
      <c r="L52" s="36">
        <v>53.1</v>
      </c>
      <c r="M52" s="36">
        <v>95.0</v>
      </c>
      <c r="N52" s="36">
        <v>47.0</v>
      </c>
      <c r="O52" s="36">
        <v>16.0</v>
      </c>
      <c r="P52" s="36">
        <v>26.0</v>
      </c>
      <c r="Q52" s="36">
        <v>0.34</v>
      </c>
      <c r="R52" s="36">
        <v>1.27</v>
      </c>
      <c r="S52" s="36">
        <v>2.42</v>
      </c>
      <c r="T52" s="36">
        <v>3.68</v>
      </c>
      <c r="U52" s="21">
        <f t="shared" si="1"/>
        <v>3680</v>
      </c>
      <c r="V52" s="46">
        <f t="shared" si="2"/>
        <v>19600</v>
      </c>
      <c r="W52" s="45"/>
    </row>
    <row r="53" ht="14.25" customHeight="1">
      <c r="A53" s="38">
        <v>0.2972222222222222</v>
      </c>
      <c r="B53" s="36">
        <v>74.0</v>
      </c>
      <c r="C53" s="36">
        <v>9.3</v>
      </c>
      <c r="D53" s="36">
        <v>729.0</v>
      </c>
      <c r="E53" s="36">
        <v>578.0</v>
      </c>
      <c r="F53" s="36">
        <v>0.79</v>
      </c>
      <c r="G53" s="36">
        <v>17.0</v>
      </c>
      <c r="H53" s="36">
        <v>0.9</v>
      </c>
      <c r="I53" s="36">
        <v>15.2</v>
      </c>
      <c r="J53" s="36">
        <v>90.4</v>
      </c>
      <c r="K53" s="36">
        <v>81.0</v>
      </c>
      <c r="L53" s="36">
        <v>53.1</v>
      </c>
      <c r="M53" s="36">
        <v>95.0</v>
      </c>
      <c r="N53" s="36">
        <v>47.0</v>
      </c>
      <c r="O53" s="36">
        <v>17.0</v>
      </c>
      <c r="P53" s="36">
        <v>28.0</v>
      </c>
      <c r="Q53" s="36">
        <v>0.35</v>
      </c>
      <c r="R53" s="36">
        <v>1.25</v>
      </c>
      <c r="S53" s="36">
        <v>2.3</v>
      </c>
      <c r="T53" s="36">
        <v>3.54</v>
      </c>
      <c r="U53" s="21">
        <f t="shared" si="1"/>
        <v>3540</v>
      </c>
      <c r="V53" s="46">
        <f t="shared" si="2"/>
        <v>12100</v>
      </c>
      <c r="W53" s="45"/>
    </row>
    <row r="54" ht="14.25" customHeight="1">
      <c r="A54" s="38">
        <v>0.30069444444444443</v>
      </c>
      <c r="B54" s="36">
        <v>75.0</v>
      </c>
      <c r="C54" s="36">
        <v>10.1</v>
      </c>
      <c r="D54" s="36">
        <v>784.0</v>
      </c>
      <c r="E54" s="36">
        <v>629.0</v>
      </c>
      <c r="F54" s="36">
        <v>0.8</v>
      </c>
      <c r="G54" s="36">
        <v>16.0</v>
      </c>
      <c r="H54" s="36">
        <v>0.99</v>
      </c>
      <c r="I54" s="36">
        <v>16.4</v>
      </c>
      <c r="J54" s="36">
        <v>89.6</v>
      </c>
      <c r="K54" s="36">
        <v>80.0</v>
      </c>
      <c r="L54" s="36">
        <v>53.3</v>
      </c>
      <c r="M54" s="36">
        <v>95.0</v>
      </c>
      <c r="N54" s="36">
        <v>47.0</v>
      </c>
      <c r="O54" s="36">
        <v>16.0</v>
      </c>
      <c r="P54" s="36">
        <v>31.0</v>
      </c>
      <c r="Q54" s="36">
        <v>0.35</v>
      </c>
      <c r="R54" s="36">
        <v>1.28</v>
      </c>
      <c r="S54" s="36">
        <v>2.36</v>
      </c>
      <c r="T54" s="36">
        <v>3.65</v>
      </c>
      <c r="U54" s="21">
        <f t="shared" si="1"/>
        <v>3650</v>
      </c>
      <c r="V54" s="46">
        <f t="shared" si="2"/>
        <v>25600</v>
      </c>
      <c r="W54" s="45"/>
    </row>
    <row r="55" ht="14.25" customHeight="1">
      <c r="A55" s="38">
        <v>0.30277777777777776</v>
      </c>
      <c r="B55" s="36">
        <v>76.0</v>
      </c>
      <c r="C55" s="36">
        <v>10.3</v>
      </c>
      <c r="D55" s="36">
        <v>802.0</v>
      </c>
      <c r="E55" s="36">
        <v>649.0</v>
      </c>
      <c r="F55" s="36">
        <v>0.81</v>
      </c>
      <c r="G55" s="36">
        <v>17.0</v>
      </c>
      <c r="H55" s="36">
        <v>0.99</v>
      </c>
      <c r="I55" s="36">
        <v>17.0</v>
      </c>
      <c r="J55" s="36">
        <v>89.3</v>
      </c>
      <c r="K55" s="36">
        <v>83.0</v>
      </c>
      <c r="L55" s="36">
        <v>51.9</v>
      </c>
      <c r="M55" s="36">
        <v>95.0</v>
      </c>
      <c r="N55" s="36">
        <v>47.0</v>
      </c>
      <c r="O55" s="36">
        <v>17.0</v>
      </c>
      <c r="P55" s="36">
        <v>31.0</v>
      </c>
      <c r="Q55" s="36">
        <v>0.38</v>
      </c>
      <c r="R55" s="36">
        <v>1.33</v>
      </c>
      <c r="S55" s="36">
        <v>2.17</v>
      </c>
      <c r="T55" s="36">
        <v>3.49</v>
      </c>
      <c r="U55" s="21">
        <f t="shared" si="1"/>
        <v>3490</v>
      </c>
      <c r="V55" s="46">
        <f t="shared" si="2"/>
        <v>102400</v>
      </c>
      <c r="W55" s="45"/>
    </row>
    <row r="56" ht="14.25" customHeight="1">
      <c r="A56" s="38">
        <v>0.3055555555555556</v>
      </c>
      <c r="B56" s="36">
        <v>78.0</v>
      </c>
      <c r="C56" s="36">
        <v>10.3</v>
      </c>
      <c r="D56" s="36">
        <v>800.0</v>
      </c>
      <c r="E56" s="36">
        <v>668.0</v>
      </c>
      <c r="F56" s="36">
        <v>0.83</v>
      </c>
      <c r="G56" s="36">
        <v>16.0</v>
      </c>
      <c r="H56" s="36">
        <v>1.11</v>
      </c>
      <c r="I56" s="36">
        <v>17.4</v>
      </c>
      <c r="J56" s="36">
        <v>89.0</v>
      </c>
      <c r="K56" s="36">
        <v>84.0</v>
      </c>
      <c r="L56" s="36">
        <v>51.3</v>
      </c>
      <c r="M56" s="36">
        <v>96.0</v>
      </c>
      <c r="N56" s="36">
        <v>47.0</v>
      </c>
      <c r="O56" s="36">
        <v>16.0</v>
      </c>
      <c r="P56" s="36">
        <v>31.0</v>
      </c>
      <c r="Q56" s="36">
        <v>0.37</v>
      </c>
      <c r="R56" s="36">
        <v>1.43</v>
      </c>
      <c r="S56" s="36">
        <v>2.39</v>
      </c>
      <c r="T56" s="36">
        <v>3.81</v>
      </c>
      <c r="U56" s="21">
        <f t="shared" si="1"/>
        <v>3810</v>
      </c>
      <c r="V56" s="46">
        <f t="shared" si="2"/>
        <v>28900</v>
      </c>
      <c r="W56" s="45"/>
    </row>
    <row r="57" ht="14.25" customHeight="1">
      <c r="A57" s="38">
        <v>0.30833333333333335</v>
      </c>
      <c r="B57" s="36">
        <v>79.0</v>
      </c>
      <c r="C57" s="36">
        <v>9.9</v>
      </c>
      <c r="D57" s="36">
        <v>769.0</v>
      </c>
      <c r="E57" s="36">
        <v>654.0</v>
      </c>
      <c r="F57" s="36">
        <v>0.85</v>
      </c>
      <c r="G57" s="36">
        <v>15.0</v>
      </c>
      <c r="H57" s="36">
        <v>1.13</v>
      </c>
      <c r="I57" s="36">
        <v>17.0</v>
      </c>
      <c r="J57" s="36">
        <v>89.2</v>
      </c>
      <c r="K57" s="36">
        <v>85.0</v>
      </c>
      <c r="L57" s="36">
        <v>50.6</v>
      </c>
      <c r="M57" s="36">
        <v>98.0</v>
      </c>
      <c r="N57" s="36">
        <v>47.0</v>
      </c>
      <c r="O57" s="36">
        <v>15.0</v>
      </c>
      <c r="P57" s="36">
        <v>30.0</v>
      </c>
      <c r="Q57" s="36">
        <v>0.38</v>
      </c>
      <c r="R57" s="36">
        <v>1.5</v>
      </c>
      <c r="S57" s="36">
        <v>2.48</v>
      </c>
      <c r="T57" s="36">
        <v>3.98</v>
      </c>
      <c r="U57" s="21">
        <f t="shared" si="1"/>
        <v>3980</v>
      </c>
      <c r="V57" s="46">
        <f t="shared" si="2"/>
        <v>6400</v>
      </c>
      <c r="W57" s="45"/>
    </row>
    <row r="58" ht="14.25" customHeight="1">
      <c r="A58" s="38">
        <v>0.3111111111111111</v>
      </c>
      <c r="B58" s="36">
        <v>80.0</v>
      </c>
      <c r="C58" s="36">
        <v>9.3</v>
      </c>
      <c r="D58" s="36">
        <v>723.0</v>
      </c>
      <c r="E58" s="36">
        <v>628.0</v>
      </c>
      <c r="F58" s="36">
        <v>0.87</v>
      </c>
      <c r="G58" s="36">
        <v>15.0</v>
      </c>
      <c r="H58" s="36">
        <v>1.1</v>
      </c>
      <c r="I58" s="36">
        <v>16.3</v>
      </c>
      <c r="J58" s="36">
        <v>89.7</v>
      </c>
      <c r="K58" s="36">
        <v>85.0</v>
      </c>
      <c r="L58" s="36">
        <v>50.5</v>
      </c>
      <c r="M58" s="36">
        <v>97.0</v>
      </c>
      <c r="N58" s="36">
        <v>47.0</v>
      </c>
      <c r="O58" s="36">
        <v>15.0</v>
      </c>
      <c r="P58" s="36">
        <v>28.0</v>
      </c>
      <c r="Q58" s="36">
        <v>0.37</v>
      </c>
      <c r="R58" s="36">
        <v>1.52</v>
      </c>
      <c r="S58" s="36">
        <v>2.54</v>
      </c>
      <c r="T58" s="36">
        <v>4.06</v>
      </c>
      <c r="U58" s="21">
        <f t="shared" si="1"/>
        <v>4060</v>
      </c>
      <c r="V58" s="46">
        <f t="shared" si="2"/>
        <v>0</v>
      </c>
      <c r="W58" s="45"/>
    </row>
    <row r="59" ht="14.25" customHeight="1">
      <c r="A59" s="38">
        <v>0.3145833333333333</v>
      </c>
      <c r="B59" s="36">
        <v>82.0</v>
      </c>
      <c r="C59" s="36">
        <v>9.3</v>
      </c>
      <c r="D59" s="36">
        <v>723.0</v>
      </c>
      <c r="E59" s="36">
        <v>628.0</v>
      </c>
      <c r="F59" s="36">
        <v>0.87</v>
      </c>
      <c r="G59" s="36">
        <v>15.0</v>
      </c>
      <c r="H59" s="36">
        <v>1.1</v>
      </c>
      <c r="I59" s="36">
        <v>16.3</v>
      </c>
      <c r="J59" s="36">
        <v>89.7</v>
      </c>
      <c r="K59" s="36">
        <v>86.0</v>
      </c>
      <c r="L59" s="36">
        <v>49.8</v>
      </c>
      <c r="M59" s="36">
        <v>97.0</v>
      </c>
      <c r="N59" s="36">
        <v>47.0</v>
      </c>
      <c r="O59" s="36">
        <v>15.0</v>
      </c>
      <c r="P59" s="36">
        <v>28.0</v>
      </c>
      <c r="Q59" s="36">
        <v>0.37</v>
      </c>
      <c r="R59" s="36">
        <v>1.52</v>
      </c>
      <c r="S59" s="36">
        <v>2.54</v>
      </c>
      <c r="T59" s="36">
        <v>4.06</v>
      </c>
      <c r="U59" s="21">
        <f t="shared" si="1"/>
        <v>4060</v>
      </c>
      <c r="V59" s="46">
        <f t="shared" si="2"/>
        <v>0</v>
      </c>
      <c r="W59" s="45"/>
    </row>
    <row r="60" ht="14.25" customHeight="1">
      <c r="A60" s="38">
        <v>0.31666666666666665</v>
      </c>
      <c r="B60" s="36">
        <v>83.0</v>
      </c>
      <c r="C60" s="36">
        <v>9.3</v>
      </c>
      <c r="D60" s="36">
        <v>723.0</v>
      </c>
      <c r="E60" s="36">
        <v>628.0</v>
      </c>
      <c r="F60" s="36">
        <v>0.87</v>
      </c>
      <c r="G60" s="36">
        <v>15.0</v>
      </c>
      <c r="H60" s="36">
        <v>1.1</v>
      </c>
      <c r="I60" s="36">
        <v>16.3</v>
      </c>
      <c r="J60" s="36">
        <v>89.7</v>
      </c>
      <c r="K60" s="36">
        <v>87.0</v>
      </c>
      <c r="L60" s="36">
        <v>49.6</v>
      </c>
      <c r="M60" s="36">
        <v>97.0</v>
      </c>
      <c r="N60" s="36">
        <v>47.0</v>
      </c>
      <c r="O60" s="36">
        <v>15.0</v>
      </c>
      <c r="P60" s="36">
        <v>28.0</v>
      </c>
      <c r="Q60" s="36">
        <v>0.37</v>
      </c>
      <c r="R60" s="36">
        <v>1.52</v>
      </c>
      <c r="S60" s="36">
        <v>2.54</v>
      </c>
      <c r="T60" s="36">
        <v>4.06</v>
      </c>
      <c r="U60" s="21">
        <f t="shared" si="1"/>
        <v>4060</v>
      </c>
      <c r="V60" s="46">
        <f t="shared" si="2"/>
        <v>14400</v>
      </c>
      <c r="W60" s="45"/>
    </row>
    <row r="61" ht="14.25" customHeight="1">
      <c r="A61" s="38">
        <v>0.32013888888888886</v>
      </c>
      <c r="B61" s="36">
        <v>85.0</v>
      </c>
      <c r="C61" s="36">
        <v>9.7</v>
      </c>
      <c r="D61" s="36">
        <v>756.0</v>
      </c>
      <c r="E61" s="36">
        <v>654.0</v>
      </c>
      <c r="F61" s="36">
        <v>0.87</v>
      </c>
      <c r="G61" s="36">
        <v>15.0</v>
      </c>
      <c r="H61" s="36">
        <v>1.11</v>
      </c>
      <c r="I61" s="36">
        <v>16.9</v>
      </c>
      <c r="J61" s="36">
        <v>89.3</v>
      </c>
      <c r="K61" s="36">
        <v>87.0</v>
      </c>
      <c r="L61" s="36">
        <v>49.4</v>
      </c>
      <c r="M61" s="36">
        <v>98.0</v>
      </c>
      <c r="N61" s="36">
        <v>47.0</v>
      </c>
      <c r="O61" s="36">
        <v>15.0</v>
      </c>
      <c r="P61" s="36">
        <v>29.0</v>
      </c>
      <c r="Q61" s="36">
        <v>0.4</v>
      </c>
      <c r="R61" s="36">
        <v>1.57</v>
      </c>
      <c r="S61" s="36">
        <v>2.38</v>
      </c>
      <c r="T61" s="36">
        <v>3.94</v>
      </c>
      <c r="U61" s="21">
        <f t="shared" si="1"/>
        <v>3940</v>
      </c>
      <c r="V61" s="46">
        <f t="shared" si="2"/>
        <v>22500</v>
      </c>
      <c r="W61" s="45"/>
    </row>
    <row r="62" ht="14.25" customHeight="1">
      <c r="A62" s="38">
        <v>0.3229166666666667</v>
      </c>
      <c r="B62" s="36">
        <v>86.0</v>
      </c>
      <c r="C62" s="36">
        <v>10.0</v>
      </c>
      <c r="D62" s="36">
        <v>778.0</v>
      </c>
      <c r="E62" s="36">
        <v>679.0</v>
      </c>
      <c r="F62" s="36">
        <v>0.87</v>
      </c>
      <c r="G62" s="36">
        <v>15.0</v>
      </c>
      <c r="H62" s="36">
        <v>1.18</v>
      </c>
      <c r="I62" s="36">
        <v>17.3</v>
      </c>
      <c r="J62" s="36">
        <v>89.0</v>
      </c>
      <c r="K62" s="36">
        <v>88.0</v>
      </c>
      <c r="L62" s="36">
        <v>49.0</v>
      </c>
      <c r="M62" s="36">
        <v>98.0</v>
      </c>
      <c r="N62" s="36">
        <v>47.0</v>
      </c>
      <c r="O62" s="36">
        <v>15.0</v>
      </c>
      <c r="P62" s="36">
        <v>30.0</v>
      </c>
      <c r="Q62" s="36">
        <v>0.4</v>
      </c>
      <c r="R62" s="36">
        <v>1.63</v>
      </c>
      <c r="S62" s="36">
        <v>2.46</v>
      </c>
      <c r="T62" s="36">
        <v>4.09</v>
      </c>
      <c r="U62" s="21">
        <f t="shared" si="1"/>
        <v>4090</v>
      </c>
      <c r="V62" s="46">
        <f t="shared" si="2"/>
        <v>14400</v>
      </c>
      <c r="W62" s="45"/>
    </row>
    <row r="63" ht="14.25" customHeight="1">
      <c r="A63" s="38">
        <v>0.32569444444444445</v>
      </c>
      <c r="B63" s="36">
        <v>87.0</v>
      </c>
      <c r="C63" s="36">
        <v>9.7</v>
      </c>
      <c r="D63" s="36">
        <v>759.0</v>
      </c>
      <c r="E63" s="36">
        <v>657.0</v>
      </c>
      <c r="F63" s="36">
        <v>0.87</v>
      </c>
      <c r="G63" s="36">
        <v>15.0</v>
      </c>
      <c r="H63" s="36">
        <v>1.11</v>
      </c>
      <c r="I63" s="36">
        <v>16.8</v>
      </c>
      <c r="J63" s="36">
        <v>89.4</v>
      </c>
      <c r="K63" s="36">
        <v>88.0</v>
      </c>
      <c r="L63" s="36">
        <v>49.1</v>
      </c>
      <c r="M63" s="36">
        <v>97.0</v>
      </c>
      <c r="N63" s="36">
        <v>47.0</v>
      </c>
      <c r="O63" s="36">
        <v>15.0</v>
      </c>
      <c r="P63" s="36">
        <v>30.0</v>
      </c>
      <c r="Q63" s="36">
        <v>0.4</v>
      </c>
      <c r="R63" s="36">
        <v>1.57</v>
      </c>
      <c r="S63" s="36">
        <v>2.4</v>
      </c>
      <c r="T63" s="36">
        <v>3.97</v>
      </c>
      <c r="U63" s="21">
        <f t="shared" si="1"/>
        <v>3970</v>
      </c>
      <c r="V63" s="46">
        <f t="shared" si="2"/>
        <v>2500</v>
      </c>
      <c r="W63" s="45"/>
    </row>
    <row r="64" ht="14.25" customHeight="1">
      <c r="A64" s="38">
        <v>0.3284722222222222</v>
      </c>
      <c r="B64" s="36">
        <v>89.0</v>
      </c>
      <c r="C64" s="36">
        <v>10.0</v>
      </c>
      <c r="D64" s="36">
        <v>782.0</v>
      </c>
      <c r="E64" s="36">
        <v>677.0</v>
      </c>
      <c r="F64" s="36">
        <v>0.87</v>
      </c>
      <c r="G64" s="36">
        <v>15.0</v>
      </c>
      <c r="H64" s="36">
        <v>1.14</v>
      </c>
      <c r="I64" s="36">
        <v>17.1</v>
      </c>
      <c r="J64" s="36">
        <v>89.2</v>
      </c>
      <c r="K64" s="36">
        <v>87.0</v>
      </c>
      <c r="L64" s="36">
        <v>49.2</v>
      </c>
      <c r="M64" s="36">
        <v>97.0</v>
      </c>
      <c r="N64" s="36">
        <v>48.0</v>
      </c>
      <c r="O64" s="36">
        <v>15.0</v>
      </c>
      <c r="P64" s="36">
        <v>31.0</v>
      </c>
      <c r="Q64" s="36">
        <v>0.39</v>
      </c>
      <c r="R64" s="36">
        <v>1.58</v>
      </c>
      <c r="S64" s="36">
        <v>2.44</v>
      </c>
      <c r="T64" s="36">
        <v>4.02</v>
      </c>
      <c r="U64" s="21">
        <f t="shared" si="1"/>
        <v>4020</v>
      </c>
      <c r="V64" s="46">
        <f t="shared" si="2"/>
        <v>2500</v>
      </c>
      <c r="W64" s="45"/>
    </row>
    <row r="65" ht="14.25" customHeight="1">
      <c r="A65" s="38">
        <v>0.33055555555555555</v>
      </c>
      <c r="B65" s="36">
        <v>90.0</v>
      </c>
      <c r="C65" s="36">
        <v>10.3</v>
      </c>
      <c r="D65" s="36">
        <v>805.0</v>
      </c>
      <c r="E65" s="36">
        <v>686.0</v>
      </c>
      <c r="F65" s="36">
        <v>0.85</v>
      </c>
      <c r="G65" s="36">
        <v>15.0</v>
      </c>
      <c r="H65" s="36">
        <v>1.15</v>
      </c>
      <c r="I65" s="36">
        <v>17.4</v>
      </c>
      <c r="J65" s="36">
        <v>89.0</v>
      </c>
      <c r="K65" s="36">
        <v>88.0</v>
      </c>
      <c r="L65" s="36">
        <v>48.9</v>
      </c>
      <c r="M65" s="36">
        <v>97.0</v>
      </c>
      <c r="N65" s="36">
        <v>48.0</v>
      </c>
      <c r="O65" s="36">
        <v>15.0</v>
      </c>
      <c r="P65" s="36">
        <v>31.0</v>
      </c>
      <c r="Q65" s="36">
        <v>0.41</v>
      </c>
      <c r="R65" s="36">
        <v>1.61</v>
      </c>
      <c r="S65" s="36">
        <v>2.36</v>
      </c>
      <c r="T65" s="36">
        <v>3.97</v>
      </c>
      <c r="U65" s="21">
        <f t="shared" si="1"/>
        <v>3970</v>
      </c>
      <c r="V65" s="46">
        <f t="shared" si="2"/>
        <v>1600</v>
      </c>
      <c r="W65" s="45"/>
    </row>
    <row r="66" ht="14.25" customHeight="1">
      <c r="A66" s="38">
        <v>0.33611111111111114</v>
      </c>
      <c r="B66" s="36">
        <v>92.0</v>
      </c>
      <c r="C66" s="36">
        <v>10.9</v>
      </c>
      <c r="D66" s="36">
        <v>851.0</v>
      </c>
      <c r="E66" s="36">
        <v>718.0</v>
      </c>
      <c r="F66" s="36">
        <v>0.84</v>
      </c>
      <c r="G66" s="36">
        <v>15.0</v>
      </c>
      <c r="H66" s="36">
        <v>1.18</v>
      </c>
      <c r="I66" s="36">
        <v>18.1</v>
      </c>
      <c r="J66" s="36">
        <v>88.6</v>
      </c>
      <c r="K66" s="36">
        <v>88.0</v>
      </c>
      <c r="L66" s="36">
        <v>48.9</v>
      </c>
      <c r="M66" s="36">
        <v>96.0</v>
      </c>
      <c r="N66" s="36">
        <v>48.0</v>
      </c>
      <c r="O66" s="36">
        <v>15.0</v>
      </c>
      <c r="P66" s="36">
        <v>33.0</v>
      </c>
      <c r="Q66" s="36">
        <v>0.41</v>
      </c>
      <c r="R66" s="36">
        <v>1.62</v>
      </c>
      <c r="S66" s="36">
        <v>2.31</v>
      </c>
      <c r="T66" s="36">
        <v>3.93</v>
      </c>
      <c r="U66" s="21">
        <f t="shared" si="1"/>
        <v>3930</v>
      </c>
      <c r="V66" s="46">
        <f t="shared" si="2"/>
        <v>400</v>
      </c>
      <c r="W66" s="45"/>
    </row>
    <row r="67" ht="14.25" customHeight="1">
      <c r="A67" s="38">
        <v>0.3388888888888889</v>
      </c>
      <c r="B67" s="36">
        <v>94.0</v>
      </c>
      <c r="C67" s="36">
        <v>10.7</v>
      </c>
      <c r="D67" s="36">
        <v>834.0</v>
      </c>
      <c r="E67" s="36">
        <v>720.0</v>
      </c>
      <c r="F67" s="36">
        <v>0.86</v>
      </c>
      <c r="G67" s="36">
        <v>15.0</v>
      </c>
      <c r="H67" s="36">
        <v>1.19</v>
      </c>
      <c r="I67" s="36">
        <v>18.1</v>
      </c>
      <c r="J67" s="36">
        <v>88.6</v>
      </c>
      <c r="K67" s="36">
        <v>88.0</v>
      </c>
      <c r="L67" s="36">
        <v>49.0</v>
      </c>
      <c r="M67" s="36">
        <v>97.0</v>
      </c>
      <c r="N67" s="36">
        <v>48.0</v>
      </c>
      <c r="O67" s="36">
        <v>15.0</v>
      </c>
      <c r="P67" s="36">
        <v>33.0</v>
      </c>
      <c r="Q67" s="36">
        <v>0.39</v>
      </c>
      <c r="R67" s="36">
        <v>1.56</v>
      </c>
      <c r="S67" s="36">
        <v>2.39</v>
      </c>
      <c r="T67" s="36">
        <v>3.95</v>
      </c>
      <c r="U67" s="21">
        <f t="shared" si="1"/>
        <v>3950</v>
      </c>
      <c r="V67" s="46">
        <f t="shared" si="2"/>
        <v>72900</v>
      </c>
      <c r="W67" s="45"/>
    </row>
    <row r="68" ht="14.25" customHeight="1">
      <c r="A68" s="38">
        <v>0.34097222222222223</v>
      </c>
      <c r="B68" s="36">
        <v>95.0</v>
      </c>
      <c r="C68" s="36">
        <v>10.7</v>
      </c>
      <c r="D68" s="36">
        <v>832.0</v>
      </c>
      <c r="E68" s="36">
        <v>722.0</v>
      </c>
      <c r="F68" s="36">
        <v>0.87</v>
      </c>
      <c r="G68" s="36">
        <v>16.0</v>
      </c>
      <c r="H68" s="36">
        <v>1.11</v>
      </c>
      <c r="I68" s="36">
        <v>18.2</v>
      </c>
      <c r="J68" s="36">
        <v>88.5</v>
      </c>
      <c r="K68" s="36">
        <v>88.0</v>
      </c>
      <c r="L68" s="36">
        <v>48.9</v>
      </c>
      <c r="M68" s="36">
        <v>97.0</v>
      </c>
      <c r="N68" s="36">
        <v>48.0</v>
      </c>
      <c r="O68" s="36">
        <v>16.0</v>
      </c>
      <c r="P68" s="36">
        <v>32.0</v>
      </c>
      <c r="Q68" s="36">
        <v>0.39</v>
      </c>
      <c r="R68" s="36">
        <v>1.42</v>
      </c>
      <c r="S68" s="36">
        <v>2.26</v>
      </c>
      <c r="T68" s="36">
        <v>3.68</v>
      </c>
      <c r="U68" s="21">
        <f t="shared" si="1"/>
        <v>3680</v>
      </c>
      <c r="V68" s="46">
        <f t="shared" si="2"/>
        <v>12100</v>
      </c>
      <c r="W68" s="45"/>
    </row>
    <row r="69" ht="14.25" customHeight="1">
      <c r="A69" s="38">
        <v>0.34375</v>
      </c>
      <c r="B69" s="36">
        <v>96.0</v>
      </c>
      <c r="C69" s="36">
        <v>10.6</v>
      </c>
      <c r="D69" s="36">
        <v>825.0</v>
      </c>
      <c r="E69" s="36">
        <v>722.0</v>
      </c>
      <c r="F69" s="36">
        <v>0.88</v>
      </c>
      <c r="G69" s="36">
        <v>17.0</v>
      </c>
      <c r="H69" s="36">
        <v>1.08</v>
      </c>
      <c r="I69" s="36">
        <v>18.1</v>
      </c>
      <c r="J69" s="36">
        <v>88.5</v>
      </c>
      <c r="K69" s="36">
        <v>87.0</v>
      </c>
      <c r="L69" s="36">
        <v>49.2</v>
      </c>
      <c r="M69" s="36">
        <v>97.0</v>
      </c>
      <c r="N69" s="36">
        <v>49.0</v>
      </c>
      <c r="O69" s="36">
        <v>17.0</v>
      </c>
      <c r="P69" s="36">
        <v>32.0</v>
      </c>
      <c r="Q69" s="36">
        <v>0.38</v>
      </c>
      <c r="R69" s="36">
        <v>1.36</v>
      </c>
      <c r="S69" s="36">
        <v>2.2</v>
      </c>
      <c r="T69" s="36">
        <v>3.57</v>
      </c>
      <c r="U69" s="21">
        <f t="shared" si="1"/>
        <v>3570</v>
      </c>
      <c r="V69" s="46">
        <f t="shared" si="2"/>
        <v>0</v>
      </c>
      <c r="W69" s="45"/>
    </row>
    <row r="70" ht="14.25" customHeight="1">
      <c r="A70" s="38">
        <v>0.34652777777777777</v>
      </c>
      <c r="B70" s="36">
        <v>97.0</v>
      </c>
      <c r="C70" s="36">
        <v>10.6</v>
      </c>
      <c r="D70" s="36">
        <v>825.0</v>
      </c>
      <c r="E70" s="36">
        <v>722.0</v>
      </c>
      <c r="F70" s="36">
        <v>0.88</v>
      </c>
      <c r="G70" s="36">
        <v>17.0</v>
      </c>
      <c r="H70" s="36">
        <v>1.08</v>
      </c>
      <c r="I70" s="36">
        <v>18.1</v>
      </c>
      <c r="J70" s="36">
        <v>88.5</v>
      </c>
      <c r="K70" s="36">
        <v>87.0</v>
      </c>
      <c r="L70" s="36">
        <v>49.4</v>
      </c>
      <c r="M70" s="36">
        <v>97.0</v>
      </c>
      <c r="N70" s="36">
        <v>49.0</v>
      </c>
      <c r="O70" s="36">
        <v>17.0</v>
      </c>
      <c r="P70" s="36">
        <v>32.0</v>
      </c>
      <c r="Q70" s="36">
        <v>0.38</v>
      </c>
      <c r="R70" s="36">
        <v>1.36</v>
      </c>
      <c r="S70" s="36">
        <v>2.2</v>
      </c>
      <c r="T70" s="36">
        <v>3.57</v>
      </c>
      <c r="U70" s="21">
        <f t="shared" si="1"/>
        <v>3570</v>
      </c>
      <c r="V70" s="46">
        <f t="shared" si="2"/>
        <v>4900</v>
      </c>
      <c r="W70" s="45"/>
    </row>
    <row r="71" ht="14.25" customHeight="1">
      <c r="A71" s="38">
        <v>0.34930555555555554</v>
      </c>
      <c r="B71" s="36">
        <v>99.0</v>
      </c>
      <c r="C71" s="36">
        <v>10.5</v>
      </c>
      <c r="D71" s="36">
        <v>819.0</v>
      </c>
      <c r="E71" s="36">
        <v>725.0</v>
      </c>
      <c r="F71" s="36">
        <v>0.89</v>
      </c>
      <c r="G71" s="36">
        <v>16.0</v>
      </c>
      <c r="H71" s="36">
        <v>1.1</v>
      </c>
      <c r="I71" s="36">
        <v>18.2</v>
      </c>
      <c r="J71" s="36">
        <v>88.5</v>
      </c>
      <c r="K71" s="36">
        <v>88.0</v>
      </c>
      <c r="L71" s="36">
        <v>48.8</v>
      </c>
      <c r="M71" s="36">
        <v>97.0</v>
      </c>
      <c r="N71" s="36">
        <v>49.0</v>
      </c>
      <c r="O71" s="36">
        <v>16.0</v>
      </c>
      <c r="P71" s="36">
        <v>32.0</v>
      </c>
      <c r="Q71" s="36">
        <v>0.38</v>
      </c>
      <c r="R71" s="36">
        <v>1.38</v>
      </c>
      <c r="S71" s="36">
        <v>2.26</v>
      </c>
      <c r="T71" s="36">
        <v>3.64</v>
      </c>
      <c r="U71" s="21">
        <f t="shared" si="1"/>
        <v>3640</v>
      </c>
      <c r="V71" s="46">
        <f t="shared" si="2"/>
        <v>1600</v>
      </c>
      <c r="W71" s="45"/>
    </row>
    <row r="72" ht="14.25" customHeight="1">
      <c r="A72" s="38">
        <v>0.35208333333333336</v>
      </c>
      <c r="B72" s="36">
        <v>100.0</v>
      </c>
      <c r="C72" s="36">
        <v>11.2</v>
      </c>
      <c r="D72" s="36">
        <v>875.0</v>
      </c>
      <c r="E72" s="36">
        <v>771.0</v>
      </c>
      <c r="F72" s="36">
        <v>0.88</v>
      </c>
      <c r="G72" s="36">
        <v>16.0</v>
      </c>
      <c r="H72" s="36">
        <v>1.16</v>
      </c>
      <c r="I72" s="36">
        <v>18.9</v>
      </c>
      <c r="J72" s="36">
        <v>88.0</v>
      </c>
      <c r="K72" s="36">
        <v>88.0</v>
      </c>
      <c r="L72" s="36">
        <v>48.7</v>
      </c>
      <c r="M72" s="36">
        <v>96.0</v>
      </c>
      <c r="N72" s="36">
        <v>49.0</v>
      </c>
      <c r="O72" s="36">
        <v>16.0</v>
      </c>
      <c r="P72" s="36">
        <v>34.0</v>
      </c>
      <c r="Q72" s="36">
        <v>0.37</v>
      </c>
      <c r="R72" s="36">
        <v>1.35</v>
      </c>
      <c r="S72" s="36">
        <v>2.33</v>
      </c>
      <c r="T72" s="36">
        <v>3.68</v>
      </c>
      <c r="U72" s="21">
        <f t="shared" si="1"/>
        <v>3680</v>
      </c>
      <c r="V72" s="46">
        <f t="shared" si="2"/>
        <v>72900</v>
      </c>
      <c r="W72" s="45"/>
    </row>
    <row r="73" ht="14.25" customHeight="1">
      <c r="A73" s="38">
        <v>0.35555555555555557</v>
      </c>
      <c r="B73" s="36">
        <v>102.0</v>
      </c>
      <c r="C73" s="36">
        <v>10.5</v>
      </c>
      <c r="D73" s="36">
        <v>820.0</v>
      </c>
      <c r="E73" s="36">
        <v>741.0</v>
      </c>
      <c r="F73" s="36">
        <v>0.9</v>
      </c>
      <c r="G73" s="36">
        <v>15.0</v>
      </c>
      <c r="H73" s="36">
        <v>1.21</v>
      </c>
      <c r="I73" s="36">
        <v>18.4</v>
      </c>
      <c r="J73" s="36">
        <v>88.3</v>
      </c>
      <c r="K73" s="36">
        <v>88.0</v>
      </c>
      <c r="L73" s="36">
        <v>48.7</v>
      </c>
      <c r="M73" s="36">
        <v>97.0</v>
      </c>
      <c r="N73" s="36">
        <v>49.0</v>
      </c>
      <c r="O73" s="36">
        <v>15.0</v>
      </c>
      <c r="P73" s="36">
        <v>32.0</v>
      </c>
      <c r="Q73" s="36">
        <v>0.38</v>
      </c>
      <c r="R73" s="36">
        <v>1.51</v>
      </c>
      <c r="S73" s="36">
        <v>2.44</v>
      </c>
      <c r="T73" s="36">
        <v>3.95</v>
      </c>
      <c r="U73" s="21">
        <f t="shared" si="1"/>
        <v>3950</v>
      </c>
      <c r="V73" s="46">
        <f t="shared" si="2"/>
        <v>3600</v>
      </c>
      <c r="W73" s="45"/>
    </row>
    <row r="74" ht="14.25" customHeight="1">
      <c r="A74" s="38">
        <v>0.35833333333333334</v>
      </c>
      <c r="B74" s="36">
        <v>103.0</v>
      </c>
      <c r="C74" s="36">
        <v>10.6</v>
      </c>
      <c r="D74" s="36">
        <v>829.0</v>
      </c>
      <c r="E74" s="36">
        <v>748.0</v>
      </c>
      <c r="F74" s="36">
        <v>0.9</v>
      </c>
      <c r="G74" s="36">
        <v>15.0</v>
      </c>
      <c r="H74" s="36">
        <v>1.21</v>
      </c>
      <c r="I74" s="36">
        <v>18.6</v>
      </c>
      <c r="J74" s="36">
        <v>88.2</v>
      </c>
      <c r="K74" s="36">
        <v>91.0</v>
      </c>
      <c r="L74" s="36">
        <v>47.4</v>
      </c>
      <c r="M74" s="36">
        <v>97.0</v>
      </c>
      <c r="N74" s="36">
        <v>48.0</v>
      </c>
      <c r="O74" s="36">
        <v>15.0</v>
      </c>
      <c r="P74" s="36">
        <v>32.0</v>
      </c>
      <c r="Q74" s="36">
        <v>0.4</v>
      </c>
      <c r="R74" s="36">
        <v>1.55</v>
      </c>
      <c r="S74" s="36">
        <v>2.34</v>
      </c>
      <c r="T74" s="36">
        <v>3.89</v>
      </c>
      <c r="U74" s="21">
        <f t="shared" si="1"/>
        <v>3890</v>
      </c>
      <c r="V74" s="46">
        <f t="shared" si="2"/>
        <v>57600</v>
      </c>
      <c r="W74" s="45"/>
    </row>
    <row r="75" ht="14.25" customHeight="1">
      <c r="A75" s="38">
        <v>0.3611111111111111</v>
      </c>
      <c r="B75" s="36">
        <v>104.0</v>
      </c>
      <c r="C75" s="36">
        <v>10.7</v>
      </c>
      <c r="D75" s="36">
        <v>832.0</v>
      </c>
      <c r="E75" s="36">
        <v>764.0</v>
      </c>
      <c r="F75" s="36">
        <v>0.92</v>
      </c>
      <c r="G75" s="36">
        <v>15.0</v>
      </c>
      <c r="H75" s="36">
        <v>1.3</v>
      </c>
      <c r="I75" s="36">
        <v>18.9</v>
      </c>
      <c r="J75" s="36">
        <v>88.1</v>
      </c>
      <c r="K75" s="36">
        <v>91.0</v>
      </c>
      <c r="L75" s="36">
        <v>47.0</v>
      </c>
      <c r="M75" s="36">
        <v>98.0</v>
      </c>
      <c r="N75" s="36">
        <v>48.0</v>
      </c>
      <c r="O75" s="36">
        <v>15.0</v>
      </c>
      <c r="P75" s="36">
        <v>32.0</v>
      </c>
      <c r="Q75" s="36">
        <v>0.41</v>
      </c>
      <c r="R75" s="36">
        <v>1.68</v>
      </c>
      <c r="S75" s="36">
        <v>2.46</v>
      </c>
      <c r="T75" s="36">
        <v>4.13</v>
      </c>
      <c r="U75" s="21">
        <f t="shared" si="1"/>
        <v>4130</v>
      </c>
      <c r="V75" s="46">
        <f t="shared" si="2"/>
        <v>400</v>
      </c>
      <c r="W75" s="45"/>
    </row>
    <row r="76" ht="14.25" customHeight="1">
      <c r="A76" s="38">
        <v>0.3638888888888889</v>
      </c>
      <c r="B76" s="36">
        <v>105.0</v>
      </c>
      <c r="C76" s="36">
        <v>11.2</v>
      </c>
      <c r="D76" s="36">
        <v>873.0</v>
      </c>
      <c r="E76" s="36">
        <v>792.0</v>
      </c>
      <c r="F76" s="36">
        <v>0.91</v>
      </c>
      <c r="G76" s="36">
        <v>15.0</v>
      </c>
      <c r="H76" s="36">
        <v>1.32</v>
      </c>
      <c r="I76" s="36">
        <v>19.3</v>
      </c>
      <c r="J76" s="36">
        <v>87.8</v>
      </c>
      <c r="K76" s="36">
        <v>91.0</v>
      </c>
      <c r="L76" s="36">
        <v>47.0</v>
      </c>
      <c r="M76" s="36">
        <v>97.0</v>
      </c>
      <c r="N76" s="36">
        <v>49.0</v>
      </c>
      <c r="O76" s="36">
        <v>15.0</v>
      </c>
      <c r="P76" s="36">
        <v>34.0</v>
      </c>
      <c r="Q76" s="36">
        <v>0.41</v>
      </c>
      <c r="R76" s="36">
        <v>1.68</v>
      </c>
      <c r="S76" s="36">
        <v>2.43</v>
      </c>
      <c r="T76" s="36">
        <v>4.11</v>
      </c>
      <c r="U76" s="21">
        <f t="shared" si="1"/>
        <v>4110</v>
      </c>
      <c r="V76" s="46">
        <f t="shared" si="2"/>
        <v>3600</v>
      </c>
      <c r="W76" s="45"/>
    </row>
    <row r="77" ht="14.25" customHeight="1">
      <c r="A77" s="38">
        <v>0.3659722222222222</v>
      </c>
      <c r="B77" s="36">
        <v>107.0</v>
      </c>
      <c r="C77" s="36">
        <v>11.6</v>
      </c>
      <c r="D77" s="36">
        <v>904.0</v>
      </c>
      <c r="E77" s="36">
        <v>819.0</v>
      </c>
      <c r="F77" s="36">
        <v>0.91</v>
      </c>
      <c r="G77" s="36">
        <v>15.0</v>
      </c>
      <c r="H77" s="36">
        <v>1.34</v>
      </c>
      <c r="I77" s="36">
        <v>19.8</v>
      </c>
      <c r="J77" s="36">
        <v>87.5</v>
      </c>
      <c r="K77" s="36">
        <v>92.0</v>
      </c>
      <c r="L77" s="36">
        <v>46.7</v>
      </c>
      <c r="M77" s="36">
        <v>97.0</v>
      </c>
      <c r="N77" s="36">
        <v>49.0</v>
      </c>
      <c r="O77" s="36">
        <v>15.0</v>
      </c>
      <c r="P77" s="36">
        <v>35.0</v>
      </c>
      <c r="Q77" s="36">
        <v>0.42</v>
      </c>
      <c r="R77" s="36">
        <v>1.7</v>
      </c>
      <c r="S77" s="36">
        <v>2.34</v>
      </c>
      <c r="T77" s="36">
        <v>4.05</v>
      </c>
      <c r="U77" s="21">
        <f t="shared" si="1"/>
        <v>4050</v>
      </c>
      <c r="V77" s="46">
        <f t="shared" si="2"/>
        <v>40000</v>
      </c>
      <c r="W77" s="45"/>
    </row>
    <row r="78" ht="14.25" customHeight="1">
      <c r="A78" s="38">
        <v>0.36944444444444446</v>
      </c>
      <c r="B78" s="36">
        <v>108.0</v>
      </c>
      <c r="C78" s="36">
        <v>12.1</v>
      </c>
      <c r="D78" s="36">
        <v>942.0</v>
      </c>
      <c r="E78" s="36">
        <v>846.0</v>
      </c>
      <c r="F78" s="36">
        <v>0.9</v>
      </c>
      <c r="G78" s="36">
        <v>16.0</v>
      </c>
      <c r="H78" s="36">
        <v>1.3</v>
      </c>
      <c r="I78" s="36">
        <v>20.2</v>
      </c>
      <c r="J78" s="36">
        <v>87.2</v>
      </c>
      <c r="K78" s="36">
        <v>92.0</v>
      </c>
      <c r="L78" s="36">
        <v>46.7</v>
      </c>
      <c r="M78" s="36">
        <v>96.0</v>
      </c>
      <c r="N78" s="36">
        <v>50.0</v>
      </c>
      <c r="O78" s="36">
        <v>16.0</v>
      </c>
      <c r="P78" s="36">
        <v>37.0</v>
      </c>
      <c r="Q78" s="36">
        <v>0.42</v>
      </c>
      <c r="R78" s="36">
        <v>1.6</v>
      </c>
      <c r="S78" s="36">
        <v>2.25</v>
      </c>
      <c r="T78" s="36">
        <v>3.85</v>
      </c>
      <c r="U78" s="21">
        <f t="shared" si="1"/>
        <v>3850</v>
      </c>
      <c r="V78" s="46">
        <f t="shared" si="2"/>
        <v>900</v>
      </c>
      <c r="W78" s="45"/>
    </row>
    <row r="79" ht="14.25" customHeight="1">
      <c r="A79" s="38">
        <v>0.3715277777777778</v>
      </c>
      <c r="B79" s="36">
        <v>109.0</v>
      </c>
      <c r="C79" s="36">
        <v>11.8</v>
      </c>
      <c r="D79" s="36">
        <v>923.0</v>
      </c>
      <c r="E79" s="36">
        <v>832.0</v>
      </c>
      <c r="F79" s="36">
        <v>0.9</v>
      </c>
      <c r="G79" s="36">
        <v>16.0</v>
      </c>
      <c r="H79" s="36">
        <v>1.28</v>
      </c>
      <c r="I79" s="36">
        <v>20.1</v>
      </c>
      <c r="J79" s="36">
        <v>87.3</v>
      </c>
      <c r="K79" s="36">
        <v>92.0</v>
      </c>
      <c r="L79" s="36">
        <v>46.5</v>
      </c>
      <c r="M79" s="36">
        <v>97.0</v>
      </c>
      <c r="N79" s="36">
        <v>49.0</v>
      </c>
      <c r="O79" s="36">
        <v>16.0</v>
      </c>
      <c r="P79" s="36">
        <v>36.0</v>
      </c>
      <c r="Q79" s="36">
        <v>0.42</v>
      </c>
      <c r="R79" s="36">
        <v>1.61</v>
      </c>
      <c r="S79" s="36">
        <v>2.21</v>
      </c>
      <c r="T79" s="36">
        <v>3.82</v>
      </c>
      <c r="U79" s="21">
        <f t="shared" si="1"/>
        <v>3820</v>
      </c>
      <c r="V79" s="46">
        <f t="shared" si="2"/>
        <v>10000</v>
      </c>
      <c r="W79" s="45"/>
    </row>
    <row r="80" ht="14.25" customHeight="1">
      <c r="A80" s="38">
        <v>0.3736111111111111</v>
      </c>
      <c r="B80" s="36">
        <v>110.0</v>
      </c>
      <c r="C80" s="36">
        <v>12.1</v>
      </c>
      <c r="D80" s="36">
        <v>945.0</v>
      </c>
      <c r="E80" s="36">
        <v>849.0</v>
      </c>
      <c r="F80" s="36">
        <v>0.9</v>
      </c>
      <c r="G80" s="36">
        <v>15.0</v>
      </c>
      <c r="H80" s="36">
        <v>1.32</v>
      </c>
      <c r="I80" s="36">
        <v>20.3</v>
      </c>
      <c r="J80" s="36">
        <v>87.2</v>
      </c>
      <c r="K80" s="36">
        <v>92.0</v>
      </c>
      <c r="L80" s="36">
        <v>46.3</v>
      </c>
      <c r="M80" s="36">
        <v>96.0</v>
      </c>
      <c r="N80" s="36">
        <v>50.0</v>
      </c>
      <c r="O80" s="36">
        <v>15.0</v>
      </c>
      <c r="P80" s="36">
        <v>37.0</v>
      </c>
      <c r="Q80" s="36">
        <v>0.42</v>
      </c>
      <c r="R80" s="36">
        <v>1.66</v>
      </c>
      <c r="S80" s="36">
        <v>2.27</v>
      </c>
      <c r="T80" s="36">
        <v>3.92</v>
      </c>
      <c r="U80" s="21">
        <f t="shared" si="1"/>
        <v>3920</v>
      </c>
      <c r="V80" s="46">
        <f t="shared" si="2"/>
        <v>0</v>
      </c>
      <c r="W80" s="45"/>
    </row>
    <row r="81" ht="14.25" customHeight="1">
      <c r="A81" s="38">
        <v>0.3763888888888889</v>
      </c>
      <c r="B81" s="36">
        <v>112.0</v>
      </c>
      <c r="C81" s="36">
        <v>12.1</v>
      </c>
      <c r="D81" s="36">
        <v>946.0</v>
      </c>
      <c r="E81" s="36">
        <v>856.0</v>
      </c>
      <c r="F81" s="36">
        <v>0.9</v>
      </c>
      <c r="G81" s="36">
        <v>15.0</v>
      </c>
      <c r="H81" s="36">
        <v>1.34</v>
      </c>
      <c r="I81" s="36">
        <v>20.5</v>
      </c>
      <c r="J81" s="36">
        <v>87.0</v>
      </c>
      <c r="K81" s="36">
        <v>93.0</v>
      </c>
      <c r="L81" s="36">
        <v>46.2</v>
      </c>
      <c r="M81" s="36">
        <v>96.0</v>
      </c>
      <c r="N81" s="36">
        <v>50.0</v>
      </c>
      <c r="O81" s="36">
        <v>15.0</v>
      </c>
      <c r="P81" s="36">
        <v>37.0</v>
      </c>
      <c r="Q81" s="36">
        <v>0.42</v>
      </c>
      <c r="R81" s="36">
        <v>1.63</v>
      </c>
      <c r="S81" s="36">
        <v>2.29</v>
      </c>
      <c r="T81" s="36">
        <v>3.92</v>
      </c>
      <c r="U81" s="21">
        <f t="shared" si="1"/>
        <v>3920</v>
      </c>
      <c r="V81" s="46">
        <f t="shared" si="2"/>
        <v>36100</v>
      </c>
      <c r="W81" s="45"/>
    </row>
    <row r="82" ht="14.25" customHeight="1">
      <c r="A82" s="38">
        <v>0.37916666666666665</v>
      </c>
      <c r="B82" s="36">
        <v>113.0</v>
      </c>
      <c r="C82" s="36">
        <v>12.6</v>
      </c>
      <c r="D82" s="36">
        <v>984.0</v>
      </c>
      <c r="E82" s="36">
        <v>883.0</v>
      </c>
      <c r="F82" s="36">
        <v>0.9</v>
      </c>
      <c r="G82" s="36">
        <v>16.0</v>
      </c>
      <c r="H82" s="36">
        <v>1.31</v>
      </c>
      <c r="I82" s="36">
        <v>21.1</v>
      </c>
      <c r="J82" s="36">
        <v>86.7</v>
      </c>
      <c r="K82" s="36">
        <v>93.0</v>
      </c>
      <c r="L82" s="36">
        <v>46.2</v>
      </c>
      <c r="M82" s="36">
        <v>97.0</v>
      </c>
      <c r="N82" s="36">
        <v>50.0</v>
      </c>
      <c r="O82" s="36">
        <v>16.0</v>
      </c>
      <c r="P82" s="36">
        <v>38.0</v>
      </c>
      <c r="Q82" s="36">
        <v>0.42</v>
      </c>
      <c r="R82" s="36">
        <v>1.55</v>
      </c>
      <c r="S82" s="36">
        <v>2.18</v>
      </c>
      <c r="T82" s="36">
        <v>3.73</v>
      </c>
      <c r="U82" s="21">
        <f t="shared" si="1"/>
        <v>3730</v>
      </c>
      <c r="V82" s="46"/>
      <c r="W82" s="45"/>
    </row>
    <row r="83" ht="14.25" customHeight="1">
      <c r="A83" s="36" t="s">
        <v>80</v>
      </c>
      <c r="U83" s="21">
        <f t="shared" si="1"/>
        <v>0</v>
      </c>
      <c r="V83" s="46"/>
      <c r="W83" s="45"/>
    </row>
    <row r="84" ht="14.25" customHeight="1">
      <c r="A84" s="38">
        <v>0.3819444444444444</v>
      </c>
      <c r="B84" s="36">
        <v>114.0</v>
      </c>
      <c r="C84" s="36">
        <v>12.8</v>
      </c>
      <c r="D84" s="36">
        <v>995.0</v>
      </c>
      <c r="E84" s="36">
        <v>906.0</v>
      </c>
      <c r="F84" s="36">
        <v>0.91</v>
      </c>
      <c r="G84" s="36">
        <v>16.0</v>
      </c>
      <c r="H84" s="36">
        <v>1.35</v>
      </c>
      <c r="I84" s="36">
        <v>21.8</v>
      </c>
      <c r="J84" s="36">
        <v>86.2</v>
      </c>
      <c r="K84" s="36">
        <v>94.0</v>
      </c>
      <c r="L84" s="36">
        <v>45.5</v>
      </c>
      <c r="M84" s="36">
        <v>97.0</v>
      </c>
      <c r="N84" s="36">
        <v>49.0</v>
      </c>
      <c r="O84" s="36">
        <v>16.0</v>
      </c>
      <c r="P84" s="36">
        <v>39.0</v>
      </c>
      <c r="Q84" s="36">
        <v>0.42</v>
      </c>
      <c r="R84" s="36">
        <v>1.57</v>
      </c>
      <c r="S84" s="36">
        <v>2.15</v>
      </c>
      <c r="T84" s="36">
        <v>3.72</v>
      </c>
      <c r="U84" s="21">
        <f t="shared" si="1"/>
        <v>3720</v>
      </c>
      <c r="V84" s="46">
        <f t="shared" ref="V84:V130" si="3">(U84-U85)^2</f>
        <v>3600</v>
      </c>
      <c r="W84" s="45">
        <f>SQRT(AVERAGE(V84:V131))</f>
        <v>196.5662684</v>
      </c>
    </row>
    <row r="85" ht="14.25" customHeight="1">
      <c r="A85" s="38">
        <v>0.3840277777777778</v>
      </c>
      <c r="B85" s="36">
        <v>115.0</v>
      </c>
      <c r="C85" s="36">
        <v>12.7</v>
      </c>
      <c r="D85" s="36">
        <v>991.0</v>
      </c>
      <c r="E85" s="36">
        <v>913.0</v>
      </c>
      <c r="F85" s="36">
        <v>0.92</v>
      </c>
      <c r="G85" s="36">
        <v>16.0</v>
      </c>
      <c r="H85" s="36">
        <v>1.34</v>
      </c>
      <c r="I85" s="36">
        <v>22.0</v>
      </c>
      <c r="J85" s="36">
        <v>86.1</v>
      </c>
      <c r="K85" s="36">
        <v>94.0</v>
      </c>
      <c r="L85" s="36">
        <v>45.2</v>
      </c>
      <c r="M85" s="36">
        <v>98.0</v>
      </c>
      <c r="N85" s="36">
        <v>49.0</v>
      </c>
      <c r="O85" s="36">
        <v>16.0</v>
      </c>
      <c r="P85" s="36">
        <v>39.0</v>
      </c>
      <c r="Q85" s="36">
        <v>0.42</v>
      </c>
      <c r="R85" s="36">
        <v>1.56</v>
      </c>
      <c r="S85" s="36">
        <v>2.11</v>
      </c>
      <c r="T85" s="36">
        <v>3.66</v>
      </c>
      <c r="U85" s="21">
        <f t="shared" si="1"/>
        <v>3660</v>
      </c>
      <c r="V85" s="46">
        <f t="shared" si="3"/>
        <v>57600</v>
      </c>
      <c r="W85" s="45"/>
    </row>
    <row r="86" ht="14.25" customHeight="1">
      <c r="A86" s="38">
        <v>0.3861111111111111</v>
      </c>
      <c r="B86" s="36">
        <v>116.0</v>
      </c>
      <c r="C86" s="36">
        <v>12.7</v>
      </c>
      <c r="D86" s="36">
        <v>987.0</v>
      </c>
      <c r="E86" s="36">
        <v>922.0</v>
      </c>
      <c r="F86" s="36">
        <v>0.93</v>
      </c>
      <c r="G86" s="36">
        <v>18.0</v>
      </c>
      <c r="H86" s="36">
        <v>1.28</v>
      </c>
      <c r="I86" s="36">
        <v>22.4</v>
      </c>
      <c r="J86" s="36">
        <v>85.8</v>
      </c>
      <c r="K86" s="36">
        <v>95.0</v>
      </c>
      <c r="L86" s="36">
        <v>45.0</v>
      </c>
      <c r="M86" s="36">
        <v>99.0</v>
      </c>
      <c r="N86" s="36">
        <v>49.0</v>
      </c>
      <c r="O86" s="36">
        <v>18.0</v>
      </c>
      <c r="P86" s="36">
        <v>39.0</v>
      </c>
      <c r="Q86" s="36">
        <v>0.42</v>
      </c>
      <c r="R86" s="36">
        <v>1.45</v>
      </c>
      <c r="S86" s="36">
        <v>1.97</v>
      </c>
      <c r="T86" s="36">
        <v>3.42</v>
      </c>
      <c r="U86" s="21">
        <f t="shared" si="1"/>
        <v>3420</v>
      </c>
      <c r="V86" s="46">
        <f t="shared" si="3"/>
        <v>1600</v>
      </c>
      <c r="W86" s="45"/>
    </row>
    <row r="87" ht="14.25" customHeight="1">
      <c r="A87" s="38">
        <v>0.38819444444444445</v>
      </c>
      <c r="B87" s="36">
        <v>117.0</v>
      </c>
      <c r="C87" s="36">
        <v>13.1</v>
      </c>
      <c r="D87" s="36">
        <v>1020.0</v>
      </c>
      <c r="E87" s="36">
        <v>950.0</v>
      </c>
      <c r="F87" s="36">
        <v>0.93</v>
      </c>
      <c r="G87" s="36">
        <v>18.0</v>
      </c>
      <c r="H87" s="36">
        <v>1.28</v>
      </c>
      <c r="I87" s="36">
        <v>22.8</v>
      </c>
      <c r="J87" s="36">
        <v>85.5</v>
      </c>
      <c r="K87" s="36">
        <v>95.0</v>
      </c>
      <c r="L87" s="36">
        <v>44.8</v>
      </c>
      <c r="M87" s="36">
        <v>99.0</v>
      </c>
      <c r="N87" s="36">
        <v>49.0</v>
      </c>
      <c r="O87" s="36">
        <v>18.0</v>
      </c>
      <c r="P87" s="36">
        <v>40.0</v>
      </c>
      <c r="Q87" s="36">
        <v>0.42</v>
      </c>
      <c r="R87" s="36">
        <v>1.42</v>
      </c>
      <c r="S87" s="36">
        <v>1.95</v>
      </c>
      <c r="T87" s="36">
        <v>3.38</v>
      </c>
      <c r="U87" s="21">
        <f t="shared" si="1"/>
        <v>3380</v>
      </c>
      <c r="V87" s="46">
        <f t="shared" si="3"/>
        <v>22500</v>
      </c>
      <c r="W87" s="45"/>
    </row>
    <row r="88" ht="14.25" customHeight="1">
      <c r="A88" s="38">
        <v>0.3909722222222222</v>
      </c>
      <c r="B88" s="36">
        <v>119.0</v>
      </c>
      <c r="C88" s="36">
        <v>13.1</v>
      </c>
      <c r="D88" s="36">
        <v>1022.0</v>
      </c>
      <c r="E88" s="36">
        <v>969.0</v>
      </c>
      <c r="F88" s="36">
        <v>0.95</v>
      </c>
      <c r="G88" s="36">
        <v>17.0</v>
      </c>
      <c r="H88" s="36">
        <v>1.36</v>
      </c>
      <c r="I88" s="36">
        <v>23.2</v>
      </c>
      <c r="J88" s="36">
        <v>85.3</v>
      </c>
      <c r="K88" s="36">
        <v>95.0</v>
      </c>
      <c r="L88" s="36">
        <v>44.8</v>
      </c>
      <c r="M88" s="36">
        <v>99.0</v>
      </c>
      <c r="N88" s="36">
        <v>49.0</v>
      </c>
      <c r="O88" s="36">
        <v>17.0</v>
      </c>
      <c r="P88" s="36">
        <v>40.0</v>
      </c>
      <c r="Q88" s="36">
        <v>0.43</v>
      </c>
      <c r="R88" s="36">
        <v>1.53</v>
      </c>
      <c r="S88" s="36">
        <v>2.0</v>
      </c>
      <c r="T88" s="36">
        <v>3.53</v>
      </c>
      <c r="U88" s="21">
        <f t="shared" si="1"/>
        <v>3530</v>
      </c>
      <c r="V88" s="46">
        <f t="shared" si="3"/>
        <v>1600</v>
      </c>
      <c r="W88" s="45"/>
    </row>
    <row r="89" ht="14.25" customHeight="1">
      <c r="A89" s="38">
        <v>0.39375</v>
      </c>
      <c r="B89" s="36">
        <v>120.0</v>
      </c>
      <c r="C89" s="36">
        <v>13.2</v>
      </c>
      <c r="D89" s="36">
        <v>1031.0</v>
      </c>
      <c r="E89" s="36">
        <v>989.0</v>
      </c>
      <c r="F89" s="36">
        <v>0.96</v>
      </c>
      <c r="G89" s="36">
        <v>17.0</v>
      </c>
      <c r="H89" s="36">
        <v>1.38</v>
      </c>
      <c r="I89" s="36">
        <v>23.7</v>
      </c>
      <c r="J89" s="36">
        <v>85.0</v>
      </c>
      <c r="K89" s="36">
        <v>95.0</v>
      </c>
      <c r="L89" s="36">
        <v>44.8</v>
      </c>
      <c r="M89" s="36">
        <v>100.0</v>
      </c>
      <c r="N89" s="36">
        <v>49.0</v>
      </c>
      <c r="O89" s="36">
        <v>17.0</v>
      </c>
      <c r="P89" s="36">
        <v>40.0</v>
      </c>
      <c r="Q89" s="36">
        <v>0.44</v>
      </c>
      <c r="R89" s="36">
        <v>1.54</v>
      </c>
      <c r="S89" s="36">
        <v>1.94</v>
      </c>
      <c r="T89" s="36">
        <v>3.49</v>
      </c>
      <c r="U89" s="21">
        <f t="shared" si="1"/>
        <v>3490</v>
      </c>
      <c r="V89" s="46">
        <f t="shared" si="3"/>
        <v>6400</v>
      </c>
      <c r="W89" s="45"/>
    </row>
    <row r="90" ht="14.25" customHeight="1">
      <c r="A90" s="38">
        <v>0.39652777777777776</v>
      </c>
      <c r="B90" s="36">
        <v>121.0</v>
      </c>
      <c r="C90" s="36">
        <v>13.0</v>
      </c>
      <c r="D90" s="36">
        <v>1016.0</v>
      </c>
      <c r="E90" s="36">
        <v>973.0</v>
      </c>
      <c r="F90" s="36">
        <v>0.96</v>
      </c>
      <c r="G90" s="36">
        <v>18.0</v>
      </c>
      <c r="H90" s="36">
        <v>1.32</v>
      </c>
      <c r="I90" s="36">
        <v>23.3</v>
      </c>
      <c r="J90" s="36">
        <v>85.3</v>
      </c>
      <c r="K90" s="36">
        <v>95.0</v>
      </c>
      <c r="L90" s="36">
        <v>44.6</v>
      </c>
      <c r="M90" s="36">
        <v>100.0</v>
      </c>
      <c r="N90" s="36">
        <v>49.0</v>
      </c>
      <c r="O90" s="36">
        <v>18.0</v>
      </c>
      <c r="P90" s="36">
        <v>40.0</v>
      </c>
      <c r="Q90" s="36">
        <v>0.44</v>
      </c>
      <c r="R90" s="36">
        <v>1.51</v>
      </c>
      <c r="S90" s="36">
        <v>1.9</v>
      </c>
      <c r="T90" s="36">
        <v>3.41</v>
      </c>
      <c r="U90" s="21">
        <f t="shared" si="1"/>
        <v>3410</v>
      </c>
      <c r="V90" s="46">
        <f t="shared" si="3"/>
        <v>100</v>
      </c>
      <c r="W90" s="45"/>
    </row>
    <row r="91" ht="14.25" customHeight="1">
      <c r="A91" s="38">
        <v>0.39861111111111114</v>
      </c>
      <c r="B91" s="36">
        <v>122.0</v>
      </c>
      <c r="C91" s="36">
        <v>13.0</v>
      </c>
      <c r="D91" s="36">
        <v>1015.0</v>
      </c>
      <c r="E91" s="36">
        <v>977.0</v>
      </c>
      <c r="F91" s="36">
        <v>0.96</v>
      </c>
      <c r="G91" s="36">
        <v>18.0</v>
      </c>
      <c r="H91" s="36">
        <v>1.32</v>
      </c>
      <c r="I91" s="36">
        <v>23.1</v>
      </c>
      <c r="J91" s="36">
        <v>85.4</v>
      </c>
      <c r="K91" s="36">
        <v>96.0</v>
      </c>
      <c r="L91" s="36">
        <v>44.4</v>
      </c>
      <c r="M91" s="36">
        <v>100.0</v>
      </c>
      <c r="N91" s="36">
        <v>50.0</v>
      </c>
      <c r="O91" s="36">
        <v>18.0</v>
      </c>
      <c r="P91" s="36">
        <v>40.0</v>
      </c>
      <c r="Q91" s="36">
        <v>0.44</v>
      </c>
      <c r="R91" s="36">
        <v>1.51</v>
      </c>
      <c r="S91" s="36">
        <v>1.9</v>
      </c>
      <c r="T91" s="36">
        <v>3.42</v>
      </c>
      <c r="U91" s="21">
        <f t="shared" si="1"/>
        <v>3420</v>
      </c>
      <c r="V91" s="46">
        <f t="shared" si="3"/>
        <v>0</v>
      </c>
      <c r="W91" s="45"/>
    </row>
    <row r="92" ht="14.25" customHeight="1">
      <c r="A92" s="38">
        <v>0.4013888888888889</v>
      </c>
      <c r="B92" s="36">
        <v>123.0</v>
      </c>
      <c r="C92" s="36">
        <v>13.0</v>
      </c>
      <c r="D92" s="36">
        <v>1015.0</v>
      </c>
      <c r="E92" s="36">
        <v>977.0</v>
      </c>
      <c r="F92" s="36">
        <v>0.96</v>
      </c>
      <c r="G92" s="36">
        <v>18.0</v>
      </c>
      <c r="H92" s="36">
        <v>1.32</v>
      </c>
      <c r="I92" s="36">
        <v>23.1</v>
      </c>
      <c r="J92" s="36">
        <v>85.4</v>
      </c>
      <c r="K92" s="36">
        <v>96.0</v>
      </c>
      <c r="L92" s="36">
        <v>44.0</v>
      </c>
      <c r="M92" s="36">
        <v>100.0</v>
      </c>
      <c r="N92" s="36">
        <v>50.0</v>
      </c>
      <c r="O92" s="36">
        <v>18.0</v>
      </c>
      <c r="P92" s="36">
        <v>40.0</v>
      </c>
      <c r="Q92" s="36">
        <v>0.44</v>
      </c>
      <c r="R92" s="36">
        <v>1.51</v>
      </c>
      <c r="S92" s="36">
        <v>1.9</v>
      </c>
      <c r="T92" s="36">
        <v>3.42</v>
      </c>
      <c r="U92" s="21">
        <f t="shared" si="1"/>
        <v>3420</v>
      </c>
      <c r="V92" s="46">
        <f t="shared" si="3"/>
        <v>78400</v>
      </c>
      <c r="W92" s="45"/>
    </row>
    <row r="93" ht="14.25" customHeight="1">
      <c r="A93" s="38">
        <v>0.4048611111111111</v>
      </c>
      <c r="B93" s="36">
        <v>125.0</v>
      </c>
      <c r="C93" s="36">
        <v>13.3</v>
      </c>
      <c r="D93" s="36">
        <v>1037.0</v>
      </c>
      <c r="E93" s="36">
        <v>1001.0</v>
      </c>
      <c r="F93" s="36">
        <v>0.96</v>
      </c>
      <c r="G93" s="36">
        <v>16.0</v>
      </c>
      <c r="H93" s="36">
        <v>1.44</v>
      </c>
      <c r="I93" s="36">
        <v>23.3</v>
      </c>
      <c r="J93" s="36">
        <v>85.2</v>
      </c>
      <c r="K93" s="36">
        <v>97.0</v>
      </c>
      <c r="L93" s="36">
        <v>43.6</v>
      </c>
      <c r="M93" s="36">
        <v>99.0</v>
      </c>
      <c r="N93" s="36">
        <v>50.0</v>
      </c>
      <c r="O93" s="36">
        <v>16.0</v>
      </c>
      <c r="P93" s="36">
        <v>40.0</v>
      </c>
      <c r="Q93" s="36">
        <v>0.44</v>
      </c>
      <c r="R93" s="36">
        <v>1.62</v>
      </c>
      <c r="S93" s="36">
        <v>2.08</v>
      </c>
      <c r="T93" s="36">
        <v>3.7</v>
      </c>
      <c r="U93" s="21">
        <f t="shared" si="1"/>
        <v>3700</v>
      </c>
      <c r="V93" s="46">
        <f t="shared" si="3"/>
        <v>36100</v>
      </c>
      <c r="W93" s="45"/>
    </row>
    <row r="94" ht="14.25" customHeight="1">
      <c r="A94" s="38">
        <v>0.40694444444444444</v>
      </c>
      <c r="B94" s="36">
        <v>126.0</v>
      </c>
      <c r="C94" s="36">
        <v>13.4</v>
      </c>
      <c r="D94" s="36">
        <v>1046.0</v>
      </c>
      <c r="E94" s="36">
        <v>1014.0</v>
      </c>
      <c r="F94" s="36">
        <v>0.97</v>
      </c>
      <c r="G94" s="36">
        <v>15.0</v>
      </c>
      <c r="H94" s="36">
        <v>1.54</v>
      </c>
      <c r="I94" s="36">
        <v>23.7</v>
      </c>
      <c r="J94" s="36">
        <v>85.0</v>
      </c>
      <c r="K94" s="36">
        <v>97.0</v>
      </c>
      <c r="L94" s="36">
        <v>43.6</v>
      </c>
      <c r="M94" s="36">
        <v>99.0</v>
      </c>
      <c r="N94" s="36">
        <v>50.0</v>
      </c>
      <c r="O94" s="36">
        <v>15.0</v>
      </c>
      <c r="P94" s="36">
        <v>41.0</v>
      </c>
      <c r="Q94" s="36">
        <v>0.44</v>
      </c>
      <c r="R94" s="36">
        <v>1.73</v>
      </c>
      <c r="S94" s="36">
        <v>2.16</v>
      </c>
      <c r="T94" s="36">
        <v>3.89</v>
      </c>
      <c r="U94" s="21">
        <f t="shared" si="1"/>
        <v>3890</v>
      </c>
      <c r="V94" s="46">
        <f t="shared" si="3"/>
        <v>400</v>
      </c>
      <c r="W94" s="45"/>
    </row>
    <row r="95" ht="14.25" customHeight="1">
      <c r="A95" s="38">
        <v>0.4097222222222222</v>
      </c>
      <c r="B95" s="36">
        <v>127.0</v>
      </c>
      <c r="C95" s="36">
        <v>13.1</v>
      </c>
      <c r="D95" s="36">
        <v>1019.0</v>
      </c>
      <c r="E95" s="36">
        <v>989.0</v>
      </c>
      <c r="F95" s="36">
        <v>0.97</v>
      </c>
      <c r="G95" s="36">
        <v>16.0</v>
      </c>
      <c r="H95" s="36">
        <v>1.48</v>
      </c>
      <c r="I95" s="36">
        <v>23.0</v>
      </c>
      <c r="J95" s="36">
        <v>85.5</v>
      </c>
      <c r="K95" s="36">
        <v>101.0</v>
      </c>
      <c r="L95" s="36">
        <v>41.4</v>
      </c>
      <c r="M95" s="36">
        <v>99.0</v>
      </c>
      <c r="N95" s="36">
        <v>50.0</v>
      </c>
      <c r="O95" s="36">
        <v>16.0</v>
      </c>
      <c r="P95" s="36">
        <v>40.0</v>
      </c>
      <c r="Q95" s="36">
        <v>0.44</v>
      </c>
      <c r="R95" s="36">
        <v>1.68</v>
      </c>
      <c r="S95" s="36">
        <v>2.18</v>
      </c>
      <c r="T95" s="36">
        <v>3.87</v>
      </c>
      <c r="U95" s="21">
        <f t="shared" si="1"/>
        <v>3870</v>
      </c>
      <c r="V95" s="46">
        <f t="shared" si="3"/>
        <v>12100</v>
      </c>
      <c r="W95" s="45"/>
    </row>
    <row r="96" ht="14.25" customHeight="1">
      <c r="A96" s="38">
        <v>0.4131944444444444</v>
      </c>
      <c r="B96" s="36">
        <v>129.0</v>
      </c>
      <c r="C96" s="36">
        <v>13.6</v>
      </c>
      <c r="D96" s="36">
        <v>1058.0</v>
      </c>
      <c r="E96" s="36">
        <v>1023.0</v>
      </c>
      <c r="F96" s="36">
        <v>0.97</v>
      </c>
      <c r="G96" s="36">
        <v>15.0</v>
      </c>
      <c r="H96" s="36">
        <v>1.56</v>
      </c>
      <c r="I96" s="36">
        <v>23.5</v>
      </c>
      <c r="J96" s="36">
        <v>85.1</v>
      </c>
      <c r="K96" s="36">
        <v>101.0</v>
      </c>
      <c r="L96" s="36">
        <v>41.4</v>
      </c>
      <c r="M96" s="36">
        <v>99.0</v>
      </c>
      <c r="N96" s="36">
        <v>51.0</v>
      </c>
      <c r="O96" s="36">
        <v>15.0</v>
      </c>
      <c r="P96" s="36">
        <v>41.0</v>
      </c>
      <c r="Q96" s="36">
        <v>0.43</v>
      </c>
      <c r="R96" s="36">
        <v>1.72</v>
      </c>
      <c r="S96" s="36">
        <v>2.26</v>
      </c>
      <c r="T96" s="36">
        <v>3.98</v>
      </c>
      <c r="U96" s="21">
        <f t="shared" si="1"/>
        <v>3980</v>
      </c>
      <c r="V96" s="46">
        <f t="shared" si="3"/>
        <v>1600</v>
      </c>
      <c r="W96" s="45"/>
    </row>
    <row r="97" ht="14.25" customHeight="1">
      <c r="A97" s="38">
        <v>0.4152777777777778</v>
      </c>
      <c r="B97" s="36">
        <v>130.0</v>
      </c>
      <c r="C97" s="36">
        <v>14.0</v>
      </c>
      <c r="D97" s="36">
        <v>1091.0</v>
      </c>
      <c r="E97" s="36">
        <v>1051.0</v>
      </c>
      <c r="F97" s="36">
        <v>0.96</v>
      </c>
      <c r="G97" s="36">
        <v>15.0</v>
      </c>
      <c r="H97" s="36">
        <v>1.6</v>
      </c>
      <c r="I97" s="36">
        <v>23.9</v>
      </c>
      <c r="J97" s="36">
        <v>84.9</v>
      </c>
      <c r="K97" s="36">
        <v>102.0</v>
      </c>
      <c r="L97" s="36">
        <v>40.8</v>
      </c>
      <c r="M97" s="36">
        <v>98.0</v>
      </c>
      <c r="N97" s="36">
        <v>51.0</v>
      </c>
      <c r="O97" s="36">
        <v>15.0</v>
      </c>
      <c r="P97" s="36">
        <v>43.0</v>
      </c>
      <c r="Q97" s="36">
        <v>0.43</v>
      </c>
      <c r="R97" s="36">
        <v>1.73</v>
      </c>
      <c r="S97" s="36">
        <v>2.29</v>
      </c>
      <c r="T97" s="36">
        <v>4.02</v>
      </c>
      <c r="U97" s="21">
        <f t="shared" si="1"/>
        <v>4020</v>
      </c>
      <c r="V97" s="46">
        <f t="shared" si="3"/>
        <v>2500</v>
      </c>
      <c r="W97" s="45"/>
    </row>
    <row r="98" ht="14.25" customHeight="1">
      <c r="A98" s="38">
        <v>0.41805555555555557</v>
      </c>
      <c r="B98" s="36">
        <v>131.0</v>
      </c>
      <c r="C98" s="36">
        <v>14.3</v>
      </c>
      <c r="D98" s="36">
        <v>1113.0</v>
      </c>
      <c r="E98" s="36">
        <v>1072.0</v>
      </c>
      <c r="F98" s="36">
        <v>0.96</v>
      </c>
      <c r="G98" s="36">
        <v>15.0</v>
      </c>
      <c r="H98" s="36">
        <v>1.65</v>
      </c>
      <c r="I98" s="36">
        <v>24.3</v>
      </c>
      <c r="J98" s="36">
        <v>84.6</v>
      </c>
      <c r="K98" s="36">
        <v>103.0</v>
      </c>
      <c r="L98" s="36">
        <v>40.2</v>
      </c>
      <c r="M98" s="36">
        <v>97.0</v>
      </c>
      <c r="N98" s="36">
        <v>51.0</v>
      </c>
      <c r="O98" s="36">
        <v>15.0</v>
      </c>
      <c r="P98" s="36">
        <v>43.0</v>
      </c>
      <c r="Q98" s="36">
        <v>0.43</v>
      </c>
      <c r="R98" s="36">
        <v>1.76</v>
      </c>
      <c r="S98" s="36">
        <v>2.31</v>
      </c>
      <c r="T98" s="36">
        <v>4.07</v>
      </c>
      <c r="U98" s="21">
        <f t="shared" si="1"/>
        <v>4070</v>
      </c>
      <c r="V98" s="46">
        <f t="shared" si="3"/>
        <v>100</v>
      </c>
      <c r="W98" s="45"/>
    </row>
    <row r="99" ht="14.25" customHeight="1">
      <c r="A99" s="38">
        <v>0.42083333333333334</v>
      </c>
      <c r="B99" s="36">
        <v>133.0</v>
      </c>
      <c r="C99" s="36">
        <v>14.5</v>
      </c>
      <c r="D99" s="36">
        <v>1132.0</v>
      </c>
      <c r="E99" s="36">
        <v>1088.0</v>
      </c>
      <c r="F99" s="36">
        <v>0.96</v>
      </c>
      <c r="G99" s="36">
        <v>15.0</v>
      </c>
      <c r="H99" s="36">
        <v>1.67</v>
      </c>
      <c r="I99" s="36">
        <v>24.5</v>
      </c>
      <c r="J99" s="36">
        <v>84.5</v>
      </c>
      <c r="K99" s="36">
        <v>104.0</v>
      </c>
      <c r="L99" s="36">
        <v>39.8</v>
      </c>
      <c r="M99" s="36">
        <v>97.0</v>
      </c>
      <c r="N99" s="36">
        <v>52.0</v>
      </c>
      <c r="O99" s="36">
        <v>15.0</v>
      </c>
      <c r="P99" s="36">
        <v>44.0</v>
      </c>
      <c r="Q99" s="36">
        <v>0.43</v>
      </c>
      <c r="R99" s="36">
        <v>1.75</v>
      </c>
      <c r="S99" s="36">
        <v>2.34</v>
      </c>
      <c r="T99" s="36">
        <v>4.08</v>
      </c>
      <c r="U99" s="21">
        <f t="shared" si="1"/>
        <v>4080</v>
      </c>
      <c r="V99" s="46">
        <f t="shared" si="3"/>
        <v>22500</v>
      </c>
      <c r="W99" s="45"/>
    </row>
    <row r="100" ht="14.25" customHeight="1">
      <c r="A100" s="38">
        <v>0.42430555555555555</v>
      </c>
      <c r="B100" s="36">
        <v>135.0</v>
      </c>
      <c r="C100" s="36">
        <v>14.8</v>
      </c>
      <c r="D100" s="36">
        <v>1157.0</v>
      </c>
      <c r="E100" s="36">
        <v>1109.0</v>
      </c>
      <c r="F100" s="36">
        <v>0.96</v>
      </c>
      <c r="G100" s="36">
        <v>15.0</v>
      </c>
      <c r="H100" s="36">
        <v>1.64</v>
      </c>
      <c r="I100" s="36">
        <v>25.1</v>
      </c>
      <c r="J100" s="36">
        <v>84.1</v>
      </c>
      <c r="K100" s="36">
        <v>105.0</v>
      </c>
      <c r="L100" s="36">
        <v>39.2</v>
      </c>
      <c r="M100" s="36">
        <v>97.0</v>
      </c>
      <c r="N100" s="36">
        <v>52.0</v>
      </c>
      <c r="O100" s="36">
        <v>15.0</v>
      </c>
      <c r="P100" s="36">
        <v>45.0</v>
      </c>
      <c r="Q100" s="36">
        <v>0.44</v>
      </c>
      <c r="R100" s="36">
        <v>1.71</v>
      </c>
      <c r="S100" s="36">
        <v>2.22</v>
      </c>
      <c r="T100" s="36">
        <v>3.93</v>
      </c>
      <c r="U100" s="21">
        <f t="shared" si="1"/>
        <v>3930</v>
      </c>
      <c r="V100" s="46">
        <f t="shared" si="3"/>
        <v>19600</v>
      </c>
      <c r="W100" s="45"/>
    </row>
    <row r="101" ht="14.25" customHeight="1">
      <c r="A101" s="38">
        <v>0.4263888888888889</v>
      </c>
      <c r="B101" s="36">
        <v>136.0</v>
      </c>
      <c r="C101" s="36">
        <v>14.9</v>
      </c>
      <c r="D101" s="36">
        <v>1166.0</v>
      </c>
      <c r="E101" s="36">
        <v>1131.0</v>
      </c>
      <c r="F101" s="36">
        <v>0.97</v>
      </c>
      <c r="G101" s="36">
        <v>16.0</v>
      </c>
      <c r="H101" s="36">
        <v>1.63</v>
      </c>
      <c r="I101" s="36">
        <v>25.8</v>
      </c>
      <c r="J101" s="36">
        <v>83.7</v>
      </c>
      <c r="K101" s="36">
        <v>106.0</v>
      </c>
      <c r="L101" s="36">
        <v>38.6</v>
      </c>
      <c r="M101" s="36">
        <v>98.0</v>
      </c>
      <c r="N101" s="36">
        <v>51.0</v>
      </c>
      <c r="O101" s="36">
        <v>16.0</v>
      </c>
      <c r="P101" s="36">
        <v>45.0</v>
      </c>
      <c r="Q101" s="36">
        <v>0.43</v>
      </c>
      <c r="R101" s="36">
        <v>1.63</v>
      </c>
      <c r="S101" s="36">
        <v>2.16</v>
      </c>
      <c r="T101" s="36">
        <v>3.79</v>
      </c>
      <c r="U101" s="21">
        <f t="shared" si="1"/>
        <v>3790</v>
      </c>
      <c r="V101" s="46">
        <f t="shared" si="3"/>
        <v>10000</v>
      </c>
      <c r="W101" s="45"/>
    </row>
    <row r="102" ht="14.25" customHeight="1">
      <c r="A102" s="38">
        <v>0.4284722222222222</v>
      </c>
      <c r="B102" s="36">
        <v>137.0</v>
      </c>
      <c r="C102" s="36">
        <v>15.5</v>
      </c>
      <c r="D102" s="36">
        <v>1212.0</v>
      </c>
      <c r="E102" s="36">
        <v>1194.0</v>
      </c>
      <c r="F102" s="36">
        <v>0.98</v>
      </c>
      <c r="G102" s="36">
        <v>16.0</v>
      </c>
      <c r="H102" s="36">
        <v>1.68</v>
      </c>
      <c r="I102" s="36">
        <v>27.3</v>
      </c>
      <c r="J102" s="36">
        <v>82.7</v>
      </c>
      <c r="K102" s="36">
        <v>107.0</v>
      </c>
      <c r="L102" s="36">
        <v>37.8</v>
      </c>
      <c r="M102" s="36">
        <v>99.0</v>
      </c>
      <c r="N102" s="36">
        <v>51.0</v>
      </c>
      <c r="O102" s="36">
        <v>16.0</v>
      </c>
      <c r="P102" s="36">
        <v>47.0</v>
      </c>
      <c r="Q102" s="36">
        <v>0.44</v>
      </c>
      <c r="R102" s="36">
        <v>1.62</v>
      </c>
      <c r="S102" s="36">
        <v>2.07</v>
      </c>
      <c r="T102" s="36">
        <v>3.69</v>
      </c>
      <c r="U102" s="21">
        <f t="shared" si="1"/>
        <v>3690</v>
      </c>
      <c r="V102" s="46">
        <f t="shared" si="3"/>
        <v>211600</v>
      </c>
      <c r="W102" s="45"/>
    </row>
    <row r="103" ht="14.25" customHeight="1">
      <c r="A103" s="38">
        <v>0.43333333333333335</v>
      </c>
      <c r="B103" s="36">
        <v>139.0</v>
      </c>
      <c r="C103" s="36">
        <v>16.5</v>
      </c>
      <c r="D103" s="36">
        <v>1289.0</v>
      </c>
      <c r="E103" s="36">
        <v>1338.0</v>
      </c>
      <c r="F103" s="36">
        <v>1.04</v>
      </c>
      <c r="G103" s="36">
        <v>14.0</v>
      </c>
      <c r="H103" s="36">
        <v>2.15</v>
      </c>
      <c r="I103" s="36">
        <v>31.0</v>
      </c>
      <c r="J103" s="36">
        <v>80.4</v>
      </c>
      <c r="K103" s="36">
        <v>108.0</v>
      </c>
      <c r="L103" s="36">
        <v>37.0</v>
      </c>
      <c r="M103" s="36">
        <v>99.0</v>
      </c>
      <c r="N103" s="36">
        <v>51.0</v>
      </c>
      <c r="O103" s="36">
        <v>14.0</v>
      </c>
      <c r="P103" s="36">
        <v>50.0</v>
      </c>
      <c r="Q103" s="36">
        <v>0.44</v>
      </c>
      <c r="R103" s="36">
        <v>1.83</v>
      </c>
      <c r="S103" s="36">
        <v>2.33</v>
      </c>
      <c r="T103" s="36">
        <v>4.15</v>
      </c>
      <c r="U103" s="21">
        <f t="shared" si="1"/>
        <v>4150</v>
      </c>
      <c r="V103" s="46">
        <f t="shared" si="3"/>
        <v>102400</v>
      </c>
      <c r="W103" s="45"/>
    </row>
    <row r="104" ht="14.25" customHeight="1">
      <c r="A104" s="38">
        <v>0.43680555555555556</v>
      </c>
      <c r="B104" s="36">
        <v>141.0</v>
      </c>
      <c r="C104" s="36">
        <v>16.2</v>
      </c>
      <c r="D104" s="36">
        <v>1266.0</v>
      </c>
      <c r="E104" s="36">
        <v>1350.0</v>
      </c>
      <c r="F104" s="36">
        <v>1.07</v>
      </c>
      <c r="G104" s="36">
        <v>13.0</v>
      </c>
      <c r="H104" s="36">
        <v>2.35</v>
      </c>
      <c r="I104" s="36">
        <v>31.5</v>
      </c>
      <c r="J104" s="36">
        <v>80.0</v>
      </c>
      <c r="K104" s="36">
        <v>110.0</v>
      </c>
      <c r="L104" s="36">
        <v>36.1</v>
      </c>
      <c r="M104" s="36">
        <v>101.0</v>
      </c>
      <c r="N104" s="36">
        <v>51.0</v>
      </c>
      <c r="O104" s="36">
        <v>13.0</v>
      </c>
      <c r="P104" s="36">
        <v>49.0</v>
      </c>
      <c r="Q104" s="36">
        <v>0.45</v>
      </c>
      <c r="R104" s="36">
        <v>1.99</v>
      </c>
      <c r="S104" s="36">
        <v>2.48</v>
      </c>
      <c r="T104" s="36">
        <v>4.47</v>
      </c>
      <c r="U104" s="21">
        <f t="shared" si="1"/>
        <v>4470</v>
      </c>
      <c r="V104" s="46">
        <f t="shared" si="3"/>
        <v>900</v>
      </c>
      <c r="W104" s="45"/>
    </row>
    <row r="105" ht="14.25" customHeight="1">
      <c r="A105" s="38">
        <v>0.4395833333333333</v>
      </c>
      <c r="B105" s="36">
        <v>142.0</v>
      </c>
      <c r="C105" s="36">
        <v>16.3</v>
      </c>
      <c r="D105" s="36">
        <v>1275.0</v>
      </c>
      <c r="E105" s="36">
        <v>1375.0</v>
      </c>
      <c r="F105" s="36">
        <v>1.08</v>
      </c>
      <c r="G105" s="36">
        <v>14.0</v>
      </c>
      <c r="H105" s="36">
        <v>2.37</v>
      </c>
      <c r="I105" s="36">
        <v>32.1</v>
      </c>
      <c r="J105" s="36">
        <v>79.7</v>
      </c>
      <c r="K105" s="36">
        <v>111.0</v>
      </c>
      <c r="L105" s="36">
        <v>35.4</v>
      </c>
      <c r="M105" s="36">
        <v>102.0</v>
      </c>
      <c r="N105" s="36">
        <v>50.0</v>
      </c>
      <c r="O105" s="36">
        <v>14.0</v>
      </c>
      <c r="P105" s="36">
        <v>50.0</v>
      </c>
      <c r="Q105" s="36">
        <v>0.45</v>
      </c>
      <c r="R105" s="36">
        <v>2.0</v>
      </c>
      <c r="S105" s="36">
        <v>2.43</v>
      </c>
      <c r="T105" s="36">
        <v>4.44</v>
      </c>
      <c r="U105" s="21">
        <f t="shared" si="1"/>
        <v>4440</v>
      </c>
      <c r="V105" s="46">
        <f t="shared" si="3"/>
        <v>152100</v>
      </c>
      <c r="W105" s="45"/>
    </row>
    <row r="106" ht="14.25" customHeight="1">
      <c r="A106" s="38">
        <v>0.4423611111111111</v>
      </c>
      <c r="B106" s="36">
        <v>143.0</v>
      </c>
      <c r="C106" s="36">
        <v>17.1</v>
      </c>
      <c r="D106" s="36">
        <v>1335.0</v>
      </c>
      <c r="E106" s="36">
        <v>1421.0</v>
      </c>
      <c r="F106" s="36">
        <v>1.06</v>
      </c>
      <c r="G106" s="36">
        <v>15.0</v>
      </c>
      <c r="H106" s="36">
        <v>2.22</v>
      </c>
      <c r="I106" s="36">
        <v>32.9</v>
      </c>
      <c r="J106" s="36">
        <v>79.2</v>
      </c>
      <c r="K106" s="36">
        <v>112.0</v>
      </c>
      <c r="L106" s="36">
        <v>34.7</v>
      </c>
      <c r="M106" s="36">
        <v>101.0</v>
      </c>
      <c r="N106" s="36">
        <v>51.0</v>
      </c>
      <c r="O106" s="36">
        <v>15.0</v>
      </c>
      <c r="P106" s="36">
        <v>52.0</v>
      </c>
      <c r="Q106" s="36">
        <v>0.45</v>
      </c>
      <c r="R106" s="36">
        <v>1.82</v>
      </c>
      <c r="S106" s="36">
        <v>2.24</v>
      </c>
      <c r="T106" s="36">
        <v>4.05</v>
      </c>
      <c r="U106" s="21">
        <f t="shared" si="1"/>
        <v>4050</v>
      </c>
      <c r="V106" s="46">
        <f t="shared" si="3"/>
        <v>230400</v>
      </c>
      <c r="W106" s="45"/>
    </row>
    <row r="107" ht="14.25" customHeight="1">
      <c r="A107" s="38">
        <v>0.44513888888888886</v>
      </c>
      <c r="B107" s="36">
        <v>145.0</v>
      </c>
      <c r="C107" s="36">
        <v>16.9</v>
      </c>
      <c r="D107" s="36">
        <v>1319.0</v>
      </c>
      <c r="E107" s="36">
        <v>1367.0</v>
      </c>
      <c r="F107" s="36">
        <v>1.04</v>
      </c>
      <c r="G107" s="36">
        <v>17.0</v>
      </c>
      <c r="H107" s="36">
        <v>1.87</v>
      </c>
      <c r="I107" s="36">
        <v>31.4</v>
      </c>
      <c r="J107" s="36">
        <v>80.1</v>
      </c>
      <c r="K107" s="36">
        <v>113.0</v>
      </c>
      <c r="L107" s="36">
        <v>34.3</v>
      </c>
      <c r="M107" s="36">
        <v>101.0</v>
      </c>
      <c r="N107" s="36">
        <v>50.0</v>
      </c>
      <c r="O107" s="36">
        <v>17.0</v>
      </c>
      <c r="P107" s="36">
        <v>51.0</v>
      </c>
      <c r="Q107" s="36">
        <v>0.47</v>
      </c>
      <c r="R107" s="36">
        <v>1.67</v>
      </c>
      <c r="S107" s="36">
        <v>1.9</v>
      </c>
      <c r="T107" s="36">
        <v>3.57</v>
      </c>
      <c r="U107" s="21">
        <f t="shared" si="1"/>
        <v>3570</v>
      </c>
      <c r="V107" s="46">
        <f t="shared" si="3"/>
        <v>12100</v>
      </c>
      <c r="W107" s="45"/>
    </row>
    <row r="108" ht="14.25" customHeight="1">
      <c r="A108" s="38">
        <v>0.44722222222222224</v>
      </c>
      <c r="B108" s="36">
        <v>146.0</v>
      </c>
      <c r="C108" s="36">
        <v>16.8</v>
      </c>
      <c r="D108" s="36">
        <v>1313.0</v>
      </c>
      <c r="E108" s="36">
        <v>1366.0</v>
      </c>
      <c r="F108" s="36">
        <v>1.04</v>
      </c>
      <c r="G108" s="36">
        <v>16.0</v>
      </c>
      <c r="H108" s="36">
        <v>1.91</v>
      </c>
      <c r="I108" s="36">
        <v>31.2</v>
      </c>
      <c r="J108" s="36">
        <v>80.2</v>
      </c>
      <c r="K108" s="36">
        <v>113.0</v>
      </c>
      <c r="L108" s="36">
        <v>34.1</v>
      </c>
      <c r="M108" s="36">
        <v>101.0</v>
      </c>
      <c r="N108" s="36">
        <v>51.0</v>
      </c>
      <c r="O108" s="36">
        <v>16.0</v>
      </c>
      <c r="P108" s="36">
        <v>51.0</v>
      </c>
      <c r="Q108" s="36">
        <v>0.47</v>
      </c>
      <c r="R108" s="36">
        <v>1.74</v>
      </c>
      <c r="S108" s="36">
        <v>1.94</v>
      </c>
      <c r="T108" s="36">
        <v>3.68</v>
      </c>
      <c r="U108" s="21">
        <f t="shared" si="1"/>
        <v>3680</v>
      </c>
      <c r="V108" s="46">
        <f t="shared" si="3"/>
        <v>4900</v>
      </c>
      <c r="W108" s="45"/>
    </row>
    <row r="109" ht="14.25" customHeight="1">
      <c r="A109" s="38">
        <v>0.44930555555555557</v>
      </c>
      <c r="B109" s="36">
        <v>147.0</v>
      </c>
      <c r="C109" s="36">
        <v>16.8</v>
      </c>
      <c r="D109" s="36">
        <v>1314.0</v>
      </c>
      <c r="E109" s="36">
        <v>1360.0</v>
      </c>
      <c r="F109" s="36">
        <v>1.04</v>
      </c>
      <c r="G109" s="36">
        <v>17.0</v>
      </c>
      <c r="H109" s="36">
        <v>1.86</v>
      </c>
      <c r="I109" s="36">
        <v>30.9</v>
      </c>
      <c r="J109" s="36">
        <v>80.5</v>
      </c>
      <c r="K109" s="36">
        <v>114.0</v>
      </c>
      <c r="L109" s="36">
        <v>34.0</v>
      </c>
      <c r="M109" s="36">
        <v>100.0</v>
      </c>
      <c r="N109" s="36">
        <v>51.0</v>
      </c>
      <c r="O109" s="36">
        <v>17.0</v>
      </c>
      <c r="P109" s="36">
        <v>51.0</v>
      </c>
      <c r="Q109" s="36">
        <v>0.47</v>
      </c>
      <c r="R109" s="36">
        <v>1.7</v>
      </c>
      <c r="S109" s="36">
        <v>1.9</v>
      </c>
      <c r="T109" s="36">
        <v>3.61</v>
      </c>
      <c r="U109" s="21">
        <f t="shared" si="1"/>
        <v>3610</v>
      </c>
      <c r="V109" s="46">
        <f t="shared" si="3"/>
        <v>78400</v>
      </c>
      <c r="W109" s="45"/>
    </row>
    <row r="110" ht="14.25" customHeight="1">
      <c r="A110" s="38">
        <v>0.4534722222222222</v>
      </c>
      <c r="B110" s="36">
        <v>149.0</v>
      </c>
      <c r="C110" s="36">
        <v>16.4</v>
      </c>
      <c r="D110" s="36">
        <v>1280.0</v>
      </c>
      <c r="E110" s="36">
        <v>1337.0</v>
      </c>
      <c r="F110" s="36">
        <v>1.05</v>
      </c>
      <c r="G110" s="36">
        <v>15.0</v>
      </c>
      <c r="H110" s="36">
        <v>1.97</v>
      </c>
      <c r="I110" s="36">
        <v>30.4</v>
      </c>
      <c r="J110" s="36">
        <v>80.8</v>
      </c>
      <c r="K110" s="36">
        <v>114.0</v>
      </c>
      <c r="L110" s="36">
        <v>34.0</v>
      </c>
      <c r="M110" s="36">
        <v>101.0</v>
      </c>
      <c r="N110" s="36">
        <v>51.0</v>
      </c>
      <c r="O110" s="36">
        <v>15.0</v>
      </c>
      <c r="P110" s="36">
        <v>50.0</v>
      </c>
      <c r="Q110" s="36">
        <v>0.45</v>
      </c>
      <c r="R110" s="36">
        <v>1.77</v>
      </c>
      <c r="S110" s="36">
        <v>2.12</v>
      </c>
      <c r="T110" s="36">
        <v>3.89</v>
      </c>
      <c r="U110" s="21">
        <f t="shared" si="1"/>
        <v>3890</v>
      </c>
      <c r="V110" s="46">
        <f t="shared" si="3"/>
        <v>2500</v>
      </c>
      <c r="W110" s="45"/>
    </row>
    <row r="111" ht="14.25" customHeight="1">
      <c r="A111" s="38">
        <v>0.45625</v>
      </c>
      <c r="B111" s="36">
        <v>150.0</v>
      </c>
      <c r="C111" s="36">
        <v>16.9</v>
      </c>
      <c r="D111" s="36">
        <v>1315.0</v>
      </c>
      <c r="E111" s="36">
        <v>1369.0</v>
      </c>
      <c r="F111" s="36">
        <v>1.04</v>
      </c>
      <c r="G111" s="36">
        <v>15.0</v>
      </c>
      <c r="H111" s="36">
        <v>2.03</v>
      </c>
      <c r="I111" s="36">
        <v>30.9</v>
      </c>
      <c r="J111" s="36">
        <v>80.5</v>
      </c>
      <c r="K111" s="36">
        <v>114.0</v>
      </c>
      <c r="L111" s="36">
        <v>34.0</v>
      </c>
      <c r="M111" s="36">
        <v>100.0</v>
      </c>
      <c r="N111" s="36">
        <v>51.0</v>
      </c>
      <c r="O111" s="36">
        <v>15.0</v>
      </c>
      <c r="P111" s="36">
        <v>51.0</v>
      </c>
      <c r="Q111" s="36">
        <v>0.43</v>
      </c>
      <c r="R111" s="36">
        <v>1.71</v>
      </c>
      <c r="S111" s="36">
        <v>2.23</v>
      </c>
      <c r="T111" s="36">
        <v>3.94</v>
      </c>
      <c r="U111" s="21">
        <f t="shared" si="1"/>
        <v>3940</v>
      </c>
      <c r="V111" s="46">
        <f t="shared" si="3"/>
        <v>10000</v>
      </c>
      <c r="W111" s="45"/>
    </row>
    <row r="112" ht="14.25" customHeight="1">
      <c r="A112" s="38">
        <v>0.45902777777777776</v>
      </c>
      <c r="B112" s="36">
        <v>151.0</v>
      </c>
      <c r="C112" s="36">
        <v>17.3</v>
      </c>
      <c r="D112" s="36">
        <v>1351.0</v>
      </c>
      <c r="E112" s="36">
        <v>1407.0</v>
      </c>
      <c r="F112" s="36">
        <v>1.04</v>
      </c>
      <c r="G112" s="36">
        <v>15.0</v>
      </c>
      <c r="H112" s="36">
        <v>2.14</v>
      </c>
      <c r="I112" s="36">
        <v>31.7</v>
      </c>
      <c r="J112" s="36">
        <v>79.9</v>
      </c>
      <c r="K112" s="36">
        <v>114.0</v>
      </c>
      <c r="L112" s="36">
        <v>33.7</v>
      </c>
      <c r="M112" s="36">
        <v>100.0</v>
      </c>
      <c r="N112" s="36">
        <v>51.0</v>
      </c>
      <c r="O112" s="36">
        <v>15.0</v>
      </c>
      <c r="P112" s="36">
        <v>53.0</v>
      </c>
      <c r="Q112" s="36">
        <v>0.44</v>
      </c>
      <c r="R112" s="36">
        <v>1.8</v>
      </c>
      <c r="S112" s="36">
        <v>2.24</v>
      </c>
      <c r="T112" s="36">
        <v>4.04</v>
      </c>
      <c r="U112" s="21">
        <f t="shared" si="1"/>
        <v>4040</v>
      </c>
      <c r="V112" s="46">
        <f t="shared" si="3"/>
        <v>16900</v>
      </c>
      <c r="W112" s="45"/>
    </row>
    <row r="113" ht="14.25" customHeight="1">
      <c r="A113" s="38">
        <v>0.4618055555555556</v>
      </c>
      <c r="B113" s="36">
        <v>153.0</v>
      </c>
      <c r="C113" s="36">
        <v>17.1</v>
      </c>
      <c r="D113" s="36">
        <v>1333.0</v>
      </c>
      <c r="E113" s="36">
        <v>1398.0</v>
      </c>
      <c r="F113" s="36">
        <v>1.05</v>
      </c>
      <c r="G113" s="36">
        <v>14.0</v>
      </c>
      <c r="H113" s="36">
        <v>2.21</v>
      </c>
      <c r="I113" s="36">
        <v>31.8</v>
      </c>
      <c r="J113" s="36">
        <v>79.9</v>
      </c>
      <c r="K113" s="36">
        <v>114.0</v>
      </c>
      <c r="L113" s="36">
        <v>33.8</v>
      </c>
      <c r="M113" s="36">
        <v>100.0</v>
      </c>
      <c r="N113" s="36">
        <v>52.0</v>
      </c>
      <c r="O113" s="36">
        <v>14.0</v>
      </c>
      <c r="P113" s="36">
        <v>52.0</v>
      </c>
      <c r="Q113" s="36">
        <v>0.45</v>
      </c>
      <c r="R113" s="36">
        <v>1.88</v>
      </c>
      <c r="S113" s="36">
        <v>2.29</v>
      </c>
      <c r="T113" s="36">
        <v>4.17</v>
      </c>
      <c r="U113" s="21">
        <f t="shared" si="1"/>
        <v>4170</v>
      </c>
      <c r="V113" s="46">
        <f t="shared" si="3"/>
        <v>1600</v>
      </c>
      <c r="W113" s="45"/>
    </row>
    <row r="114" ht="14.25" customHeight="1">
      <c r="A114" s="38">
        <v>0.46458333333333335</v>
      </c>
      <c r="B114" s="36">
        <v>154.0</v>
      </c>
      <c r="C114" s="36">
        <v>17.1</v>
      </c>
      <c r="D114" s="36">
        <v>1335.0</v>
      </c>
      <c r="E114" s="36">
        <v>1407.0</v>
      </c>
      <c r="F114" s="36">
        <v>1.05</v>
      </c>
      <c r="G114" s="36">
        <v>14.0</v>
      </c>
      <c r="H114" s="36">
        <v>2.23</v>
      </c>
      <c r="I114" s="36">
        <v>31.8</v>
      </c>
      <c r="J114" s="36">
        <v>79.9</v>
      </c>
      <c r="K114" s="36">
        <v>114.0</v>
      </c>
      <c r="L114" s="36">
        <v>33.4</v>
      </c>
      <c r="M114" s="36">
        <v>100.0</v>
      </c>
      <c r="N114" s="36">
        <v>52.0</v>
      </c>
      <c r="O114" s="36">
        <v>14.0</v>
      </c>
      <c r="P114" s="36">
        <v>52.0</v>
      </c>
      <c r="Q114" s="36">
        <v>0.45</v>
      </c>
      <c r="R114" s="36">
        <v>1.89</v>
      </c>
      <c r="S114" s="36">
        <v>2.31</v>
      </c>
      <c r="T114" s="36">
        <v>4.21</v>
      </c>
      <c r="U114" s="21">
        <f t="shared" si="1"/>
        <v>4210</v>
      </c>
      <c r="V114" s="46">
        <f t="shared" si="3"/>
        <v>28900</v>
      </c>
      <c r="W114" s="45"/>
    </row>
    <row r="115" ht="14.25" customHeight="1">
      <c r="A115" s="38">
        <v>0.4673611111111111</v>
      </c>
      <c r="B115" s="36">
        <v>155.0</v>
      </c>
      <c r="C115" s="36">
        <v>17.3</v>
      </c>
      <c r="D115" s="36">
        <v>1351.0</v>
      </c>
      <c r="E115" s="36">
        <v>1430.0</v>
      </c>
      <c r="F115" s="36">
        <v>1.06</v>
      </c>
      <c r="G115" s="36">
        <v>14.0</v>
      </c>
      <c r="H115" s="36">
        <v>2.35</v>
      </c>
      <c r="I115" s="36">
        <v>32.2</v>
      </c>
      <c r="J115" s="36">
        <v>79.6</v>
      </c>
      <c r="K115" s="36">
        <v>117.0</v>
      </c>
      <c r="L115" s="36">
        <v>32.0</v>
      </c>
      <c r="M115" s="36">
        <v>100.0</v>
      </c>
      <c r="N115" s="36">
        <v>52.0</v>
      </c>
      <c r="O115" s="36">
        <v>14.0</v>
      </c>
      <c r="P115" s="36">
        <v>53.0</v>
      </c>
      <c r="Q115" s="36">
        <v>0.44</v>
      </c>
      <c r="R115" s="36">
        <v>1.93</v>
      </c>
      <c r="S115" s="36">
        <v>2.45</v>
      </c>
      <c r="T115" s="36">
        <v>4.38</v>
      </c>
      <c r="U115" s="21">
        <f t="shared" si="1"/>
        <v>4380</v>
      </c>
      <c r="V115" s="46">
        <f t="shared" si="3"/>
        <v>102400</v>
      </c>
      <c r="W115" s="45"/>
    </row>
    <row r="116" ht="14.25" customHeight="1">
      <c r="A116" s="38">
        <v>0.4701388888888889</v>
      </c>
      <c r="B116" s="36">
        <v>157.0</v>
      </c>
      <c r="C116" s="36">
        <v>18.0</v>
      </c>
      <c r="D116" s="36">
        <v>1407.0</v>
      </c>
      <c r="E116" s="36">
        <v>1478.0</v>
      </c>
      <c r="F116" s="36">
        <v>1.05</v>
      </c>
      <c r="G116" s="36">
        <v>15.0</v>
      </c>
      <c r="H116" s="36">
        <v>2.23</v>
      </c>
      <c r="I116" s="36">
        <v>33.0</v>
      </c>
      <c r="J116" s="36">
        <v>79.1</v>
      </c>
      <c r="K116" s="36">
        <v>117.0</v>
      </c>
      <c r="L116" s="36">
        <v>32.0</v>
      </c>
      <c r="M116" s="36">
        <v>99.0</v>
      </c>
      <c r="N116" s="36">
        <v>52.0</v>
      </c>
      <c r="O116" s="36">
        <v>15.0</v>
      </c>
      <c r="P116" s="36">
        <v>55.0</v>
      </c>
      <c r="Q116" s="36">
        <v>0.45</v>
      </c>
      <c r="R116" s="36">
        <v>1.84</v>
      </c>
      <c r="S116" s="36">
        <v>2.22</v>
      </c>
      <c r="T116" s="36">
        <v>4.06</v>
      </c>
      <c r="U116" s="21">
        <f t="shared" si="1"/>
        <v>4060</v>
      </c>
      <c r="V116" s="46">
        <f t="shared" si="3"/>
        <v>28900</v>
      </c>
      <c r="W116" s="45"/>
    </row>
    <row r="117" ht="14.25" customHeight="1">
      <c r="A117" s="38">
        <v>0.4722222222222222</v>
      </c>
      <c r="B117" s="36">
        <v>158.0</v>
      </c>
      <c r="C117" s="36">
        <v>18.6</v>
      </c>
      <c r="D117" s="36">
        <v>1452.0</v>
      </c>
      <c r="E117" s="36">
        <v>1510.0</v>
      </c>
      <c r="F117" s="36">
        <v>1.04</v>
      </c>
      <c r="G117" s="36">
        <v>15.0</v>
      </c>
      <c r="H117" s="36">
        <v>2.15</v>
      </c>
      <c r="I117" s="36">
        <v>33.2</v>
      </c>
      <c r="J117" s="36">
        <v>79.0</v>
      </c>
      <c r="K117" s="36">
        <v>118.0</v>
      </c>
      <c r="L117" s="36">
        <v>31.6</v>
      </c>
      <c r="M117" s="36">
        <v>99.0</v>
      </c>
      <c r="N117" s="36">
        <v>53.0</v>
      </c>
      <c r="O117" s="36">
        <v>15.0</v>
      </c>
      <c r="P117" s="36">
        <v>57.0</v>
      </c>
      <c r="Q117" s="36">
        <v>0.44</v>
      </c>
      <c r="R117" s="36">
        <v>1.71</v>
      </c>
      <c r="S117" s="36">
        <v>2.17</v>
      </c>
      <c r="T117" s="36">
        <v>3.89</v>
      </c>
      <c r="U117" s="21">
        <f t="shared" si="1"/>
        <v>3890</v>
      </c>
      <c r="V117" s="46">
        <f t="shared" si="3"/>
        <v>160000</v>
      </c>
      <c r="W117" s="45"/>
    </row>
    <row r="118" ht="14.25" customHeight="1">
      <c r="A118" s="38">
        <v>0.47638888888888886</v>
      </c>
      <c r="B118" s="36">
        <v>160.0</v>
      </c>
      <c r="C118" s="36">
        <v>18.2</v>
      </c>
      <c r="D118" s="36">
        <v>1418.0</v>
      </c>
      <c r="E118" s="36">
        <v>1509.0</v>
      </c>
      <c r="F118" s="36">
        <v>1.06</v>
      </c>
      <c r="G118" s="36">
        <v>14.0</v>
      </c>
      <c r="H118" s="36">
        <v>2.41</v>
      </c>
      <c r="I118" s="36">
        <v>33.6</v>
      </c>
      <c r="J118" s="36">
        <v>78.7</v>
      </c>
      <c r="K118" s="36">
        <v>118.0</v>
      </c>
      <c r="L118" s="36">
        <v>31.5</v>
      </c>
      <c r="M118" s="36">
        <v>100.0</v>
      </c>
      <c r="N118" s="36">
        <v>52.0</v>
      </c>
      <c r="O118" s="36">
        <v>14.0</v>
      </c>
      <c r="P118" s="36">
        <v>55.0</v>
      </c>
      <c r="Q118" s="36">
        <v>0.47</v>
      </c>
      <c r="R118" s="36">
        <v>2.0</v>
      </c>
      <c r="S118" s="36">
        <v>2.29</v>
      </c>
      <c r="T118" s="36">
        <v>4.29</v>
      </c>
      <c r="U118" s="21">
        <f t="shared" si="1"/>
        <v>4290</v>
      </c>
      <c r="V118" s="46">
        <f t="shared" si="3"/>
        <v>2500</v>
      </c>
      <c r="W118" s="45"/>
    </row>
    <row r="119" ht="14.25" customHeight="1">
      <c r="A119" s="38">
        <v>0.4798611111111111</v>
      </c>
      <c r="B119" s="36">
        <v>161.0</v>
      </c>
      <c r="C119" s="36">
        <v>18.2</v>
      </c>
      <c r="D119" s="36">
        <v>1420.0</v>
      </c>
      <c r="E119" s="36">
        <v>1512.0</v>
      </c>
      <c r="F119" s="36">
        <v>1.06</v>
      </c>
      <c r="G119" s="36">
        <v>14.0</v>
      </c>
      <c r="H119" s="36">
        <v>2.41</v>
      </c>
      <c r="I119" s="36">
        <v>33.3</v>
      </c>
      <c r="J119" s="36">
        <v>78.9</v>
      </c>
      <c r="K119" s="36">
        <v>118.0</v>
      </c>
      <c r="L119" s="36">
        <v>31.3</v>
      </c>
      <c r="M119" s="36">
        <v>100.0</v>
      </c>
      <c r="N119" s="36">
        <v>53.0</v>
      </c>
      <c r="O119" s="36">
        <v>14.0</v>
      </c>
      <c r="P119" s="36">
        <v>55.0</v>
      </c>
      <c r="Q119" s="36">
        <v>0.45</v>
      </c>
      <c r="R119" s="36">
        <v>1.96</v>
      </c>
      <c r="S119" s="36">
        <v>2.37</v>
      </c>
      <c r="T119" s="36">
        <v>4.34</v>
      </c>
      <c r="U119" s="21">
        <f t="shared" si="1"/>
        <v>4340</v>
      </c>
      <c r="V119" s="46">
        <f t="shared" si="3"/>
        <v>202500</v>
      </c>
      <c r="W119" s="45"/>
    </row>
    <row r="120" ht="14.25" customHeight="1">
      <c r="A120" s="38">
        <v>0.48194444444444445</v>
      </c>
      <c r="B120" s="36">
        <v>162.0</v>
      </c>
      <c r="C120" s="36">
        <v>19.0</v>
      </c>
      <c r="D120" s="36">
        <v>1480.0</v>
      </c>
      <c r="E120" s="36">
        <v>1547.0</v>
      </c>
      <c r="F120" s="36">
        <v>1.05</v>
      </c>
      <c r="G120" s="36">
        <v>15.0</v>
      </c>
      <c r="H120" s="36">
        <v>2.19</v>
      </c>
      <c r="I120" s="36">
        <v>33.8</v>
      </c>
      <c r="J120" s="36">
        <v>78.6</v>
      </c>
      <c r="K120" s="36">
        <v>118.0</v>
      </c>
      <c r="L120" s="36">
        <v>31.3</v>
      </c>
      <c r="M120" s="36">
        <v>99.0</v>
      </c>
      <c r="N120" s="36">
        <v>53.0</v>
      </c>
      <c r="O120" s="36">
        <v>15.0</v>
      </c>
      <c r="P120" s="36">
        <v>58.0</v>
      </c>
      <c r="Q120" s="36">
        <v>0.45</v>
      </c>
      <c r="R120" s="36">
        <v>1.74</v>
      </c>
      <c r="S120" s="36">
        <v>2.15</v>
      </c>
      <c r="T120" s="36">
        <v>3.89</v>
      </c>
      <c r="U120" s="21">
        <f t="shared" si="1"/>
        <v>3890</v>
      </c>
      <c r="V120" s="46">
        <f t="shared" si="3"/>
        <v>32400</v>
      </c>
      <c r="W120" s="45"/>
    </row>
    <row r="121" ht="14.25" customHeight="1">
      <c r="A121" s="38">
        <v>0.4840277777777778</v>
      </c>
      <c r="B121" s="36">
        <v>163.0</v>
      </c>
      <c r="C121" s="36">
        <v>19.8</v>
      </c>
      <c r="D121" s="36">
        <v>1548.0</v>
      </c>
      <c r="E121" s="36">
        <v>1630.0</v>
      </c>
      <c r="F121" s="36">
        <v>1.05</v>
      </c>
      <c r="G121" s="36">
        <v>16.0</v>
      </c>
      <c r="H121" s="36">
        <v>2.22</v>
      </c>
      <c r="I121" s="36">
        <v>35.8</v>
      </c>
      <c r="J121" s="36">
        <v>77.3</v>
      </c>
      <c r="K121" s="36">
        <v>120.0</v>
      </c>
      <c r="L121" s="36">
        <v>30.1</v>
      </c>
      <c r="M121" s="36">
        <v>100.0</v>
      </c>
      <c r="N121" s="36">
        <v>52.0</v>
      </c>
      <c r="O121" s="36">
        <v>16.0</v>
      </c>
      <c r="P121" s="36">
        <v>60.0</v>
      </c>
      <c r="Q121" s="36">
        <v>0.45</v>
      </c>
      <c r="R121" s="36">
        <v>1.66</v>
      </c>
      <c r="S121" s="36">
        <v>2.05</v>
      </c>
      <c r="T121" s="36">
        <v>3.71</v>
      </c>
      <c r="U121" s="21">
        <f t="shared" si="1"/>
        <v>3710</v>
      </c>
      <c r="V121" s="46">
        <f t="shared" si="3"/>
        <v>16900</v>
      </c>
      <c r="W121" s="45"/>
    </row>
    <row r="122" ht="14.25" customHeight="1">
      <c r="A122" s="38">
        <v>0.48680555555555555</v>
      </c>
      <c r="B122" s="36">
        <v>165.0</v>
      </c>
      <c r="C122" s="36">
        <v>20.3</v>
      </c>
      <c r="D122" s="36">
        <v>1581.0</v>
      </c>
      <c r="E122" s="36">
        <v>1685.0</v>
      </c>
      <c r="F122" s="36">
        <v>1.07</v>
      </c>
      <c r="G122" s="36">
        <v>17.0</v>
      </c>
      <c r="H122" s="36">
        <v>2.24</v>
      </c>
      <c r="I122" s="36">
        <v>37.4</v>
      </c>
      <c r="J122" s="36">
        <v>76.3</v>
      </c>
      <c r="K122" s="36">
        <v>120.0</v>
      </c>
      <c r="L122" s="36">
        <v>30.1</v>
      </c>
      <c r="M122" s="36">
        <v>101.0</v>
      </c>
      <c r="N122" s="36">
        <v>52.0</v>
      </c>
      <c r="O122" s="36">
        <v>17.0</v>
      </c>
      <c r="P122" s="36">
        <v>62.0</v>
      </c>
      <c r="Q122" s="36">
        <v>0.47</v>
      </c>
      <c r="R122" s="36">
        <v>1.69</v>
      </c>
      <c r="S122" s="36">
        <v>1.89</v>
      </c>
      <c r="T122" s="36">
        <v>3.58</v>
      </c>
      <c r="U122" s="21">
        <f t="shared" si="1"/>
        <v>3580</v>
      </c>
      <c r="V122" s="46">
        <f t="shared" si="3"/>
        <v>12100</v>
      </c>
      <c r="W122" s="45"/>
    </row>
    <row r="123" ht="14.25" customHeight="1">
      <c r="A123" s="38">
        <v>0.4888888888888889</v>
      </c>
      <c r="B123" s="36">
        <v>166.0</v>
      </c>
      <c r="C123" s="36">
        <v>20.2</v>
      </c>
      <c r="D123" s="36">
        <v>1572.0</v>
      </c>
      <c r="E123" s="36">
        <v>1700.0</v>
      </c>
      <c r="F123" s="36">
        <v>1.08</v>
      </c>
      <c r="G123" s="36">
        <v>17.0</v>
      </c>
      <c r="H123" s="36">
        <v>2.19</v>
      </c>
      <c r="I123" s="36">
        <v>37.8</v>
      </c>
      <c r="J123" s="36">
        <v>76.1</v>
      </c>
      <c r="K123" s="36">
        <v>121.0</v>
      </c>
      <c r="L123" s="36">
        <v>29.5</v>
      </c>
      <c r="M123" s="36">
        <v>101.0</v>
      </c>
      <c r="N123" s="36">
        <v>52.0</v>
      </c>
      <c r="O123" s="36">
        <v>17.0</v>
      </c>
      <c r="P123" s="36">
        <v>61.0</v>
      </c>
      <c r="Q123" s="36">
        <v>0.46</v>
      </c>
      <c r="R123" s="36">
        <v>1.61</v>
      </c>
      <c r="S123" s="36">
        <v>1.87</v>
      </c>
      <c r="T123" s="36">
        <v>3.47</v>
      </c>
      <c r="U123" s="21">
        <f t="shared" si="1"/>
        <v>3470</v>
      </c>
      <c r="V123" s="46">
        <f t="shared" si="3"/>
        <v>16900</v>
      </c>
      <c r="W123" s="45"/>
    </row>
    <row r="124" ht="14.25" customHeight="1">
      <c r="A124" s="38">
        <v>0.49166666666666664</v>
      </c>
      <c r="B124" s="36">
        <v>167.0</v>
      </c>
      <c r="C124" s="36">
        <v>20.8</v>
      </c>
      <c r="D124" s="36">
        <v>1623.0</v>
      </c>
      <c r="E124" s="36">
        <v>1792.0</v>
      </c>
      <c r="F124" s="36">
        <v>1.1</v>
      </c>
      <c r="G124" s="36">
        <v>17.0</v>
      </c>
      <c r="H124" s="36">
        <v>2.4</v>
      </c>
      <c r="I124" s="36">
        <v>39.9</v>
      </c>
      <c r="J124" s="36">
        <v>74.7</v>
      </c>
      <c r="K124" s="36">
        <v>121.0</v>
      </c>
      <c r="L124" s="36">
        <v>29.5</v>
      </c>
      <c r="M124" s="36">
        <v>102.0</v>
      </c>
      <c r="N124" s="36">
        <v>52.0</v>
      </c>
      <c r="O124" s="36">
        <v>17.0</v>
      </c>
      <c r="P124" s="36">
        <v>63.0</v>
      </c>
      <c r="Q124" s="36">
        <v>0.47</v>
      </c>
      <c r="R124" s="36">
        <v>1.71</v>
      </c>
      <c r="S124" s="36">
        <v>1.9</v>
      </c>
      <c r="T124" s="36">
        <v>3.6</v>
      </c>
      <c r="U124" s="21">
        <f t="shared" si="1"/>
        <v>3600</v>
      </c>
      <c r="V124" s="46">
        <f t="shared" si="3"/>
        <v>0</v>
      </c>
      <c r="W124" s="45"/>
    </row>
    <row r="125" ht="14.25" customHeight="1">
      <c r="A125" s="38">
        <v>0.49375</v>
      </c>
      <c r="B125" s="36">
        <v>168.0</v>
      </c>
      <c r="C125" s="36">
        <v>20.8</v>
      </c>
      <c r="D125" s="36">
        <v>1623.0</v>
      </c>
      <c r="E125" s="36">
        <v>1792.0</v>
      </c>
      <c r="F125" s="36">
        <v>1.1</v>
      </c>
      <c r="G125" s="36">
        <v>17.0</v>
      </c>
      <c r="H125" s="36">
        <v>2.4</v>
      </c>
      <c r="I125" s="36">
        <v>39.9</v>
      </c>
      <c r="J125" s="36">
        <v>74.7</v>
      </c>
      <c r="K125" s="36">
        <v>121.0</v>
      </c>
      <c r="L125" s="36">
        <v>29.5</v>
      </c>
      <c r="M125" s="36">
        <v>102.0</v>
      </c>
      <c r="N125" s="36">
        <v>52.0</v>
      </c>
      <c r="O125" s="36">
        <v>17.0</v>
      </c>
      <c r="P125" s="36">
        <v>63.0</v>
      </c>
      <c r="Q125" s="36">
        <v>0.47</v>
      </c>
      <c r="R125" s="36">
        <v>1.71</v>
      </c>
      <c r="S125" s="36">
        <v>1.9</v>
      </c>
      <c r="T125" s="36">
        <v>3.6</v>
      </c>
      <c r="U125" s="21">
        <f t="shared" si="1"/>
        <v>3600</v>
      </c>
      <c r="V125" s="46">
        <f t="shared" si="3"/>
        <v>14400</v>
      </c>
      <c r="W125" s="45"/>
    </row>
    <row r="126" ht="14.25" customHeight="1">
      <c r="A126" s="38">
        <v>0.4965277777777778</v>
      </c>
      <c r="B126" s="36">
        <v>169.0</v>
      </c>
      <c r="C126" s="36">
        <v>21.9</v>
      </c>
      <c r="D126" s="36">
        <v>1710.0</v>
      </c>
      <c r="E126" s="36">
        <v>1886.0</v>
      </c>
      <c r="F126" s="36">
        <v>1.1</v>
      </c>
      <c r="G126" s="36">
        <v>17.0</v>
      </c>
      <c r="H126" s="36">
        <v>2.46</v>
      </c>
      <c r="I126" s="36">
        <v>42.4</v>
      </c>
      <c r="J126" s="36">
        <v>73.2</v>
      </c>
      <c r="K126" s="36">
        <v>121.0</v>
      </c>
      <c r="L126" s="36">
        <v>29.5</v>
      </c>
      <c r="M126" s="36">
        <v>102.0</v>
      </c>
      <c r="N126" s="36">
        <v>51.0</v>
      </c>
      <c r="O126" s="36">
        <v>17.0</v>
      </c>
      <c r="P126" s="36">
        <v>67.0</v>
      </c>
      <c r="Q126" s="36">
        <v>0.49</v>
      </c>
      <c r="R126" s="36">
        <v>1.72</v>
      </c>
      <c r="S126" s="36">
        <v>1.76</v>
      </c>
      <c r="T126" s="36">
        <v>3.48</v>
      </c>
      <c r="U126" s="21">
        <f t="shared" si="1"/>
        <v>3480</v>
      </c>
      <c r="V126" s="46">
        <f t="shared" si="3"/>
        <v>16900</v>
      </c>
      <c r="W126" s="45"/>
    </row>
    <row r="127" ht="14.25" customHeight="1">
      <c r="A127" s="38">
        <v>0.49930555555555556</v>
      </c>
      <c r="B127" s="36">
        <v>171.0</v>
      </c>
      <c r="C127" s="36">
        <v>20.7</v>
      </c>
      <c r="D127" s="36">
        <v>1611.0</v>
      </c>
      <c r="E127" s="36">
        <v>1835.0</v>
      </c>
      <c r="F127" s="36">
        <v>1.14</v>
      </c>
      <c r="G127" s="36">
        <v>17.0</v>
      </c>
      <c r="H127" s="36">
        <v>2.51</v>
      </c>
      <c r="I127" s="36">
        <v>41.6</v>
      </c>
      <c r="J127" s="36">
        <v>73.7</v>
      </c>
      <c r="K127" s="36">
        <v>121.0</v>
      </c>
      <c r="L127" s="36">
        <v>29.4</v>
      </c>
      <c r="M127" s="36">
        <v>104.0</v>
      </c>
      <c r="N127" s="36">
        <v>51.0</v>
      </c>
      <c r="O127" s="36">
        <v>17.0</v>
      </c>
      <c r="P127" s="36">
        <v>63.0</v>
      </c>
      <c r="Q127" s="36">
        <v>0.49</v>
      </c>
      <c r="R127" s="36">
        <v>1.76</v>
      </c>
      <c r="S127" s="36">
        <v>1.85</v>
      </c>
      <c r="T127" s="36">
        <v>3.61</v>
      </c>
      <c r="U127" s="21">
        <f t="shared" si="1"/>
        <v>3610</v>
      </c>
      <c r="V127" s="46">
        <f t="shared" si="3"/>
        <v>12100</v>
      </c>
      <c r="W127" s="45"/>
    </row>
    <row r="128" ht="14.25" customHeight="1">
      <c r="A128" s="38">
        <v>0.5020833333333333</v>
      </c>
      <c r="B128" s="36">
        <v>172.0</v>
      </c>
      <c r="C128" s="36">
        <v>20.5</v>
      </c>
      <c r="D128" s="36">
        <v>1598.0</v>
      </c>
      <c r="E128" s="36">
        <v>1846.0</v>
      </c>
      <c r="F128" s="36">
        <v>1.16</v>
      </c>
      <c r="G128" s="36">
        <v>16.0</v>
      </c>
      <c r="H128" s="36">
        <v>2.58</v>
      </c>
      <c r="I128" s="36">
        <v>41.7</v>
      </c>
      <c r="J128" s="36">
        <v>73.6</v>
      </c>
      <c r="K128" s="36">
        <v>121.0</v>
      </c>
      <c r="L128" s="36">
        <v>29.4</v>
      </c>
      <c r="M128" s="36">
        <v>104.0</v>
      </c>
      <c r="N128" s="36">
        <v>51.0</v>
      </c>
      <c r="O128" s="36">
        <v>16.0</v>
      </c>
      <c r="P128" s="36">
        <v>62.0</v>
      </c>
      <c r="Q128" s="36">
        <v>0.49</v>
      </c>
      <c r="R128" s="36">
        <v>1.83</v>
      </c>
      <c r="S128" s="36">
        <v>1.88</v>
      </c>
      <c r="T128" s="36">
        <v>3.72</v>
      </c>
      <c r="U128" s="21">
        <f t="shared" si="1"/>
        <v>3720</v>
      </c>
      <c r="V128" s="46">
        <f t="shared" si="3"/>
        <v>36100</v>
      </c>
      <c r="W128" s="45"/>
    </row>
    <row r="129" ht="14.25" customHeight="1">
      <c r="A129" s="38">
        <v>0.5048611111111111</v>
      </c>
      <c r="B129" s="36">
        <v>173.0</v>
      </c>
      <c r="C129" s="36">
        <v>20.0</v>
      </c>
      <c r="D129" s="36">
        <v>1557.0</v>
      </c>
      <c r="E129" s="36">
        <v>1820.0</v>
      </c>
      <c r="F129" s="36">
        <v>1.17</v>
      </c>
      <c r="G129" s="36">
        <v>15.0</v>
      </c>
      <c r="H129" s="36">
        <v>2.67</v>
      </c>
      <c r="I129" s="36">
        <v>40.9</v>
      </c>
      <c r="J129" s="36">
        <v>74.1</v>
      </c>
      <c r="K129" s="36">
        <v>122.0</v>
      </c>
      <c r="L129" s="36">
        <v>29.0</v>
      </c>
      <c r="M129" s="36">
        <v>104.0</v>
      </c>
      <c r="N129" s="36">
        <v>51.0</v>
      </c>
      <c r="O129" s="36">
        <v>15.0</v>
      </c>
      <c r="P129" s="36">
        <v>61.0</v>
      </c>
      <c r="Q129" s="36">
        <v>0.5</v>
      </c>
      <c r="R129" s="36">
        <v>1.96</v>
      </c>
      <c r="S129" s="36">
        <v>1.96</v>
      </c>
      <c r="T129" s="36">
        <v>3.91</v>
      </c>
      <c r="U129" s="21">
        <f t="shared" si="1"/>
        <v>3910</v>
      </c>
      <c r="V129" s="46">
        <f t="shared" si="3"/>
        <v>28900</v>
      </c>
      <c r="W129" s="45"/>
    </row>
    <row r="130" ht="14.25" customHeight="1">
      <c r="A130" s="38">
        <v>0.5076388888888889</v>
      </c>
      <c r="B130" s="36">
        <v>175.0</v>
      </c>
      <c r="C130" s="36">
        <v>20.6</v>
      </c>
      <c r="D130" s="36">
        <v>1607.0</v>
      </c>
      <c r="E130" s="36">
        <v>1885.0</v>
      </c>
      <c r="F130" s="36">
        <v>1.17</v>
      </c>
      <c r="G130" s="36">
        <v>15.0</v>
      </c>
      <c r="H130" s="36">
        <v>2.85</v>
      </c>
      <c r="I130" s="36">
        <v>41.9</v>
      </c>
      <c r="J130" s="36">
        <v>73.5</v>
      </c>
      <c r="K130" s="36">
        <v>125.0</v>
      </c>
      <c r="L130" s="36">
        <v>27.5</v>
      </c>
      <c r="M130" s="36">
        <v>104.0</v>
      </c>
      <c r="N130" s="36">
        <v>52.0</v>
      </c>
      <c r="O130" s="36">
        <v>15.0</v>
      </c>
      <c r="P130" s="36">
        <v>63.0</v>
      </c>
      <c r="Q130" s="36">
        <v>0.5</v>
      </c>
      <c r="R130" s="36">
        <v>2.03</v>
      </c>
      <c r="S130" s="36">
        <v>2.05</v>
      </c>
      <c r="T130" s="36">
        <v>4.08</v>
      </c>
      <c r="U130" s="21">
        <f t="shared" si="1"/>
        <v>4080</v>
      </c>
      <c r="V130" s="46">
        <f t="shared" si="3"/>
        <v>3600</v>
      </c>
      <c r="W130" s="45"/>
    </row>
    <row r="131" ht="14.25" customHeight="1">
      <c r="A131" s="38">
        <v>0.5104166666666666</v>
      </c>
      <c r="B131" s="36">
        <v>176.0</v>
      </c>
      <c r="C131" s="36">
        <v>20.4</v>
      </c>
      <c r="D131" s="36">
        <v>1595.0</v>
      </c>
      <c r="E131" s="36">
        <v>1875.0</v>
      </c>
      <c r="F131" s="36">
        <v>1.18</v>
      </c>
      <c r="G131" s="36">
        <v>14.0</v>
      </c>
      <c r="H131" s="36">
        <v>2.86</v>
      </c>
      <c r="I131" s="36">
        <v>41.4</v>
      </c>
      <c r="J131" s="36">
        <v>73.8</v>
      </c>
      <c r="K131" s="36">
        <v>126.0</v>
      </c>
      <c r="L131" s="36">
        <v>26.6</v>
      </c>
      <c r="M131" s="36">
        <v>104.0</v>
      </c>
      <c r="N131" s="36">
        <v>52.0</v>
      </c>
      <c r="O131" s="36">
        <v>14.0</v>
      </c>
      <c r="P131" s="36">
        <v>62.0</v>
      </c>
      <c r="Q131" s="36">
        <v>0.52</v>
      </c>
      <c r="R131" s="36">
        <v>2.13</v>
      </c>
      <c r="S131" s="36">
        <v>2.01</v>
      </c>
      <c r="T131" s="36">
        <v>4.14</v>
      </c>
      <c r="U131" s="21">
        <f t="shared" si="1"/>
        <v>4140</v>
      </c>
      <c r="V131" s="46"/>
      <c r="W131" s="45"/>
    </row>
    <row r="132" ht="14.25" customHeight="1">
      <c r="A132" s="36" t="s">
        <v>81</v>
      </c>
      <c r="U132" s="21">
        <f t="shared" si="1"/>
        <v>0</v>
      </c>
      <c r="V132" s="46"/>
      <c r="W132" s="45"/>
    </row>
    <row r="133" ht="14.25" customHeight="1">
      <c r="A133" s="38">
        <v>0.5138888888888888</v>
      </c>
      <c r="B133" s="36">
        <v>177.0</v>
      </c>
      <c r="C133" s="36">
        <v>21.1</v>
      </c>
      <c r="D133" s="36">
        <v>1646.0</v>
      </c>
      <c r="E133" s="36">
        <v>1910.0</v>
      </c>
      <c r="F133" s="36">
        <v>1.16</v>
      </c>
      <c r="G133" s="36">
        <v>15.0</v>
      </c>
      <c r="H133" s="36">
        <v>2.86</v>
      </c>
      <c r="I133" s="36">
        <v>41.6</v>
      </c>
      <c r="J133" s="36">
        <v>73.7</v>
      </c>
      <c r="K133" s="36">
        <v>128.0</v>
      </c>
      <c r="L133" s="36">
        <v>25.8</v>
      </c>
      <c r="M133" s="36">
        <v>103.0</v>
      </c>
      <c r="N133" s="36">
        <v>52.0</v>
      </c>
      <c r="O133" s="36">
        <v>15.0</v>
      </c>
      <c r="P133" s="36">
        <v>64.0</v>
      </c>
      <c r="Q133" s="36">
        <v>0.5</v>
      </c>
      <c r="R133" s="36">
        <v>2.06</v>
      </c>
      <c r="S133" s="4">
        <v>4.01</v>
      </c>
      <c r="T133" s="4">
        <v>6.13</v>
      </c>
      <c r="U133" s="21">
        <f t="shared" si="1"/>
        <v>6130</v>
      </c>
      <c r="V133" s="46">
        <f t="shared" ref="V133:V140" si="4">(U133-U134)^2</f>
        <v>400</v>
      </c>
      <c r="W133" s="45">
        <f>SQRT(AVERAGE(V133:V209))</f>
        <v>172.1535422</v>
      </c>
    </row>
    <row r="134" ht="14.25" customHeight="1">
      <c r="A134" s="38">
        <v>0.5152777777777777</v>
      </c>
      <c r="B134" s="36">
        <v>178.0</v>
      </c>
      <c r="C134" s="36">
        <v>21.1</v>
      </c>
      <c r="D134" s="36">
        <v>1646.0</v>
      </c>
      <c r="E134" s="36">
        <v>1909.0</v>
      </c>
      <c r="F134" s="36">
        <v>1.16</v>
      </c>
      <c r="G134" s="36">
        <v>16.0</v>
      </c>
      <c r="H134" s="36">
        <v>2.86</v>
      </c>
      <c r="I134" s="36">
        <v>41.6</v>
      </c>
      <c r="J134" s="36">
        <v>73.7</v>
      </c>
      <c r="K134" s="36">
        <v>128.0</v>
      </c>
      <c r="L134" s="36">
        <v>25.8</v>
      </c>
      <c r="M134" s="36">
        <v>103.0</v>
      </c>
      <c r="N134" s="36">
        <v>52.0</v>
      </c>
      <c r="O134" s="36">
        <v>15.0</v>
      </c>
      <c r="P134" s="36">
        <v>64.0</v>
      </c>
      <c r="Q134" s="36">
        <v>0.5</v>
      </c>
      <c r="R134" s="36">
        <v>2.06</v>
      </c>
      <c r="S134" s="4">
        <v>4.02</v>
      </c>
      <c r="T134" s="4">
        <v>6.11</v>
      </c>
      <c r="U134" s="21">
        <f t="shared" si="1"/>
        <v>6110</v>
      </c>
      <c r="V134" s="46">
        <f t="shared" si="4"/>
        <v>57600</v>
      </c>
      <c r="W134" s="45"/>
    </row>
    <row r="135" ht="14.25" customHeight="1">
      <c r="A135" s="38">
        <v>0.5263888888888889</v>
      </c>
      <c r="B135" s="36">
        <v>184.0</v>
      </c>
      <c r="C135" s="36">
        <v>23.3</v>
      </c>
      <c r="D135" s="36">
        <v>1817.0</v>
      </c>
      <c r="E135" s="36">
        <v>2311.0</v>
      </c>
      <c r="F135" s="36">
        <v>1.27</v>
      </c>
      <c r="G135" s="36">
        <v>17.0</v>
      </c>
      <c r="H135" s="36">
        <v>6.41</v>
      </c>
      <c r="I135" s="36">
        <v>58.6</v>
      </c>
      <c r="J135" s="36">
        <v>62.9</v>
      </c>
      <c r="K135" s="36">
        <v>129.0</v>
      </c>
      <c r="L135" s="36">
        <v>25.2</v>
      </c>
      <c r="M135" s="36">
        <v>103.0</v>
      </c>
      <c r="N135" s="36">
        <v>53.0</v>
      </c>
      <c r="O135" s="36">
        <v>9.0</v>
      </c>
      <c r="P135" s="36">
        <v>71.0</v>
      </c>
      <c r="Q135" s="36">
        <v>0.28</v>
      </c>
      <c r="R135" s="36">
        <v>1.85</v>
      </c>
      <c r="S135" s="36">
        <v>4.72</v>
      </c>
      <c r="T135" s="4">
        <v>6.35</v>
      </c>
      <c r="U135" s="21">
        <f t="shared" si="1"/>
        <v>6350</v>
      </c>
      <c r="V135" s="46">
        <f t="shared" si="4"/>
        <v>4900</v>
      </c>
      <c r="W135" s="45"/>
    </row>
    <row r="136" ht="14.25" customHeight="1">
      <c r="A136" s="38">
        <v>0.5291666666666667</v>
      </c>
      <c r="B136" s="36">
        <v>185.0</v>
      </c>
      <c r="C136" s="36">
        <v>23.7</v>
      </c>
      <c r="D136" s="36">
        <v>1852.0</v>
      </c>
      <c r="E136" s="36">
        <v>2402.0</v>
      </c>
      <c r="F136" s="36">
        <v>1.3</v>
      </c>
      <c r="G136" s="36">
        <v>17.0</v>
      </c>
      <c r="H136" s="36">
        <v>6.57</v>
      </c>
      <c r="I136" s="36">
        <v>61.4</v>
      </c>
      <c r="J136" s="36">
        <v>61.2</v>
      </c>
      <c r="K136" s="36">
        <v>130.0</v>
      </c>
      <c r="L136" s="36">
        <v>24.2</v>
      </c>
      <c r="M136" s="36">
        <v>104.0</v>
      </c>
      <c r="N136" s="36">
        <v>53.0</v>
      </c>
      <c r="O136" s="36">
        <v>9.0</v>
      </c>
      <c r="P136" s="36">
        <v>72.0</v>
      </c>
      <c r="Q136" s="36">
        <v>0.27</v>
      </c>
      <c r="R136" s="36">
        <v>1.71</v>
      </c>
      <c r="S136" s="36">
        <v>4.71</v>
      </c>
      <c r="T136" s="36">
        <v>6.42</v>
      </c>
      <c r="U136" s="21">
        <f t="shared" si="1"/>
        <v>6420</v>
      </c>
      <c r="V136" s="46">
        <f t="shared" si="4"/>
        <v>67600</v>
      </c>
      <c r="W136" s="45"/>
    </row>
    <row r="137" ht="14.25" customHeight="1">
      <c r="A137" s="38">
        <v>0.5305555555555556</v>
      </c>
      <c r="B137" s="36">
        <v>186.0</v>
      </c>
      <c r="C137" s="36">
        <v>24.7</v>
      </c>
      <c r="D137" s="36">
        <v>1930.0</v>
      </c>
      <c r="E137" s="36">
        <v>2543.0</v>
      </c>
      <c r="F137" s="36">
        <v>1.32</v>
      </c>
      <c r="G137" s="36">
        <v>18.0</v>
      </c>
      <c r="H137" s="36">
        <v>6.75</v>
      </c>
      <c r="I137" s="36">
        <v>65.7</v>
      </c>
      <c r="J137" s="36">
        <v>58.4</v>
      </c>
      <c r="K137" s="36">
        <v>133.0</v>
      </c>
      <c r="L137" s="36">
        <v>23.0</v>
      </c>
      <c r="M137" s="36">
        <v>106.0</v>
      </c>
      <c r="N137" s="36">
        <v>51.0</v>
      </c>
      <c r="O137" s="36">
        <v>10.0</v>
      </c>
      <c r="P137" s="36">
        <v>75.0</v>
      </c>
      <c r="Q137" s="36">
        <v>0.26</v>
      </c>
      <c r="R137" s="36">
        <v>1.57</v>
      </c>
      <c r="S137" s="36">
        <v>4.59</v>
      </c>
      <c r="T137" s="36">
        <v>6.16</v>
      </c>
      <c r="U137" s="21">
        <f t="shared" si="1"/>
        <v>6160</v>
      </c>
      <c r="V137" s="46">
        <f t="shared" si="4"/>
        <v>100</v>
      </c>
      <c r="W137" s="45"/>
    </row>
    <row r="138" ht="14.25" customHeight="1">
      <c r="A138" s="38">
        <v>0.5333333333333333</v>
      </c>
      <c r="B138" s="36">
        <v>187.0</v>
      </c>
      <c r="C138" s="36">
        <v>24.7</v>
      </c>
      <c r="D138" s="36">
        <v>1923.0</v>
      </c>
      <c r="E138" s="36">
        <v>2516.0</v>
      </c>
      <c r="F138" s="36">
        <v>1.31</v>
      </c>
      <c r="G138" s="36">
        <v>18.0</v>
      </c>
      <c r="H138" s="36">
        <v>6.68</v>
      </c>
      <c r="I138" s="36">
        <v>65.0</v>
      </c>
      <c r="J138" s="36">
        <v>58.9</v>
      </c>
      <c r="K138" s="36">
        <v>134.0</v>
      </c>
      <c r="L138" s="36">
        <v>22.1</v>
      </c>
      <c r="M138" s="36">
        <v>105.0</v>
      </c>
      <c r="N138" s="36">
        <v>52.0</v>
      </c>
      <c r="O138" s="36">
        <v>10.0</v>
      </c>
      <c r="P138" s="36">
        <v>75.0</v>
      </c>
      <c r="Q138" s="36">
        <v>0.26</v>
      </c>
      <c r="R138" s="36">
        <v>1.58</v>
      </c>
      <c r="S138" s="36">
        <v>4.59</v>
      </c>
      <c r="T138" s="36">
        <v>6.17</v>
      </c>
      <c r="U138" s="21">
        <f t="shared" si="1"/>
        <v>6170</v>
      </c>
      <c r="V138" s="46">
        <f t="shared" si="4"/>
        <v>78400</v>
      </c>
      <c r="W138" s="45"/>
    </row>
    <row r="139" ht="14.25" customHeight="1">
      <c r="A139" s="38">
        <v>0.5354166666666667</v>
      </c>
      <c r="B139" s="36">
        <v>188.0</v>
      </c>
      <c r="C139" s="36">
        <v>25.0</v>
      </c>
      <c r="D139" s="36">
        <v>1952.0</v>
      </c>
      <c r="E139" s="36">
        <v>2588.0</v>
      </c>
      <c r="F139" s="36">
        <v>1.33</v>
      </c>
      <c r="G139" s="36">
        <v>19.0</v>
      </c>
      <c r="H139" s="36">
        <v>6.67</v>
      </c>
      <c r="I139" s="36">
        <v>67.9</v>
      </c>
      <c r="J139" s="36">
        <v>57.0</v>
      </c>
      <c r="K139" s="36">
        <v>134.0</v>
      </c>
      <c r="L139" s="36">
        <v>22.3</v>
      </c>
      <c r="M139" s="36">
        <v>106.0</v>
      </c>
      <c r="N139" s="36">
        <v>51.0</v>
      </c>
      <c r="O139" s="36">
        <v>10.0</v>
      </c>
      <c r="P139" s="36">
        <v>76.0</v>
      </c>
      <c r="Q139" s="36">
        <v>0.22</v>
      </c>
      <c r="R139" s="36">
        <v>1.31</v>
      </c>
      <c r="S139" s="36">
        <v>4.59</v>
      </c>
      <c r="T139" s="36">
        <v>5.89</v>
      </c>
      <c r="U139" s="21">
        <f t="shared" si="1"/>
        <v>5890</v>
      </c>
      <c r="V139" s="46">
        <f t="shared" si="4"/>
        <v>144400</v>
      </c>
      <c r="W139" s="45"/>
    </row>
    <row r="140" ht="14.25" customHeight="1">
      <c r="A140" s="38">
        <v>0.5375</v>
      </c>
      <c r="B140" s="36">
        <v>189.0</v>
      </c>
      <c r="C140" s="36">
        <v>25.7</v>
      </c>
      <c r="D140" s="36">
        <v>2001.0</v>
      </c>
      <c r="E140" s="36">
        <v>2705.0</v>
      </c>
      <c r="F140" s="36">
        <v>1.35</v>
      </c>
      <c r="G140" s="36">
        <v>19.0</v>
      </c>
      <c r="H140" s="36">
        <v>6.65</v>
      </c>
      <c r="I140" s="36">
        <v>72.4</v>
      </c>
      <c r="J140" s="36">
        <v>54.2</v>
      </c>
      <c r="K140" s="36">
        <v>135.0</v>
      </c>
      <c r="L140" s="36">
        <v>21.8</v>
      </c>
      <c r="M140" s="36">
        <v>110.0</v>
      </c>
      <c r="N140" s="36">
        <v>49.0</v>
      </c>
      <c r="O140" s="36">
        <v>11.0</v>
      </c>
      <c r="P140" s="36">
        <v>78.0</v>
      </c>
      <c r="Q140" s="36">
        <v>0.2</v>
      </c>
      <c r="R140" s="36">
        <v>1.08</v>
      </c>
      <c r="S140" s="36">
        <v>4.42</v>
      </c>
      <c r="T140" s="36">
        <v>5.51</v>
      </c>
      <c r="U140" s="21">
        <f t="shared" si="1"/>
        <v>5510</v>
      </c>
      <c r="V140" s="46">
        <f t="shared" si="4"/>
        <v>44100</v>
      </c>
      <c r="W140" s="45"/>
    </row>
    <row r="141" ht="14.25" customHeight="1">
      <c r="A141" s="38">
        <v>0.5381944444444444</v>
      </c>
      <c r="B141" s="36">
        <v>25.0</v>
      </c>
      <c r="C141" s="36">
        <v>25.2</v>
      </c>
      <c r="D141" s="36">
        <v>1962.0</v>
      </c>
      <c r="E141" s="36">
        <v>2661.0</v>
      </c>
      <c r="F141" s="36">
        <v>1.36</v>
      </c>
      <c r="G141" s="36">
        <v>21.0</v>
      </c>
      <c r="H141" s="36">
        <v>6.36</v>
      </c>
      <c r="I141" s="36">
        <v>72.1</v>
      </c>
      <c r="J141" s="36">
        <v>54.4</v>
      </c>
      <c r="K141" s="36">
        <v>135.0</v>
      </c>
      <c r="L141" s="36">
        <v>21.3</v>
      </c>
      <c r="M141" s="36">
        <v>110.0</v>
      </c>
      <c r="N141" s="36">
        <v>48.0</v>
      </c>
      <c r="O141" s="36">
        <v>11.0</v>
      </c>
      <c r="P141" s="36">
        <v>77.0</v>
      </c>
      <c r="Q141" s="36">
        <v>0.19</v>
      </c>
      <c r="R141" s="36">
        <v>1.01</v>
      </c>
      <c r="S141" s="36">
        <v>4.29</v>
      </c>
      <c r="T141" s="36">
        <v>5.3</v>
      </c>
      <c r="U141" s="21">
        <f t="shared" si="1"/>
        <v>5300</v>
      </c>
      <c r="V141" s="47" t="s">
        <v>96</v>
      </c>
      <c r="W141" s="45"/>
    </row>
    <row r="142" ht="14.25" customHeight="1">
      <c r="A142" s="36" t="s">
        <v>82</v>
      </c>
      <c r="U142" s="21">
        <f t="shared" si="1"/>
        <v>0</v>
      </c>
      <c r="V142" s="47" t="s">
        <v>96</v>
      </c>
      <c r="W142" s="45"/>
    </row>
    <row r="143" ht="14.25" customHeight="1">
      <c r="A143" s="38">
        <v>0.5402777777777777</v>
      </c>
      <c r="B143" s="36">
        <v>25.0</v>
      </c>
      <c r="C143" s="36">
        <v>26.5</v>
      </c>
      <c r="D143" s="36">
        <v>2071.0</v>
      </c>
      <c r="E143" s="36">
        <v>2714.0</v>
      </c>
      <c r="F143" s="36">
        <v>1.31</v>
      </c>
      <c r="G143" s="36">
        <v>23.0</v>
      </c>
      <c r="H143" s="36">
        <v>2.94</v>
      </c>
      <c r="I143" s="36">
        <v>69.2</v>
      </c>
      <c r="J143" s="36">
        <v>56.2</v>
      </c>
      <c r="K143" s="36">
        <v>134.0</v>
      </c>
      <c r="L143" s="36">
        <v>22.0</v>
      </c>
      <c r="M143" s="36">
        <v>112.0</v>
      </c>
      <c r="N143" s="36">
        <v>46.0</v>
      </c>
      <c r="O143" s="36">
        <v>23.0</v>
      </c>
      <c r="P143" s="36">
        <v>81.0</v>
      </c>
      <c r="Q143" s="36">
        <v>0.42</v>
      </c>
      <c r="R143" s="36">
        <v>1.08</v>
      </c>
      <c r="S143" s="36">
        <v>1.47</v>
      </c>
      <c r="T143" s="36">
        <v>2.55</v>
      </c>
      <c r="U143" s="21">
        <f t="shared" si="1"/>
        <v>2550</v>
      </c>
      <c r="V143" s="46">
        <f t="shared" ref="V143:V152" si="5">(U143-U144)^2</f>
        <v>1600</v>
      </c>
      <c r="W143" s="45"/>
    </row>
    <row r="144" ht="14.25" customHeight="1">
      <c r="A144" s="38">
        <v>0.5416666666666666</v>
      </c>
      <c r="B144" s="36">
        <v>25.0</v>
      </c>
      <c r="C144" s="36">
        <v>27.3</v>
      </c>
      <c r="D144" s="36">
        <v>2130.0</v>
      </c>
      <c r="E144" s="36">
        <v>2757.0</v>
      </c>
      <c r="F144" s="36">
        <v>1.29</v>
      </c>
      <c r="G144" s="36">
        <v>24.0</v>
      </c>
      <c r="H144" s="36">
        <v>2.91</v>
      </c>
      <c r="I144" s="36">
        <v>69.6</v>
      </c>
      <c r="J144" s="36">
        <v>56.0</v>
      </c>
      <c r="K144" s="36">
        <v>133.0</v>
      </c>
      <c r="L144" s="36">
        <v>22.7</v>
      </c>
      <c r="M144" s="36">
        <v>112.0</v>
      </c>
      <c r="N144" s="36">
        <v>47.0</v>
      </c>
      <c r="O144" s="36">
        <v>24.0</v>
      </c>
      <c r="P144" s="36">
        <v>83.0</v>
      </c>
      <c r="Q144" s="36">
        <v>0.42</v>
      </c>
      <c r="R144" s="36">
        <v>1.06</v>
      </c>
      <c r="S144" s="36">
        <v>1.45</v>
      </c>
      <c r="T144" s="36">
        <v>2.51</v>
      </c>
      <c r="U144" s="21">
        <f t="shared" si="1"/>
        <v>2510</v>
      </c>
      <c r="V144" s="46">
        <f t="shared" si="5"/>
        <v>10000</v>
      </c>
      <c r="W144" s="45"/>
    </row>
    <row r="145" ht="14.25" customHeight="1">
      <c r="A145" s="38">
        <v>0.5430555555555555</v>
      </c>
      <c r="B145" s="36">
        <v>25.0</v>
      </c>
      <c r="C145" s="36">
        <v>25.7</v>
      </c>
      <c r="D145" s="36">
        <v>2006.0</v>
      </c>
      <c r="E145" s="36">
        <v>2674.0</v>
      </c>
      <c r="F145" s="36">
        <v>1.33</v>
      </c>
      <c r="G145" s="36">
        <v>25.0</v>
      </c>
      <c r="H145" s="36">
        <v>2.9</v>
      </c>
      <c r="I145" s="36">
        <v>72.1</v>
      </c>
      <c r="J145" s="36">
        <v>54.4</v>
      </c>
      <c r="K145" s="36">
        <v>132.0</v>
      </c>
      <c r="L145" s="36">
        <v>23.3</v>
      </c>
      <c r="M145" s="36">
        <v>114.0</v>
      </c>
      <c r="N145" s="36">
        <v>45.0</v>
      </c>
      <c r="O145" s="36">
        <v>25.0</v>
      </c>
      <c r="P145" s="36">
        <v>78.0</v>
      </c>
      <c r="Q145" s="36">
        <v>0.43</v>
      </c>
      <c r="R145" s="36">
        <v>1.03</v>
      </c>
      <c r="S145" s="36">
        <v>1.38</v>
      </c>
      <c r="T145" s="36">
        <v>2.41</v>
      </c>
      <c r="U145" s="21">
        <f t="shared" si="1"/>
        <v>2410</v>
      </c>
      <c r="V145" s="46">
        <f t="shared" si="5"/>
        <v>28900</v>
      </c>
      <c r="W145" s="45"/>
    </row>
    <row r="146" ht="14.25" customHeight="1">
      <c r="A146" s="38">
        <v>0.5444444444444444</v>
      </c>
      <c r="B146" s="36">
        <v>25.0</v>
      </c>
      <c r="C146" s="36">
        <v>25.4</v>
      </c>
      <c r="D146" s="36">
        <v>1979.0</v>
      </c>
      <c r="E146" s="36">
        <v>2723.0</v>
      </c>
      <c r="F146" s="36">
        <v>1.38</v>
      </c>
      <c r="G146" s="36">
        <v>27.0</v>
      </c>
      <c r="H146" s="36">
        <v>2.88</v>
      </c>
      <c r="I146" s="36">
        <v>77.1</v>
      </c>
      <c r="J146" s="36">
        <v>51.2</v>
      </c>
      <c r="K146" s="36">
        <v>131.0</v>
      </c>
      <c r="L146" s="36">
        <v>23.7</v>
      </c>
      <c r="M146" s="36">
        <v>116.0</v>
      </c>
      <c r="N146" s="36">
        <v>43.0</v>
      </c>
      <c r="O146" s="36">
        <v>27.0</v>
      </c>
      <c r="P146" s="36">
        <v>77.0</v>
      </c>
      <c r="Q146" s="36">
        <v>0.45</v>
      </c>
      <c r="R146" s="36">
        <v>1.01</v>
      </c>
      <c r="S146" s="36">
        <v>1.23</v>
      </c>
      <c r="T146" s="36">
        <v>2.24</v>
      </c>
      <c r="U146" s="21">
        <f t="shared" si="1"/>
        <v>2240</v>
      </c>
      <c r="V146" s="46">
        <f t="shared" si="5"/>
        <v>0</v>
      </c>
      <c r="W146" s="45"/>
    </row>
    <row r="147" ht="14.25" customHeight="1">
      <c r="A147" s="38">
        <v>0.5479166666666667</v>
      </c>
      <c r="B147" s="36">
        <v>25.0</v>
      </c>
      <c r="C147" s="36">
        <v>25.4</v>
      </c>
      <c r="D147" s="36">
        <v>1980.0</v>
      </c>
      <c r="E147" s="36">
        <v>2724.0</v>
      </c>
      <c r="F147" s="36">
        <v>1.38</v>
      </c>
      <c r="G147" s="36">
        <v>27.0</v>
      </c>
      <c r="H147" s="36">
        <v>2.88</v>
      </c>
      <c r="I147" s="36">
        <v>77.1</v>
      </c>
      <c r="J147" s="36">
        <v>51.2</v>
      </c>
      <c r="K147" s="36">
        <v>131.0</v>
      </c>
      <c r="L147" s="36">
        <v>23.9</v>
      </c>
      <c r="M147" s="36">
        <v>116.0</v>
      </c>
      <c r="N147" s="36">
        <v>43.0</v>
      </c>
      <c r="O147" s="36">
        <v>27.0</v>
      </c>
      <c r="P147" s="36">
        <v>77.0</v>
      </c>
      <c r="Q147" s="36">
        <v>0.45</v>
      </c>
      <c r="R147" s="36">
        <v>1.01</v>
      </c>
      <c r="S147" s="36">
        <v>1.23</v>
      </c>
      <c r="T147" s="36">
        <v>2.24</v>
      </c>
      <c r="U147" s="21">
        <f t="shared" si="1"/>
        <v>2240</v>
      </c>
      <c r="V147" s="46">
        <f t="shared" si="5"/>
        <v>8100</v>
      </c>
      <c r="W147" s="45"/>
    </row>
    <row r="148" ht="14.25" customHeight="1">
      <c r="A148" s="38">
        <v>0.5486111111111112</v>
      </c>
      <c r="B148" s="36">
        <v>25.0</v>
      </c>
      <c r="C148" s="36">
        <v>25.9</v>
      </c>
      <c r="D148" s="36">
        <v>2022.0</v>
      </c>
      <c r="E148" s="36">
        <v>2776.0</v>
      </c>
      <c r="F148" s="36">
        <v>1.37</v>
      </c>
      <c r="G148" s="36">
        <v>28.0</v>
      </c>
      <c r="H148" s="36">
        <v>2.81</v>
      </c>
      <c r="I148" s="36">
        <v>78.6</v>
      </c>
      <c r="J148" s="36">
        <v>50.2</v>
      </c>
      <c r="K148" s="36">
        <v>131.0</v>
      </c>
      <c r="L148" s="36">
        <v>23.9</v>
      </c>
      <c r="M148" s="36">
        <v>116.0</v>
      </c>
      <c r="N148" s="36">
        <v>43.0</v>
      </c>
      <c r="O148" s="36">
        <v>28.0</v>
      </c>
      <c r="P148" s="36">
        <v>79.0</v>
      </c>
      <c r="Q148" s="36">
        <v>0.49</v>
      </c>
      <c r="R148" s="36">
        <v>1.05</v>
      </c>
      <c r="S148" s="36">
        <v>1.09</v>
      </c>
      <c r="T148" s="36">
        <v>2.15</v>
      </c>
      <c r="U148" s="21">
        <f t="shared" si="1"/>
        <v>2150</v>
      </c>
      <c r="V148" s="46">
        <f t="shared" si="5"/>
        <v>1600</v>
      </c>
      <c r="W148" s="45"/>
    </row>
    <row r="149" ht="14.25" customHeight="1">
      <c r="A149" s="38">
        <v>0.55</v>
      </c>
      <c r="B149" s="36">
        <v>25.0</v>
      </c>
      <c r="C149" s="36">
        <v>26.2</v>
      </c>
      <c r="D149" s="36">
        <v>2041.0</v>
      </c>
      <c r="E149" s="36">
        <v>2846.0</v>
      </c>
      <c r="F149" s="36">
        <v>1.39</v>
      </c>
      <c r="G149" s="36">
        <v>28.0</v>
      </c>
      <c r="H149" s="36">
        <v>2.91</v>
      </c>
      <c r="I149" s="36">
        <v>82.6</v>
      </c>
      <c r="J149" s="36">
        <v>47.7</v>
      </c>
      <c r="K149" s="36">
        <v>131.0</v>
      </c>
      <c r="L149" s="36">
        <v>24.0</v>
      </c>
      <c r="M149" s="36">
        <v>118.0</v>
      </c>
      <c r="N149" s="36">
        <v>42.0</v>
      </c>
      <c r="O149" s="36">
        <v>28.0</v>
      </c>
      <c r="P149" s="36">
        <v>80.0</v>
      </c>
      <c r="Q149" s="36">
        <v>0.49</v>
      </c>
      <c r="R149" s="36">
        <v>1.03</v>
      </c>
      <c r="S149" s="36">
        <v>1.08</v>
      </c>
      <c r="T149" s="36">
        <v>2.11</v>
      </c>
      <c r="U149" s="21">
        <f t="shared" si="1"/>
        <v>2110</v>
      </c>
      <c r="V149" s="46">
        <f t="shared" si="5"/>
        <v>40000</v>
      </c>
      <c r="W149" s="45"/>
    </row>
    <row r="150" ht="14.25" customHeight="1">
      <c r="A150" s="38">
        <v>0.5506944444444445</v>
      </c>
      <c r="B150" s="36">
        <v>25.0</v>
      </c>
      <c r="C150" s="36">
        <v>26.2</v>
      </c>
      <c r="D150" s="36">
        <v>2046.0</v>
      </c>
      <c r="E150" s="36">
        <v>2883.0</v>
      </c>
      <c r="F150" s="36">
        <v>1.41</v>
      </c>
      <c r="G150" s="36">
        <v>31.0</v>
      </c>
      <c r="H150" s="36">
        <v>2.72</v>
      </c>
      <c r="I150" s="36">
        <v>85.5</v>
      </c>
      <c r="J150" s="36">
        <v>45.9</v>
      </c>
      <c r="K150" s="36">
        <v>130.0</v>
      </c>
      <c r="L150" s="36">
        <v>24.2</v>
      </c>
      <c r="M150" s="36">
        <v>118.0</v>
      </c>
      <c r="N150" s="36">
        <v>41.0</v>
      </c>
      <c r="O150" s="36">
        <v>31.0</v>
      </c>
      <c r="P150" s="36">
        <v>80.0</v>
      </c>
      <c r="Q150" s="36">
        <v>0.48</v>
      </c>
      <c r="R150" s="36">
        <v>0.92</v>
      </c>
      <c r="S150" s="36">
        <v>0.99</v>
      </c>
      <c r="T150" s="36">
        <v>1.91</v>
      </c>
      <c r="U150" s="21">
        <f t="shared" si="1"/>
        <v>1910</v>
      </c>
      <c r="V150" s="46">
        <f t="shared" si="5"/>
        <v>52900</v>
      </c>
      <c r="W150" s="45"/>
    </row>
    <row r="151" ht="14.25" customHeight="1">
      <c r="A151" s="38">
        <v>0.5527777777777778</v>
      </c>
      <c r="B151" s="36">
        <v>25.0</v>
      </c>
      <c r="C151" s="36">
        <v>24.2</v>
      </c>
      <c r="D151" s="36">
        <v>1884.0</v>
      </c>
      <c r="E151" s="36">
        <v>2721.0</v>
      </c>
      <c r="F151" s="36">
        <v>1.44</v>
      </c>
      <c r="G151" s="36">
        <v>28.0</v>
      </c>
      <c r="H151" s="36">
        <v>2.9</v>
      </c>
      <c r="I151" s="36">
        <v>81.4</v>
      </c>
      <c r="J151" s="36">
        <v>48.5</v>
      </c>
      <c r="K151" s="36">
        <v>131.0</v>
      </c>
      <c r="L151" s="36">
        <v>24.0</v>
      </c>
      <c r="M151" s="36">
        <v>119.0</v>
      </c>
      <c r="N151" s="36">
        <v>41.0</v>
      </c>
      <c r="O151" s="36">
        <v>28.0</v>
      </c>
      <c r="P151" s="36">
        <v>74.0</v>
      </c>
      <c r="Q151" s="36">
        <v>0.49</v>
      </c>
      <c r="R151" s="36">
        <v>1.04</v>
      </c>
      <c r="S151" s="36">
        <v>1.09</v>
      </c>
      <c r="T151" s="36">
        <v>2.14</v>
      </c>
      <c r="U151" s="21">
        <f t="shared" si="1"/>
        <v>2140</v>
      </c>
      <c r="V151" s="46">
        <f t="shared" si="5"/>
        <v>14400</v>
      </c>
      <c r="W151" s="45"/>
    </row>
    <row r="152" ht="14.25" customHeight="1">
      <c r="A152" s="38">
        <v>0.5541666666666667</v>
      </c>
      <c r="B152" s="36">
        <v>25.0</v>
      </c>
      <c r="C152" s="36">
        <v>23.5</v>
      </c>
      <c r="D152" s="36">
        <v>1833.0</v>
      </c>
      <c r="E152" s="36">
        <v>2633.0</v>
      </c>
      <c r="F152" s="36">
        <v>1.44</v>
      </c>
      <c r="G152" s="36">
        <v>30.0</v>
      </c>
      <c r="H152" s="36">
        <v>2.58</v>
      </c>
      <c r="I152" s="36">
        <v>76.7</v>
      </c>
      <c r="J152" s="36">
        <v>51.4</v>
      </c>
      <c r="K152" s="36">
        <v>130.0</v>
      </c>
      <c r="L152" s="36">
        <v>24.5</v>
      </c>
      <c r="M152" s="36">
        <v>118.0</v>
      </c>
      <c r="N152" s="36">
        <v>42.0</v>
      </c>
      <c r="O152" s="36">
        <v>30.0</v>
      </c>
      <c r="P152" s="36">
        <v>72.0</v>
      </c>
      <c r="Q152" s="36">
        <v>0.48</v>
      </c>
      <c r="R152" s="36">
        <v>0.97</v>
      </c>
      <c r="S152" s="36">
        <v>1.05</v>
      </c>
      <c r="T152" s="36">
        <v>2.02</v>
      </c>
      <c r="U152" s="21">
        <f t="shared" si="1"/>
        <v>2020</v>
      </c>
      <c r="V152" s="46">
        <f t="shared" si="5"/>
        <v>8100</v>
      </c>
      <c r="W152" s="45"/>
    </row>
    <row r="153" ht="14.25" customHeight="1">
      <c r="A153" s="38">
        <v>0.5548611111111111</v>
      </c>
      <c r="B153" s="36">
        <v>25.0</v>
      </c>
      <c r="C153" s="36">
        <v>23.3</v>
      </c>
      <c r="D153" s="36">
        <v>1821.0</v>
      </c>
      <c r="E153" s="36">
        <v>2584.0</v>
      </c>
      <c r="F153" s="36">
        <v>1.42</v>
      </c>
      <c r="G153" s="36">
        <v>31.0</v>
      </c>
      <c r="H153" s="36">
        <v>2.4</v>
      </c>
      <c r="I153" s="36">
        <v>74.6</v>
      </c>
      <c r="J153" s="36">
        <v>52.8</v>
      </c>
      <c r="K153" s="36">
        <v>130.0</v>
      </c>
      <c r="L153" s="36">
        <v>24.3</v>
      </c>
      <c r="M153" s="36">
        <v>118.0</v>
      </c>
      <c r="N153" s="36">
        <v>42.0</v>
      </c>
      <c r="O153" s="36">
        <v>31.0</v>
      </c>
      <c r="P153" s="36">
        <v>71.0</v>
      </c>
      <c r="Q153" s="36">
        <v>0.47</v>
      </c>
      <c r="R153" s="36">
        <v>0.91</v>
      </c>
      <c r="S153" s="36">
        <v>1.03</v>
      </c>
      <c r="T153" s="36">
        <v>1.93</v>
      </c>
      <c r="U153" s="21">
        <f t="shared" si="1"/>
        <v>1930</v>
      </c>
      <c r="V153" s="47" t="s">
        <v>96</v>
      </c>
      <c r="W153" s="45"/>
    </row>
    <row r="154" ht="14.25" customHeight="1">
      <c r="A154" s="36" t="s">
        <v>88</v>
      </c>
      <c r="U154" s="21">
        <f t="shared" si="1"/>
        <v>0</v>
      </c>
      <c r="V154" s="46">
        <f>(U154-U155)^2</f>
        <v>0</v>
      </c>
      <c r="W154" s="45"/>
    </row>
    <row r="155" ht="14.25" customHeight="1">
      <c r="V155" s="43"/>
    </row>
    <row r="156" ht="14.25" customHeight="1">
      <c r="V156" s="43"/>
    </row>
    <row r="157" ht="14.25" customHeight="1">
      <c r="V157" s="43"/>
    </row>
    <row r="158" ht="14.25" customHeight="1">
      <c r="V158" s="43"/>
    </row>
    <row r="159" ht="14.25" customHeight="1">
      <c r="V159" s="43"/>
    </row>
    <row r="160" ht="14.25" customHeight="1">
      <c r="V160" s="43"/>
    </row>
    <row r="161" ht="14.25" customHeight="1">
      <c r="V161" s="43"/>
    </row>
    <row r="162" ht="14.25" customHeight="1">
      <c r="V162" s="43"/>
    </row>
    <row r="163" ht="14.25" customHeight="1">
      <c r="V163" s="43"/>
    </row>
    <row r="164" ht="14.25" customHeight="1">
      <c r="V164" s="43"/>
    </row>
    <row r="165" ht="14.25" customHeight="1">
      <c r="V165" s="43"/>
    </row>
    <row r="166" ht="14.25" customHeight="1">
      <c r="V166" s="43"/>
    </row>
    <row r="167" ht="14.25" customHeight="1">
      <c r="V167" s="43"/>
    </row>
    <row r="168" ht="14.25" customHeight="1">
      <c r="V168" s="43"/>
    </row>
    <row r="169" ht="14.25" customHeight="1">
      <c r="V169" s="43"/>
    </row>
    <row r="170" ht="14.25" customHeight="1">
      <c r="V170" s="43"/>
    </row>
    <row r="171" ht="14.25" customHeight="1">
      <c r="V171" s="43"/>
    </row>
    <row r="172" ht="14.25" customHeight="1">
      <c r="V172" s="43"/>
    </row>
    <row r="173" ht="14.25" customHeight="1">
      <c r="V173" s="43"/>
    </row>
    <row r="174" ht="14.25" customHeight="1">
      <c r="V174" s="43"/>
    </row>
    <row r="175" ht="14.25" customHeight="1">
      <c r="V175" s="43"/>
    </row>
    <row r="176" ht="14.25" customHeight="1">
      <c r="V176" s="43"/>
    </row>
    <row r="177" ht="14.25" customHeight="1">
      <c r="V177" s="43"/>
    </row>
    <row r="178" ht="14.25" customHeight="1">
      <c r="V178" s="43"/>
    </row>
    <row r="179" ht="14.25" customHeight="1">
      <c r="V179" s="43"/>
    </row>
    <row r="180" ht="14.25" customHeight="1">
      <c r="V180" s="43"/>
    </row>
    <row r="181" ht="14.25" customHeight="1">
      <c r="V181" s="43"/>
    </row>
    <row r="182" ht="14.25" customHeight="1">
      <c r="V182" s="43"/>
    </row>
    <row r="183" ht="14.25" customHeight="1">
      <c r="V183" s="43"/>
    </row>
    <row r="184" ht="14.25" customHeight="1">
      <c r="V184" s="43"/>
    </row>
    <row r="185" ht="14.25" customHeight="1">
      <c r="V185" s="43"/>
    </row>
    <row r="186" ht="14.25" customHeight="1">
      <c r="V186" s="43"/>
    </row>
    <row r="187" ht="14.25" customHeight="1">
      <c r="V187" s="43"/>
    </row>
    <row r="188" ht="14.25" customHeight="1">
      <c r="V188" s="43"/>
    </row>
    <row r="189" ht="14.25" customHeight="1">
      <c r="V189" s="43"/>
    </row>
    <row r="190" ht="14.25" customHeight="1">
      <c r="V190" s="43"/>
    </row>
    <row r="191" ht="14.25" customHeight="1">
      <c r="V191" s="43"/>
    </row>
    <row r="192" ht="14.25" customHeight="1">
      <c r="V192" s="43"/>
    </row>
    <row r="193" ht="14.25" customHeight="1">
      <c r="V193" s="43"/>
    </row>
    <row r="194" ht="14.25" customHeight="1">
      <c r="V194" s="43"/>
    </row>
    <row r="195" ht="14.25" customHeight="1">
      <c r="V195" s="43"/>
    </row>
    <row r="196" ht="14.25" customHeight="1">
      <c r="V196" s="43"/>
    </row>
    <row r="197" ht="14.25" customHeight="1">
      <c r="V197" s="43"/>
    </row>
    <row r="198" ht="14.25" customHeight="1">
      <c r="V198" s="43"/>
    </row>
    <row r="199" ht="14.25" customHeight="1">
      <c r="V199" s="43"/>
    </row>
    <row r="200" ht="14.25" customHeight="1">
      <c r="V200" s="43"/>
    </row>
    <row r="201" ht="14.25" customHeight="1">
      <c r="V201" s="43"/>
    </row>
    <row r="202" ht="14.25" customHeight="1">
      <c r="V202" s="43"/>
    </row>
    <row r="203" ht="14.25" customHeight="1">
      <c r="V203" s="43"/>
    </row>
    <row r="204" ht="14.25" customHeight="1">
      <c r="V204" s="43"/>
    </row>
    <row r="205" ht="14.25" customHeight="1">
      <c r="V205" s="43"/>
    </row>
    <row r="206" ht="14.25" customHeight="1">
      <c r="V206" s="43"/>
    </row>
    <row r="207" ht="14.25" customHeight="1">
      <c r="V207" s="43"/>
    </row>
    <row r="208" ht="14.25" customHeight="1">
      <c r="V208" s="43"/>
    </row>
    <row r="209" ht="14.25" customHeight="1">
      <c r="V209" s="43"/>
    </row>
    <row r="210" ht="14.25" customHeight="1">
      <c r="V210" s="43"/>
    </row>
    <row r="211" ht="14.25" customHeight="1">
      <c r="V211" s="43"/>
    </row>
    <row r="212" ht="14.25" customHeight="1">
      <c r="V212" s="43"/>
    </row>
    <row r="213" ht="14.25" customHeight="1">
      <c r="V213" s="43"/>
    </row>
    <row r="214" ht="14.25" customHeight="1">
      <c r="V214" s="43"/>
    </row>
    <row r="215" ht="14.25" customHeight="1">
      <c r="V215" s="43"/>
    </row>
    <row r="216" ht="14.25" customHeight="1">
      <c r="V216" s="43"/>
    </row>
    <row r="217" ht="14.25" customHeight="1">
      <c r="V217" s="43"/>
    </row>
    <row r="218" ht="14.25" customHeight="1">
      <c r="V218" s="43"/>
    </row>
    <row r="219" ht="14.25" customHeight="1">
      <c r="V219" s="43"/>
    </row>
    <row r="220" ht="14.25" customHeight="1">
      <c r="V220" s="43"/>
    </row>
    <row r="221" ht="14.25" customHeight="1">
      <c r="V221" s="43"/>
    </row>
    <row r="222" ht="14.25" customHeight="1">
      <c r="V222" s="43"/>
    </row>
    <row r="223" ht="14.25" customHeight="1">
      <c r="V223" s="43"/>
    </row>
    <row r="224" ht="14.25" customHeight="1">
      <c r="V224" s="43"/>
    </row>
    <row r="225" ht="14.25" customHeight="1">
      <c r="V225" s="43"/>
    </row>
    <row r="226" ht="14.25" customHeight="1">
      <c r="V226" s="43"/>
    </row>
    <row r="227" ht="14.25" customHeight="1">
      <c r="V227" s="43"/>
    </row>
    <row r="228" ht="14.25" customHeight="1">
      <c r="V228" s="43"/>
    </row>
    <row r="229" ht="14.25" customHeight="1">
      <c r="V229" s="43"/>
    </row>
    <row r="230" ht="14.25" customHeight="1">
      <c r="V230" s="43"/>
    </row>
    <row r="231" ht="14.25" customHeight="1">
      <c r="V231" s="43"/>
    </row>
    <row r="232" ht="14.25" customHeight="1">
      <c r="V232" s="43"/>
    </row>
    <row r="233" ht="14.25" customHeight="1">
      <c r="V233" s="43"/>
    </row>
    <row r="234" ht="14.25" customHeight="1">
      <c r="V234" s="43"/>
    </row>
    <row r="235" ht="14.25" customHeight="1">
      <c r="V235" s="43"/>
    </row>
    <row r="236" ht="14.25" customHeight="1">
      <c r="V236" s="43"/>
    </row>
    <row r="237" ht="14.25" customHeight="1">
      <c r="V237" s="43"/>
    </row>
    <row r="238" ht="14.25" customHeight="1">
      <c r="V238" s="43"/>
    </row>
    <row r="239" ht="14.25" customHeight="1">
      <c r="V239" s="43"/>
    </row>
    <row r="240" ht="14.25" customHeight="1">
      <c r="V240" s="43"/>
    </row>
    <row r="241" ht="14.25" customHeight="1">
      <c r="V241" s="43"/>
    </row>
    <row r="242" ht="14.25" customHeight="1">
      <c r="V242" s="43"/>
    </row>
    <row r="243" ht="14.25" customHeight="1">
      <c r="V243" s="43"/>
    </row>
    <row r="244" ht="14.25" customHeight="1">
      <c r="V244" s="43"/>
    </row>
    <row r="245" ht="14.25" customHeight="1">
      <c r="V245" s="43"/>
    </row>
    <row r="246" ht="14.25" customHeight="1">
      <c r="V246" s="43"/>
    </row>
    <row r="247" ht="14.25" customHeight="1">
      <c r="V247" s="43"/>
    </row>
    <row r="248" ht="14.25" customHeight="1">
      <c r="V248" s="43"/>
    </row>
    <row r="249" ht="14.25" customHeight="1">
      <c r="V249" s="43"/>
    </row>
    <row r="250" ht="14.25" customHeight="1">
      <c r="V250" s="43"/>
    </row>
    <row r="251" ht="14.25" customHeight="1">
      <c r="V251" s="43"/>
    </row>
    <row r="252" ht="14.25" customHeight="1">
      <c r="V252" s="43"/>
    </row>
    <row r="253" ht="14.25" customHeight="1">
      <c r="V253" s="43"/>
    </row>
    <row r="254" ht="14.25" customHeight="1">
      <c r="V254" s="43"/>
    </row>
    <row r="255" ht="14.25" customHeight="1">
      <c r="V255" s="43"/>
    </row>
    <row r="256" ht="14.25" customHeight="1">
      <c r="V256" s="43"/>
    </row>
    <row r="257" ht="14.25" customHeight="1">
      <c r="V257" s="43"/>
    </row>
    <row r="258" ht="14.25" customHeight="1">
      <c r="V258" s="43"/>
    </row>
    <row r="259" ht="14.25" customHeight="1">
      <c r="V259" s="43"/>
    </row>
    <row r="260" ht="14.25" customHeight="1">
      <c r="V260" s="43"/>
    </row>
    <row r="261" ht="14.25" customHeight="1">
      <c r="V261" s="43"/>
    </row>
    <row r="262" ht="14.25" customHeight="1">
      <c r="V262" s="43"/>
    </row>
    <row r="263" ht="14.25" customHeight="1">
      <c r="V263" s="43"/>
    </row>
    <row r="264" ht="14.25" customHeight="1">
      <c r="V264" s="43"/>
    </row>
    <row r="265" ht="14.25" customHeight="1">
      <c r="V265" s="43"/>
    </row>
    <row r="266" ht="14.25" customHeight="1">
      <c r="V266" s="43"/>
    </row>
    <row r="267" ht="14.25" customHeight="1">
      <c r="V267" s="43"/>
    </row>
    <row r="268" ht="14.25" customHeight="1">
      <c r="V268" s="43"/>
    </row>
    <row r="269" ht="14.25" customHeight="1">
      <c r="V269" s="43"/>
    </row>
    <row r="270" ht="14.25" customHeight="1">
      <c r="V270" s="43"/>
    </row>
    <row r="271" ht="14.25" customHeight="1">
      <c r="V271" s="43"/>
    </row>
    <row r="272" ht="14.25" customHeight="1">
      <c r="V272" s="43"/>
    </row>
    <row r="273" ht="14.25" customHeight="1">
      <c r="V273" s="43"/>
    </row>
    <row r="274" ht="14.25" customHeight="1">
      <c r="V274" s="43"/>
    </row>
    <row r="275" ht="14.25" customHeight="1">
      <c r="V275" s="43"/>
    </row>
    <row r="276" ht="14.25" customHeight="1">
      <c r="V276" s="43"/>
    </row>
    <row r="277" ht="14.25" customHeight="1">
      <c r="V277" s="43"/>
    </row>
    <row r="278" ht="14.25" customHeight="1">
      <c r="V278" s="43"/>
    </row>
    <row r="279" ht="14.25" customHeight="1">
      <c r="V279" s="43"/>
    </row>
    <row r="280" ht="14.25" customHeight="1">
      <c r="V280" s="43"/>
    </row>
    <row r="281" ht="14.25" customHeight="1">
      <c r="V281" s="43"/>
    </row>
    <row r="282" ht="14.25" customHeight="1">
      <c r="V282" s="43"/>
    </row>
    <row r="283" ht="14.25" customHeight="1">
      <c r="V283" s="43"/>
    </row>
    <row r="284" ht="14.25" customHeight="1">
      <c r="V284" s="43"/>
    </row>
    <row r="285" ht="14.25" customHeight="1">
      <c r="V285" s="43"/>
    </row>
    <row r="286" ht="14.25" customHeight="1">
      <c r="V286" s="43"/>
    </row>
    <row r="287" ht="14.25" customHeight="1">
      <c r="V287" s="43"/>
    </row>
    <row r="288" ht="14.25" customHeight="1">
      <c r="V288" s="43"/>
    </row>
    <row r="289" ht="14.25" customHeight="1">
      <c r="V289" s="43"/>
    </row>
    <row r="290" ht="14.25" customHeight="1">
      <c r="V290" s="43"/>
    </row>
    <row r="291" ht="14.25" customHeight="1">
      <c r="V291" s="43"/>
    </row>
    <row r="292" ht="14.25" customHeight="1">
      <c r="V292" s="43"/>
    </row>
    <row r="293" ht="14.25" customHeight="1">
      <c r="V293" s="43"/>
    </row>
    <row r="294" ht="14.25" customHeight="1">
      <c r="V294" s="43"/>
    </row>
    <row r="295" ht="14.25" customHeight="1">
      <c r="V295" s="43"/>
    </row>
    <row r="296" ht="14.25" customHeight="1">
      <c r="V296" s="43"/>
    </row>
    <row r="297" ht="14.25" customHeight="1">
      <c r="V297" s="43"/>
    </row>
    <row r="298" ht="14.25" customHeight="1">
      <c r="V298" s="43"/>
    </row>
    <row r="299" ht="14.25" customHeight="1">
      <c r="V299" s="43"/>
    </row>
    <row r="300" ht="14.25" customHeight="1">
      <c r="V300" s="43"/>
    </row>
    <row r="301" ht="14.25" customHeight="1">
      <c r="V301" s="43"/>
    </row>
    <row r="302" ht="14.25" customHeight="1">
      <c r="V302" s="43"/>
    </row>
    <row r="303" ht="14.25" customHeight="1">
      <c r="V303" s="43"/>
    </row>
    <row r="304" ht="14.25" customHeight="1">
      <c r="V304" s="43"/>
    </row>
    <row r="305" ht="14.25" customHeight="1">
      <c r="V305" s="43"/>
    </row>
    <row r="306" ht="14.25" customHeight="1">
      <c r="V306" s="43"/>
    </row>
    <row r="307" ht="14.25" customHeight="1">
      <c r="V307" s="43"/>
    </row>
    <row r="308" ht="14.25" customHeight="1">
      <c r="V308" s="43"/>
    </row>
    <row r="309" ht="14.25" customHeight="1">
      <c r="V309" s="43"/>
    </row>
    <row r="310" ht="14.25" customHeight="1">
      <c r="V310" s="43"/>
    </row>
    <row r="311" ht="14.25" customHeight="1">
      <c r="V311" s="43"/>
    </row>
    <row r="312" ht="14.25" customHeight="1">
      <c r="V312" s="43"/>
    </row>
    <row r="313" ht="14.25" customHeight="1">
      <c r="V313" s="43"/>
    </row>
    <row r="314" ht="14.25" customHeight="1">
      <c r="V314" s="43"/>
    </row>
    <row r="315" ht="14.25" customHeight="1">
      <c r="V315" s="43"/>
    </row>
    <row r="316" ht="14.25" customHeight="1">
      <c r="V316" s="43"/>
    </row>
    <row r="317" ht="14.25" customHeight="1">
      <c r="V317" s="43"/>
    </row>
    <row r="318" ht="14.25" customHeight="1">
      <c r="V318" s="43"/>
    </row>
    <row r="319" ht="14.25" customHeight="1">
      <c r="V319" s="43"/>
    </row>
    <row r="320" ht="14.25" customHeight="1">
      <c r="V320" s="43"/>
    </row>
    <row r="321" ht="14.25" customHeight="1">
      <c r="V321" s="43"/>
    </row>
    <row r="322" ht="14.25" customHeight="1">
      <c r="V322" s="43"/>
    </row>
    <row r="323" ht="14.25" customHeight="1">
      <c r="V323" s="43"/>
    </row>
    <row r="324" ht="14.25" customHeight="1">
      <c r="V324" s="43"/>
    </row>
    <row r="325" ht="14.25" customHeight="1">
      <c r="V325" s="43"/>
    </row>
    <row r="326" ht="14.25" customHeight="1">
      <c r="V326" s="43"/>
    </row>
    <row r="327" ht="14.25" customHeight="1">
      <c r="V327" s="43"/>
    </row>
    <row r="328" ht="14.25" customHeight="1">
      <c r="V328" s="43"/>
    </row>
    <row r="329" ht="14.25" customHeight="1">
      <c r="V329" s="43"/>
    </row>
    <row r="330" ht="14.25" customHeight="1">
      <c r="V330" s="43"/>
    </row>
    <row r="331" ht="14.25" customHeight="1">
      <c r="V331" s="43"/>
    </row>
    <row r="332" ht="14.25" customHeight="1">
      <c r="V332" s="43"/>
    </row>
    <row r="333" ht="14.25" customHeight="1">
      <c r="V333" s="43"/>
    </row>
    <row r="334" ht="14.25" customHeight="1">
      <c r="V334" s="43"/>
    </row>
    <row r="335" ht="14.25" customHeight="1">
      <c r="V335" s="43"/>
    </row>
    <row r="336" ht="14.25" customHeight="1">
      <c r="V336" s="43"/>
    </row>
    <row r="337" ht="14.25" customHeight="1">
      <c r="V337" s="43"/>
    </row>
    <row r="338" ht="14.25" customHeight="1">
      <c r="V338" s="43"/>
    </row>
    <row r="339" ht="14.25" customHeight="1">
      <c r="V339" s="43"/>
    </row>
    <row r="340" ht="14.25" customHeight="1">
      <c r="V340" s="43"/>
    </row>
    <row r="341" ht="14.25" customHeight="1">
      <c r="V341" s="43"/>
    </row>
    <row r="342" ht="14.25" customHeight="1">
      <c r="V342" s="43"/>
    </row>
    <row r="343" ht="14.25" customHeight="1">
      <c r="V343" s="43"/>
    </row>
    <row r="344" ht="14.25" customHeight="1">
      <c r="V344" s="43"/>
    </row>
    <row r="345" ht="14.25" customHeight="1">
      <c r="V345" s="43"/>
    </row>
    <row r="346" ht="14.25" customHeight="1">
      <c r="V346" s="43"/>
    </row>
    <row r="347" ht="14.25" customHeight="1">
      <c r="V347" s="43"/>
    </row>
    <row r="348" ht="14.25" customHeight="1">
      <c r="V348" s="43"/>
    </row>
    <row r="349" ht="14.25" customHeight="1">
      <c r="V349" s="43"/>
    </row>
    <row r="350" ht="14.25" customHeight="1">
      <c r="V350" s="43"/>
    </row>
    <row r="351" ht="14.25" customHeight="1">
      <c r="V351" s="43"/>
    </row>
    <row r="352" ht="14.25" customHeight="1">
      <c r="V352" s="43"/>
    </row>
    <row r="353" ht="14.25" customHeight="1">
      <c r="V353" s="43"/>
    </row>
    <row r="354" ht="14.25" customHeight="1">
      <c r="V354" s="43"/>
    </row>
    <row r="355" ht="14.25" customHeight="1">
      <c r="V355" s="43"/>
    </row>
    <row r="356" ht="14.25" customHeight="1">
      <c r="V356" s="43"/>
    </row>
    <row r="357" ht="14.25" customHeight="1">
      <c r="V357" s="43"/>
    </row>
    <row r="358" ht="14.25" customHeight="1">
      <c r="V358" s="43"/>
    </row>
    <row r="359" ht="14.25" customHeight="1">
      <c r="V359" s="43"/>
    </row>
    <row r="360" ht="14.25" customHeight="1">
      <c r="V360" s="43"/>
    </row>
    <row r="361" ht="14.25" customHeight="1">
      <c r="V361" s="43"/>
    </row>
    <row r="362" ht="14.25" customHeight="1">
      <c r="V362" s="43"/>
    </row>
    <row r="363" ht="14.25" customHeight="1">
      <c r="V363" s="43"/>
    </row>
    <row r="364" ht="14.25" customHeight="1">
      <c r="V364" s="43"/>
    </row>
    <row r="365" ht="14.25" customHeight="1">
      <c r="V365" s="43"/>
    </row>
    <row r="366" ht="14.25" customHeight="1">
      <c r="V366" s="43"/>
    </row>
    <row r="367" ht="14.25" customHeight="1">
      <c r="V367" s="43"/>
    </row>
    <row r="368" ht="14.25" customHeight="1">
      <c r="V368" s="43"/>
    </row>
    <row r="369" ht="14.25" customHeight="1">
      <c r="V369" s="43"/>
    </row>
    <row r="370" ht="14.25" customHeight="1">
      <c r="V370" s="43"/>
    </row>
    <row r="371" ht="14.25" customHeight="1">
      <c r="V371" s="43"/>
    </row>
    <row r="372" ht="14.25" customHeight="1">
      <c r="V372" s="43"/>
    </row>
    <row r="373" ht="14.25" customHeight="1">
      <c r="V373" s="43"/>
    </row>
    <row r="374" ht="14.25" customHeight="1">
      <c r="V374" s="43"/>
    </row>
    <row r="375" ht="14.25" customHeight="1">
      <c r="V375" s="43"/>
    </row>
    <row r="376" ht="14.25" customHeight="1">
      <c r="V376" s="43"/>
    </row>
    <row r="377" ht="14.25" customHeight="1">
      <c r="V377" s="43"/>
    </row>
    <row r="378" ht="14.25" customHeight="1">
      <c r="V378" s="43"/>
    </row>
    <row r="379" ht="14.25" customHeight="1">
      <c r="V379" s="43"/>
    </row>
    <row r="380" ht="14.25" customHeight="1">
      <c r="V380" s="43"/>
    </row>
    <row r="381" ht="14.25" customHeight="1">
      <c r="V381" s="43"/>
    </row>
    <row r="382" ht="14.25" customHeight="1">
      <c r="V382" s="43"/>
    </row>
    <row r="383" ht="14.25" customHeight="1">
      <c r="V383" s="43"/>
    </row>
    <row r="384" ht="14.25" customHeight="1">
      <c r="V384" s="43"/>
    </row>
    <row r="385" ht="14.25" customHeight="1">
      <c r="V385" s="43"/>
    </row>
    <row r="386" ht="14.25" customHeight="1">
      <c r="V386" s="43"/>
    </row>
    <row r="387" ht="14.25" customHeight="1">
      <c r="V387" s="43"/>
    </row>
    <row r="388" ht="14.25" customHeight="1">
      <c r="V388" s="43"/>
    </row>
    <row r="389" ht="14.25" customHeight="1">
      <c r="V389" s="43"/>
    </row>
    <row r="390" ht="14.25" customHeight="1">
      <c r="V390" s="43"/>
    </row>
    <row r="391" ht="14.25" customHeight="1">
      <c r="V391" s="43"/>
    </row>
    <row r="392" ht="14.25" customHeight="1">
      <c r="V392" s="43"/>
    </row>
    <row r="393" ht="14.25" customHeight="1">
      <c r="V393" s="43"/>
    </row>
    <row r="394" ht="14.25" customHeight="1">
      <c r="V394" s="43"/>
    </row>
    <row r="395" ht="14.25" customHeight="1">
      <c r="V395" s="43"/>
    </row>
    <row r="396" ht="14.25" customHeight="1">
      <c r="V396" s="43"/>
    </row>
    <row r="397" ht="14.25" customHeight="1">
      <c r="V397" s="43"/>
    </row>
    <row r="398" ht="14.25" customHeight="1">
      <c r="V398" s="43"/>
    </row>
    <row r="399" ht="14.25" customHeight="1">
      <c r="V399" s="43"/>
    </row>
    <row r="400" ht="14.25" customHeight="1">
      <c r="V400" s="43"/>
    </row>
    <row r="401" ht="14.25" customHeight="1">
      <c r="V401" s="43"/>
    </row>
    <row r="402" ht="14.25" customHeight="1">
      <c r="V402" s="43"/>
    </row>
    <row r="403" ht="14.25" customHeight="1">
      <c r="V403" s="43"/>
    </row>
    <row r="404" ht="14.25" customHeight="1">
      <c r="V404" s="43"/>
    </row>
    <row r="405" ht="14.25" customHeight="1">
      <c r="V405" s="43"/>
    </row>
    <row r="406" ht="14.25" customHeight="1">
      <c r="V406" s="43"/>
    </row>
    <row r="407" ht="14.25" customHeight="1">
      <c r="V407" s="43"/>
    </row>
    <row r="408" ht="14.25" customHeight="1">
      <c r="V408" s="43"/>
    </row>
    <row r="409" ht="14.25" customHeight="1">
      <c r="V409" s="43"/>
    </row>
    <row r="410" ht="14.25" customHeight="1">
      <c r="V410" s="43"/>
    </row>
    <row r="411" ht="14.25" customHeight="1">
      <c r="V411" s="43"/>
    </row>
    <row r="412" ht="14.25" customHeight="1">
      <c r="V412" s="43"/>
    </row>
    <row r="413" ht="14.25" customHeight="1">
      <c r="V413" s="43"/>
    </row>
    <row r="414" ht="14.25" customHeight="1">
      <c r="V414" s="43"/>
    </row>
    <row r="415" ht="14.25" customHeight="1">
      <c r="V415" s="43"/>
    </row>
    <row r="416" ht="14.25" customHeight="1">
      <c r="V416" s="43"/>
    </row>
    <row r="417" ht="14.25" customHeight="1">
      <c r="V417" s="43"/>
    </row>
    <row r="418" ht="14.25" customHeight="1">
      <c r="V418" s="43"/>
    </row>
    <row r="419" ht="14.25" customHeight="1">
      <c r="V419" s="43"/>
    </row>
    <row r="420" ht="14.25" customHeight="1">
      <c r="V420" s="43"/>
    </row>
    <row r="421" ht="14.25" customHeight="1">
      <c r="V421" s="43"/>
    </row>
    <row r="422" ht="14.25" customHeight="1">
      <c r="V422" s="43"/>
    </row>
    <row r="423" ht="14.25" customHeight="1">
      <c r="V423" s="43"/>
    </row>
    <row r="424" ht="14.25" customHeight="1">
      <c r="V424" s="43"/>
    </row>
    <row r="425" ht="14.25" customHeight="1">
      <c r="V425" s="43"/>
    </row>
    <row r="426" ht="14.25" customHeight="1">
      <c r="V426" s="43"/>
    </row>
    <row r="427" ht="14.25" customHeight="1">
      <c r="V427" s="43"/>
    </row>
    <row r="428" ht="14.25" customHeight="1">
      <c r="V428" s="43"/>
    </row>
    <row r="429" ht="14.25" customHeight="1">
      <c r="V429" s="43"/>
    </row>
    <row r="430" ht="14.25" customHeight="1">
      <c r="V430" s="43"/>
    </row>
    <row r="431" ht="14.25" customHeight="1">
      <c r="V431" s="43"/>
    </row>
    <row r="432" ht="14.25" customHeight="1">
      <c r="V432" s="43"/>
    </row>
    <row r="433" ht="14.25" customHeight="1">
      <c r="V433" s="43"/>
    </row>
    <row r="434" ht="14.25" customHeight="1">
      <c r="V434" s="43"/>
    </row>
    <row r="435" ht="14.25" customHeight="1">
      <c r="V435" s="43"/>
    </row>
    <row r="436" ht="14.25" customHeight="1">
      <c r="V436" s="43"/>
    </row>
    <row r="437" ht="14.25" customHeight="1">
      <c r="V437" s="43"/>
    </row>
    <row r="438" ht="14.25" customHeight="1">
      <c r="V438" s="43"/>
    </row>
    <row r="439" ht="14.25" customHeight="1">
      <c r="V439" s="43"/>
    </row>
    <row r="440" ht="14.25" customHeight="1">
      <c r="V440" s="43"/>
    </row>
    <row r="441" ht="14.25" customHeight="1">
      <c r="V441" s="43"/>
    </row>
    <row r="442" ht="14.25" customHeight="1">
      <c r="V442" s="43"/>
    </row>
    <row r="443" ht="14.25" customHeight="1">
      <c r="V443" s="43"/>
    </row>
    <row r="444" ht="14.25" customHeight="1">
      <c r="V444" s="43"/>
    </row>
    <row r="445" ht="14.25" customHeight="1">
      <c r="V445" s="43"/>
    </row>
    <row r="446" ht="14.25" customHeight="1">
      <c r="V446" s="43"/>
    </row>
    <row r="447" ht="14.25" customHeight="1">
      <c r="V447" s="43"/>
    </row>
    <row r="448" ht="14.25" customHeight="1">
      <c r="V448" s="43"/>
    </row>
    <row r="449" ht="14.25" customHeight="1">
      <c r="V449" s="43"/>
    </row>
    <row r="450" ht="14.25" customHeight="1">
      <c r="V450" s="43"/>
    </row>
    <row r="451" ht="14.25" customHeight="1">
      <c r="V451" s="43"/>
    </row>
    <row r="452" ht="14.25" customHeight="1">
      <c r="V452" s="43"/>
    </row>
    <row r="453" ht="14.25" customHeight="1">
      <c r="V453" s="43"/>
    </row>
    <row r="454" ht="14.25" customHeight="1">
      <c r="V454" s="43"/>
    </row>
    <row r="455" ht="14.25" customHeight="1">
      <c r="V455" s="43"/>
    </row>
    <row r="456" ht="14.25" customHeight="1">
      <c r="V456" s="43"/>
    </row>
    <row r="457" ht="14.25" customHeight="1">
      <c r="V457" s="43"/>
    </row>
    <row r="458" ht="14.25" customHeight="1">
      <c r="V458" s="43"/>
    </row>
    <row r="459" ht="14.25" customHeight="1">
      <c r="V459" s="43"/>
    </row>
    <row r="460" ht="14.25" customHeight="1">
      <c r="V460" s="43"/>
    </row>
    <row r="461" ht="14.25" customHeight="1">
      <c r="V461" s="43"/>
    </row>
    <row r="462" ht="14.25" customHeight="1">
      <c r="V462" s="43"/>
    </row>
    <row r="463" ht="14.25" customHeight="1">
      <c r="V463" s="43"/>
    </row>
    <row r="464" ht="14.25" customHeight="1">
      <c r="V464" s="43"/>
    </row>
    <row r="465" ht="14.25" customHeight="1">
      <c r="V465" s="43"/>
    </row>
    <row r="466" ht="14.25" customHeight="1">
      <c r="V466" s="43"/>
    </row>
    <row r="467" ht="14.25" customHeight="1">
      <c r="V467" s="43"/>
    </row>
    <row r="468" ht="14.25" customHeight="1">
      <c r="V468" s="43"/>
    </row>
    <row r="469" ht="14.25" customHeight="1">
      <c r="V469" s="43"/>
    </row>
    <row r="470" ht="14.25" customHeight="1">
      <c r="V470" s="43"/>
    </row>
    <row r="471" ht="14.25" customHeight="1">
      <c r="V471" s="43"/>
    </row>
    <row r="472" ht="14.25" customHeight="1">
      <c r="V472" s="43"/>
    </row>
    <row r="473" ht="14.25" customHeight="1">
      <c r="V473" s="43"/>
    </row>
    <row r="474" ht="14.25" customHeight="1">
      <c r="V474" s="43"/>
    </row>
    <row r="475" ht="14.25" customHeight="1">
      <c r="V475" s="43"/>
    </row>
    <row r="476" ht="14.25" customHeight="1">
      <c r="V476" s="43"/>
    </row>
    <row r="477" ht="14.25" customHeight="1">
      <c r="V477" s="43"/>
    </row>
    <row r="478" ht="14.25" customHeight="1">
      <c r="V478" s="43"/>
    </row>
    <row r="479" ht="14.25" customHeight="1">
      <c r="V479" s="43"/>
    </row>
    <row r="480" ht="14.25" customHeight="1">
      <c r="V480" s="43"/>
    </row>
    <row r="481" ht="14.25" customHeight="1">
      <c r="V481" s="43"/>
    </row>
    <row r="482" ht="14.25" customHeight="1">
      <c r="V482" s="43"/>
    </row>
    <row r="483" ht="14.25" customHeight="1">
      <c r="V483" s="43"/>
    </row>
    <row r="484" ht="14.25" customHeight="1">
      <c r="V484" s="43"/>
    </row>
    <row r="485" ht="14.25" customHeight="1">
      <c r="V485" s="43"/>
    </row>
    <row r="486" ht="14.25" customHeight="1">
      <c r="V486" s="43"/>
    </row>
    <row r="487" ht="14.25" customHeight="1">
      <c r="V487" s="43"/>
    </row>
    <row r="488" ht="14.25" customHeight="1">
      <c r="V488" s="43"/>
    </row>
    <row r="489" ht="14.25" customHeight="1">
      <c r="V489" s="43"/>
    </row>
    <row r="490" ht="14.25" customHeight="1">
      <c r="V490" s="43"/>
    </row>
    <row r="491" ht="14.25" customHeight="1">
      <c r="V491" s="43"/>
    </row>
    <row r="492" ht="14.25" customHeight="1">
      <c r="V492" s="43"/>
    </row>
    <row r="493" ht="14.25" customHeight="1">
      <c r="V493" s="43"/>
    </row>
    <row r="494" ht="14.25" customHeight="1">
      <c r="V494" s="43"/>
    </row>
    <row r="495" ht="14.25" customHeight="1">
      <c r="V495" s="43"/>
    </row>
    <row r="496" ht="14.25" customHeight="1">
      <c r="V496" s="43"/>
    </row>
    <row r="497" ht="14.25" customHeight="1">
      <c r="V497" s="43"/>
    </row>
    <row r="498" ht="14.25" customHeight="1">
      <c r="V498" s="43"/>
    </row>
    <row r="499" ht="14.25" customHeight="1">
      <c r="V499" s="43"/>
    </row>
    <row r="500" ht="14.25" customHeight="1">
      <c r="V500" s="43"/>
    </row>
    <row r="501" ht="14.25" customHeight="1">
      <c r="V501" s="43"/>
    </row>
    <row r="502" ht="14.25" customHeight="1">
      <c r="V502" s="43"/>
    </row>
    <row r="503" ht="14.25" customHeight="1">
      <c r="V503" s="43"/>
    </row>
    <row r="504" ht="14.25" customHeight="1">
      <c r="V504" s="43"/>
    </row>
    <row r="505" ht="14.25" customHeight="1">
      <c r="V505" s="43"/>
    </row>
    <row r="506" ht="14.25" customHeight="1">
      <c r="V506" s="43"/>
    </row>
    <row r="507" ht="14.25" customHeight="1">
      <c r="V507" s="43"/>
    </row>
    <row r="508" ht="14.25" customHeight="1">
      <c r="V508" s="43"/>
    </row>
    <row r="509" ht="14.25" customHeight="1">
      <c r="V509" s="43"/>
    </row>
    <row r="510" ht="14.25" customHeight="1">
      <c r="V510" s="43"/>
    </row>
    <row r="511" ht="14.25" customHeight="1">
      <c r="V511" s="43"/>
    </row>
    <row r="512" ht="14.25" customHeight="1">
      <c r="V512" s="43"/>
    </row>
    <row r="513" ht="14.25" customHeight="1">
      <c r="V513" s="43"/>
    </row>
    <row r="514" ht="14.25" customHeight="1">
      <c r="V514" s="43"/>
    </row>
    <row r="515" ht="14.25" customHeight="1">
      <c r="V515" s="43"/>
    </row>
    <row r="516" ht="14.25" customHeight="1">
      <c r="V516" s="43"/>
    </row>
    <row r="517" ht="14.25" customHeight="1">
      <c r="V517" s="43"/>
    </row>
    <row r="518" ht="14.25" customHeight="1">
      <c r="V518" s="43"/>
    </row>
    <row r="519" ht="14.25" customHeight="1">
      <c r="V519" s="43"/>
    </row>
    <row r="520" ht="14.25" customHeight="1">
      <c r="V520" s="43"/>
    </row>
    <row r="521" ht="14.25" customHeight="1">
      <c r="V521" s="43"/>
    </row>
    <row r="522" ht="14.25" customHeight="1">
      <c r="V522" s="43"/>
    </row>
    <row r="523" ht="14.25" customHeight="1">
      <c r="V523" s="43"/>
    </row>
    <row r="524" ht="14.25" customHeight="1">
      <c r="V524" s="43"/>
    </row>
    <row r="525" ht="14.25" customHeight="1">
      <c r="V525" s="43"/>
    </row>
    <row r="526" ht="14.25" customHeight="1">
      <c r="V526" s="43"/>
    </row>
    <row r="527" ht="14.25" customHeight="1">
      <c r="V527" s="43"/>
    </row>
    <row r="528" ht="14.25" customHeight="1">
      <c r="V528" s="43"/>
    </row>
    <row r="529" ht="14.25" customHeight="1">
      <c r="V529" s="43"/>
    </row>
    <row r="530" ht="14.25" customHeight="1">
      <c r="V530" s="43"/>
    </row>
    <row r="531" ht="14.25" customHeight="1">
      <c r="V531" s="43"/>
    </row>
    <row r="532" ht="14.25" customHeight="1">
      <c r="V532" s="43"/>
    </row>
    <row r="533" ht="14.25" customHeight="1">
      <c r="V533" s="43"/>
    </row>
    <row r="534" ht="14.25" customHeight="1">
      <c r="V534" s="43"/>
    </row>
    <row r="535" ht="14.25" customHeight="1">
      <c r="V535" s="43"/>
    </row>
    <row r="536" ht="14.25" customHeight="1">
      <c r="V536" s="43"/>
    </row>
    <row r="537" ht="14.25" customHeight="1">
      <c r="V537" s="43"/>
    </row>
    <row r="538" ht="14.25" customHeight="1">
      <c r="V538" s="43"/>
    </row>
    <row r="539" ht="14.25" customHeight="1">
      <c r="V539" s="43"/>
    </row>
    <row r="540" ht="14.25" customHeight="1">
      <c r="V540" s="43"/>
    </row>
    <row r="541" ht="14.25" customHeight="1">
      <c r="V541" s="43"/>
    </row>
    <row r="542" ht="14.25" customHeight="1">
      <c r="V542" s="43"/>
    </row>
    <row r="543" ht="14.25" customHeight="1">
      <c r="V543" s="43"/>
    </row>
    <row r="544" ht="14.25" customHeight="1">
      <c r="V544" s="43"/>
    </row>
    <row r="545" ht="14.25" customHeight="1">
      <c r="V545" s="43"/>
    </row>
    <row r="546" ht="14.25" customHeight="1">
      <c r="V546" s="43"/>
    </row>
    <row r="547" ht="14.25" customHeight="1">
      <c r="V547" s="43"/>
    </row>
    <row r="548" ht="14.25" customHeight="1">
      <c r="V548" s="43"/>
    </row>
    <row r="549" ht="14.25" customHeight="1">
      <c r="V549" s="43"/>
    </row>
    <row r="550" ht="14.25" customHeight="1">
      <c r="V550" s="43"/>
    </row>
    <row r="551" ht="14.25" customHeight="1">
      <c r="V551" s="43"/>
    </row>
    <row r="552" ht="14.25" customHeight="1">
      <c r="V552" s="43"/>
    </row>
    <row r="553" ht="14.25" customHeight="1">
      <c r="V553" s="43"/>
    </row>
    <row r="554" ht="14.25" customHeight="1">
      <c r="V554" s="43"/>
    </row>
    <row r="555" ht="14.25" customHeight="1">
      <c r="V555" s="43"/>
    </row>
    <row r="556" ht="14.25" customHeight="1">
      <c r="V556" s="43"/>
    </row>
    <row r="557" ht="14.25" customHeight="1">
      <c r="V557" s="43"/>
    </row>
    <row r="558" ht="14.25" customHeight="1">
      <c r="V558" s="43"/>
    </row>
    <row r="559" ht="14.25" customHeight="1">
      <c r="V559" s="43"/>
    </row>
    <row r="560" ht="14.25" customHeight="1">
      <c r="V560" s="43"/>
    </row>
    <row r="561" ht="14.25" customHeight="1">
      <c r="V561" s="43"/>
    </row>
    <row r="562" ht="14.25" customHeight="1">
      <c r="V562" s="43"/>
    </row>
    <row r="563" ht="14.25" customHeight="1">
      <c r="V563" s="43"/>
    </row>
    <row r="564" ht="14.25" customHeight="1">
      <c r="V564" s="43"/>
    </row>
    <row r="565" ht="14.25" customHeight="1">
      <c r="V565" s="43"/>
    </row>
    <row r="566" ht="14.25" customHeight="1">
      <c r="V566" s="43"/>
    </row>
    <row r="567" ht="14.25" customHeight="1">
      <c r="V567" s="43"/>
    </row>
    <row r="568" ht="14.25" customHeight="1">
      <c r="V568" s="43"/>
    </row>
    <row r="569" ht="14.25" customHeight="1">
      <c r="V569" s="43"/>
    </row>
    <row r="570" ht="14.25" customHeight="1">
      <c r="V570" s="43"/>
    </row>
    <row r="571" ht="14.25" customHeight="1">
      <c r="V571" s="43"/>
    </row>
    <row r="572" ht="14.25" customHeight="1">
      <c r="V572" s="43"/>
    </row>
    <row r="573" ht="14.25" customHeight="1">
      <c r="V573" s="43"/>
    </row>
    <row r="574" ht="14.25" customHeight="1">
      <c r="V574" s="43"/>
    </row>
    <row r="575" ht="14.25" customHeight="1">
      <c r="V575" s="43"/>
    </row>
    <row r="576" ht="14.25" customHeight="1">
      <c r="V576" s="43"/>
    </row>
    <row r="577" ht="14.25" customHeight="1">
      <c r="V577" s="43"/>
    </row>
    <row r="578" ht="14.25" customHeight="1">
      <c r="V578" s="43"/>
    </row>
    <row r="579" ht="14.25" customHeight="1">
      <c r="V579" s="43"/>
    </row>
    <row r="580" ht="14.25" customHeight="1">
      <c r="V580" s="43"/>
    </row>
    <row r="581" ht="14.25" customHeight="1">
      <c r="V581" s="43"/>
    </row>
    <row r="582" ht="14.25" customHeight="1">
      <c r="V582" s="43"/>
    </row>
    <row r="583" ht="14.25" customHeight="1">
      <c r="V583" s="43"/>
    </row>
    <row r="584" ht="14.25" customHeight="1">
      <c r="V584" s="43"/>
    </row>
    <row r="585" ht="14.25" customHeight="1">
      <c r="V585" s="43"/>
    </row>
    <row r="586" ht="14.25" customHeight="1">
      <c r="V586" s="43"/>
    </row>
    <row r="587" ht="14.25" customHeight="1">
      <c r="V587" s="43"/>
    </row>
    <row r="588" ht="14.25" customHeight="1">
      <c r="V588" s="43"/>
    </row>
    <row r="589" ht="14.25" customHeight="1">
      <c r="V589" s="43"/>
    </row>
    <row r="590" ht="14.25" customHeight="1">
      <c r="V590" s="43"/>
    </row>
    <row r="591" ht="14.25" customHeight="1">
      <c r="V591" s="43"/>
    </row>
    <row r="592" ht="14.25" customHeight="1">
      <c r="V592" s="43"/>
    </row>
    <row r="593" ht="14.25" customHeight="1">
      <c r="V593" s="43"/>
    </row>
    <row r="594" ht="14.25" customHeight="1">
      <c r="V594" s="43"/>
    </row>
    <row r="595" ht="14.25" customHeight="1">
      <c r="V595" s="43"/>
    </row>
    <row r="596" ht="14.25" customHeight="1">
      <c r="V596" s="43"/>
    </row>
    <row r="597" ht="14.25" customHeight="1">
      <c r="V597" s="43"/>
    </row>
    <row r="598" ht="14.25" customHeight="1">
      <c r="V598" s="43"/>
    </row>
    <row r="599" ht="14.25" customHeight="1">
      <c r="V599" s="43"/>
    </row>
    <row r="600" ht="14.25" customHeight="1">
      <c r="V600" s="43"/>
    </row>
    <row r="601" ht="14.25" customHeight="1">
      <c r="V601" s="43"/>
    </row>
    <row r="602" ht="14.25" customHeight="1">
      <c r="V602" s="43"/>
    </row>
    <row r="603" ht="14.25" customHeight="1">
      <c r="V603" s="43"/>
    </row>
    <row r="604" ht="14.25" customHeight="1">
      <c r="V604" s="43"/>
    </row>
    <row r="605" ht="14.25" customHeight="1">
      <c r="V605" s="43"/>
    </row>
    <row r="606" ht="14.25" customHeight="1">
      <c r="V606" s="43"/>
    </row>
    <row r="607" ht="14.25" customHeight="1">
      <c r="V607" s="43"/>
    </row>
    <row r="608" ht="14.25" customHeight="1">
      <c r="V608" s="43"/>
    </row>
    <row r="609" ht="14.25" customHeight="1">
      <c r="V609" s="43"/>
    </row>
    <row r="610" ht="14.25" customHeight="1">
      <c r="V610" s="43"/>
    </row>
    <row r="611" ht="14.25" customHeight="1">
      <c r="V611" s="43"/>
    </row>
    <row r="612" ht="14.25" customHeight="1">
      <c r="V612" s="43"/>
    </row>
    <row r="613" ht="14.25" customHeight="1">
      <c r="V613" s="43"/>
    </row>
    <row r="614" ht="14.25" customHeight="1">
      <c r="V614" s="43"/>
    </row>
    <row r="615" ht="14.25" customHeight="1">
      <c r="V615" s="43"/>
    </row>
    <row r="616" ht="14.25" customHeight="1">
      <c r="V616" s="43"/>
    </row>
    <row r="617" ht="14.25" customHeight="1">
      <c r="V617" s="43"/>
    </row>
    <row r="618" ht="14.25" customHeight="1">
      <c r="V618" s="43"/>
    </row>
    <row r="619" ht="14.25" customHeight="1">
      <c r="V619" s="43"/>
    </row>
    <row r="620" ht="14.25" customHeight="1">
      <c r="V620" s="43"/>
    </row>
    <row r="621" ht="14.25" customHeight="1">
      <c r="V621" s="43"/>
    </row>
    <row r="622" ht="14.25" customHeight="1">
      <c r="V622" s="43"/>
    </row>
    <row r="623" ht="14.25" customHeight="1">
      <c r="V623" s="43"/>
    </row>
    <row r="624" ht="14.25" customHeight="1">
      <c r="V624" s="43"/>
    </row>
    <row r="625" ht="14.25" customHeight="1">
      <c r="V625" s="43"/>
    </row>
    <row r="626" ht="14.25" customHeight="1">
      <c r="V626" s="43"/>
    </row>
    <row r="627" ht="14.25" customHeight="1">
      <c r="V627" s="43"/>
    </row>
    <row r="628" ht="14.25" customHeight="1">
      <c r="V628" s="43"/>
    </row>
    <row r="629" ht="14.25" customHeight="1">
      <c r="V629" s="43"/>
    </row>
    <row r="630" ht="14.25" customHeight="1">
      <c r="V630" s="43"/>
    </row>
    <row r="631" ht="14.25" customHeight="1">
      <c r="V631" s="43"/>
    </row>
    <row r="632" ht="14.25" customHeight="1">
      <c r="V632" s="43"/>
    </row>
    <row r="633" ht="14.25" customHeight="1">
      <c r="V633" s="43"/>
    </row>
    <row r="634" ht="14.25" customHeight="1">
      <c r="V634" s="43"/>
    </row>
    <row r="635" ht="14.25" customHeight="1">
      <c r="V635" s="43"/>
    </row>
    <row r="636" ht="14.25" customHeight="1">
      <c r="V636" s="43"/>
    </row>
    <row r="637" ht="14.25" customHeight="1">
      <c r="V637" s="43"/>
    </row>
    <row r="638" ht="14.25" customHeight="1">
      <c r="V638" s="43"/>
    </row>
    <row r="639" ht="14.25" customHeight="1">
      <c r="V639" s="43"/>
    </row>
    <row r="640" ht="14.25" customHeight="1">
      <c r="V640" s="43"/>
    </row>
    <row r="641" ht="14.25" customHeight="1">
      <c r="V641" s="43"/>
    </row>
    <row r="642" ht="14.25" customHeight="1">
      <c r="V642" s="43"/>
    </row>
    <row r="643" ht="14.25" customHeight="1">
      <c r="V643" s="43"/>
    </row>
    <row r="644" ht="14.25" customHeight="1">
      <c r="V644" s="43"/>
    </row>
    <row r="645" ht="14.25" customHeight="1">
      <c r="V645" s="43"/>
    </row>
    <row r="646" ht="14.25" customHeight="1">
      <c r="V646" s="43"/>
    </row>
    <row r="647" ht="14.25" customHeight="1">
      <c r="V647" s="43"/>
    </row>
    <row r="648" ht="14.25" customHeight="1">
      <c r="V648" s="43"/>
    </row>
    <row r="649" ht="14.25" customHeight="1">
      <c r="V649" s="43"/>
    </row>
    <row r="650" ht="14.25" customHeight="1">
      <c r="V650" s="43"/>
    </row>
    <row r="651" ht="14.25" customHeight="1">
      <c r="V651" s="43"/>
    </row>
    <row r="652" ht="14.25" customHeight="1">
      <c r="V652" s="43"/>
    </row>
    <row r="653" ht="14.25" customHeight="1">
      <c r="V653" s="43"/>
    </row>
    <row r="654" ht="14.25" customHeight="1">
      <c r="V654" s="43"/>
    </row>
    <row r="655" ht="14.25" customHeight="1">
      <c r="V655" s="43"/>
    </row>
    <row r="656" ht="14.25" customHeight="1">
      <c r="V656" s="43"/>
    </row>
    <row r="657" ht="14.25" customHeight="1">
      <c r="V657" s="43"/>
    </row>
    <row r="658" ht="14.25" customHeight="1">
      <c r="V658" s="43"/>
    </row>
    <row r="659" ht="14.25" customHeight="1">
      <c r="V659" s="43"/>
    </row>
    <row r="660" ht="14.25" customHeight="1">
      <c r="V660" s="43"/>
    </row>
    <row r="661" ht="14.25" customHeight="1">
      <c r="V661" s="43"/>
    </row>
    <row r="662" ht="14.25" customHeight="1">
      <c r="V662" s="43"/>
    </row>
    <row r="663" ht="14.25" customHeight="1">
      <c r="V663" s="43"/>
    </row>
    <row r="664" ht="14.25" customHeight="1">
      <c r="V664" s="43"/>
    </row>
    <row r="665" ht="14.25" customHeight="1">
      <c r="V665" s="43"/>
    </row>
    <row r="666" ht="14.25" customHeight="1">
      <c r="V666" s="43"/>
    </row>
    <row r="667" ht="14.25" customHeight="1">
      <c r="V667" s="43"/>
    </row>
    <row r="668" ht="14.25" customHeight="1">
      <c r="V668" s="43"/>
    </row>
    <row r="669" ht="14.25" customHeight="1">
      <c r="V669" s="43"/>
    </row>
    <row r="670" ht="14.25" customHeight="1">
      <c r="V670" s="43"/>
    </row>
    <row r="671" ht="14.25" customHeight="1">
      <c r="V671" s="43"/>
    </row>
    <row r="672" ht="14.25" customHeight="1">
      <c r="V672" s="43"/>
    </row>
    <row r="673" ht="14.25" customHeight="1">
      <c r="V673" s="43"/>
    </row>
    <row r="674" ht="14.25" customHeight="1">
      <c r="V674" s="43"/>
    </row>
    <row r="675" ht="14.25" customHeight="1">
      <c r="V675" s="43"/>
    </row>
    <row r="676" ht="14.25" customHeight="1">
      <c r="V676" s="43"/>
    </row>
    <row r="677" ht="14.25" customHeight="1">
      <c r="V677" s="43"/>
    </row>
    <row r="678" ht="14.25" customHeight="1">
      <c r="V678" s="43"/>
    </row>
    <row r="679" ht="14.25" customHeight="1">
      <c r="V679" s="43"/>
    </row>
    <row r="680" ht="14.25" customHeight="1">
      <c r="V680" s="43"/>
    </row>
    <row r="681" ht="14.25" customHeight="1">
      <c r="V681" s="43"/>
    </row>
    <row r="682" ht="14.25" customHeight="1">
      <c r="V682" s="43"/>
    </row>
    <row r="683" ht="14.25" customHeight="1">
      <c r="V683" s="43"/>
    </row>
    <row r="684" ht="14.25" customHeight="1">
      <c r="V684" s="43"/>
    </row>
    <row r="685" ht="14.25" customHeight="1">
      <c r="V685" s="43"/>
    </row>
    <row r="686" ht="14.25" customHeight="1">
      <c r="V686" s="43"/>
    </row>
    <row r="687" ht="14.25" customHeight="1">
      <c r="V687" s="43"/>
    </row>
    <row r="688" ht="14.25" customHeight="1">
      <c r="V688" s="43"/>
    </row>
    <row r="689" ht="14.25" customHeight="1">
      <c r="V689" s="43"/>
    </row>
    <row r="690" ht="14.25" customHeight="1">
      <c r="V690" s="43"/>
    </row>
    <row r="691" ht="14.25" customHeight="1">
      <c r="V691" s="43"/>
    </row>
    <row r="692" ht="14.25" customHeight="1">
      <c r="V692" s="43"/>
    </row>
    <row r="693" ht="14.25" customHeight="1">
      <c r="V693" s="43"/>
    </row>
    <row r="694" ht="14.25" customHeight="1">
      <c r="V694" s="43"/>
    </row>
    <row r="695" ht="14.25" customHeight="1">
      <c r="V695" s="43"/>
    </row>
    <row r="696" ht="14.25" customHeight="1">
      <c r="V696" s="43"/>
    </row>
    <row r="697" ht="14.25" customHeight="1">
      <c r="V697" s="43"/>
    </row>
    <row r="698" ht="14.25" customHeight="1">
      <c r="V698" s="43"/>
    </row>
    <row r="699" ht="14.25" customHeight="1">
      <c r="V699" s="43"/>
    </row>
    <row r="700" ht="14.25" customHeight="1">
      <c r="V700" s="43"/>
    </row>
    <row r="701" ht="14.25" customHeight="1">
      <c r="V701" s="43"/>
    </row>
    <row r="702" ht="14.25" customHeight="1">
      <c r="V702" s="43"/>
    </row>
    <row r="703" ht="14.25" customHeight="1">
      <c r="V703" s="43"/>
    </row>
    <row r="704" ht="14.25" customHeight="1">
      <c r="V704" s="43"/>
    </row>
    <row r="705" ht="14.25" customHeight="1">
      <c r="V705" s="43"/>
    </row>
    <row r="706" ht="14.25" customHeight="1">
      <c r="V706" s="43"/>
    </row>
    <row r="707" ht="14.25" customHeight="1">
      <c r="V707" s="43"/>
    </row>
    <row r="708" ht="14.25" customHeight="1">
      <c r="V708" s="43"/>
    </row>
    <row r="709" ht="14.25" customHeight="1">
      <c r="V709" s="43"/>
    </row>
    <row r="710" ht="14.25" customHeight="1">
      <c r="V710" s="43"/>
    </row>
    <row r="711" ht="14.25" customHeight="1">
      <c r="V711" s="43"/>
    </row>
    <row r="712" ht="14.25" customHeight="1">
      <c r="V712" s="43"/>
    </row>
    <row r="713" ht="14.25" customHeight="1">
      <c r="V713" s="43"/>
    </row>
    <row r="714" ht="14.25" customHeight="1">
      <c r="V714" s="43"/>
    </row>
    <row r="715" ht="14.25" customHeight="1">
      <c r="V715" s="43"/>
    </row>
    <row r="716" ht="14.25" customHeight="1">
      <c r="V716" s="43"/>
    </row>
    <row r="717" ht="14.25" customHeight="1">
      <c r="V717" s="43"/>
    </row>
    <row r="718" ht="14.25" customHeight="1">
      <c r="V718" s="43"/>
    </row>
    <row r="719" ht="14.25" customHeight="1">
      <c r="V719" s="43"/>
    </row>
    <row r="720" ht="14.25" customHeight="1">
      <c r="V720" s="43"/>
    </row>
    <row r="721" ht="14.25" customHeight="1">
      <c r="V721" s="43"/>
    </row>
    <row r="722" ht="14.25" customHeight="1">
      <c r="V722" s="43"/>
    </row>
    <row r="723" ht="14.25" customHeight="1">
      <c r="V723" s="43"/>
    </row>
    <row r="724" ht="14.25" customHeight="1">
      <c r="V724" s="43"/>
    </row>
    <row r="725" ht="14.25" customHeight="1">
      <c r="V725" s="43"/>
    </row>
    <row r="726" ht="14.25" customHeight="1">
      <c r="V726" s="43"/>
    </row>
    <row r="727" ht="14.25" customHeight="1">
      <c r="V727" s="43"/>
    </row>
    <row r="728" ht="14.25" customHeight="1">
      <c r="V728" s="43"/>
    </row>
    <row r="729" ht="14.25" customHeight="1">
      <c r="V729" s="43"/>
    </row>
    <row r="730" ht="14.25" customHeight="1">
      <c r="V730" s="43"/>
    </row>
    <row r="731" ht="14.25" customHeight="1">
      <c r="V731" s="43"/>
    </row>
    <row r="732" ht="14.25" customHeight="1">
      <c r="V732" s="43"/>
    </row>
    <row r="733" ht="14.25" customHeight="1">
      <c r="V733" s="43"/>
    </row>
    <row r="734" ht="14.25" customHeight="1">
      <c r="V734" s="43"/>
    </row>
    <row r="735" ht="14.25" customHeight="1">
      <c r="V735" s="43"/>
    </row>
    <row r="736" ht="14.25" customHeight="1">
      <c r="V736" s="43"/>
    </row>
    <row r="737" ht="14.25" customHeight="1">
      <c r="V737" s="43"/>
    </row>
    <row r="738" ht="14.25" customHeight="1">
      <c r="V738" s="43"/>
    </row>
    <row r="739" ht="14.25" customHeight="1">
      <c r="V739" s="43"/>
    </row>
    <row r="740" ht="14.25" customHeight="1">
      <c r="V740" s="43"/>
    </row>
    <row r="741" ht="14.25" customHeight="1">
      <c r="V741" s="43"/>
    </row>
    <row r="742" ht="14.25" customHeight="1">
      <c r="V742" s="43"/>
    </row>
    <row r="743" ht="14.25" customHeight="1">
      <c r="V743" s="43"/>
    </row>
    <row r="744" ht="14.25" customHeight="1">
      <c r="V744" s="43"/>
    </row>
    <row r="745" ht="14.25" customHeight="1">
      <c r="V745" s="43"/>
    </row>
    <row r="746" ht="14.25" customHeight="1">
      <c r="V746" s="43"/>
    </row>
    <row r="747" ht="14.25" customHeight="1">
      <c r="V747" s="43"/>
    </row>
    <row r="748" ht="14.25" customHeight="1">
      <c r="V748" s="43"/>
    </row>
    <row r="749" ht="14.25" customHeight="1">
      <c r="V749" s="43"/>
    </row>
    <row r="750" ht="14.25" customHeight="1">
      <c r="V750" s="43"/>
    </row>
    <row r="751" ht="14.25" customHeight="1">
      <c r="V751" s="43"/>
    </row>
    <row r="752" ht="14.25" customHeight="1">
      <c r="V752" s="43"/>
    </row>
    <row r="753" ht="14.25" customHeight="1">
      <c r="V753" s="43"/>
    </row>
    <row r="754" ht="14.25" customHeight="1">
      <c r="V754" s="43"/>
    </row>
    <row r="755" ht="14.25" customHeight="1">
      <c r="V755" s="43"/>
    </row>
    <row r="756" ht="14.25" customHeight="1">
      <c r="V756" s="43"/>
    </row>
    <row r="757" ht="14.25" customHeight="1">
      <c r="V757" s="43"/>
    </row>
    <row r="758" ht="14.25" customHeight="1">
      <c r="V758" s="43"/>
    </row>
    <row r="759" ht="14.25" customHeight="1">
      <c r="V759" s="43"/>
    </row>
    <row r="760" ht="14.25" customHeight="1">
      <c r="V760" s="43"/>
    </row>
    <row r="761" ht="14.25" customHeight="1">
      <c r="V761" s="43"/>
    </row>
    <row r="762" ht="14.25" customHeight="1">
      <c r="V762" s="43"/>
    </row>
    <row r="763" ht="14.25" customHeight="1">
      <c r="V763" s="43"/>
    </row>
    <row r="764" ht="14.25" customHeight="1">
      <c r="V764" s="43"/>
    </row>
    <row r="765" ht="14.25" customHeight="1">
      <c r="V765" s="43"/>
    </row>
    <row r="766" ht="14.25" customHeight="1">
      <c r="V766" s="43"/>
    </row>
    <row r="767" ht="14.25" customHeight="1">
      <c r="V767" s="43"/>
    </row>
    <row r="768" ht="14.25" customHeight="1">
      <c r="V768" s="43"/>
    </row>
    <row r="769" ht="14.25" customHeight="1">
      <c r="V769" s="43"/>
    </row>
    <row r="770" ht="14.25" customHeight="1">
      <c r="V770" s="43"/>
    </row>
    <row r="771" ht="14.25" customHeight="1">
      <c r="V771" s="43"/>
    </row>
    <row r="772" ht="14.25" customHeight="1">
      <c r="V772" s="43"/>
    </row>
    <row r="773" ht="14.25" customHeight="1">
      <c r="V773" s="43"/>
    </row>
    <row r="774" ht="14.25" customHeight="1">
      <c r="V774" s="43"/>
    </row>
    <row r="775" ht="14.25" customHeight="1">
      <c r="V775" s="43"/>
    </row>
    <row r="776" ht="14.25" customHeight="1">
      <c r="V776" s="43"/>
    </row>
    <row r="777" ht="14.25" customHeight="1">
      <c r="V777" s="43"/>
    </row>
    <row r="778" ht="14.25" customHeight="1">
      <c r="V778" s="43"/>
    </row>
    <row r="779" ht="14.25" customHeight="1">
      <c r="V779" s="43"/>
    </row>
    <row r="780" ht="14.25" customHeight="1">
      <c r="V780" s="43"/>
    </row>
    <row r="781" ht="14.25" customHeight="1">
      <c r="V781" s="43"/>
    </row>
    <row r="782" ht="14.25" customHeight="1">
      <c r="V782" s="43"/>
    </row>
    <row r="783" ht="14.25" customHeight="1">
      <c r="V783" s="43"/>
    </row>
    <row r="784" ht="14.25" customHeight="1">
      <c r="V784" s="43"/>
    </row>
    <row r="785" ht="14.25" customHeight="1">
      <c r="V785" s="43"/>
    </row>
    <row r="786" ht="14.25" customHeight="1">
      <c r="V786" s="43"/>
    </row>
    <row r="787" ht="14.25" customHeight="1">
      <c r="V787" s="43"/>
    </row>
    <row r="788" ht="14.25" customHeight="1">
      <c r="V788" s="43"/>
    </row>
    <row r="789" ht="14.25" customHeight="1">
      <c r="V789" s="43"/>
    </row>
    <row r="790" ht="14.25" customHeight="1">
      <c r="V790" s="43"/>
    </row>
    <row r="791" ht="14.25" customHeight="1">
      <c r="V791" s="43"/>
    </row>
    <row r="792" ht="14.25" customHeight="1">
      <c r="V792" s="43"/>
    </row>
    <row r="793" ht="14.25" customHeight="1">
      <c r="V793" s="43"/>
    </row>
    <row r="794" ht="14.25" customHeight="1">
      <c r="V794" s="43"/>
    </row>
    <row r="795" ht="14.25" customHeight="1">
      <c r="V795" s="43"/>
    </row>
    <row r="796" ht="14.25" customHeight="1">
      <c r="V796" s="43"/>
    </row>
    <row r="797" ht="14.25" customHeight="1">
      <c r="V797" s="43"/>
    </row>
    <row r="798" ht="14.25" customHeight="1">
      <c r="V798" s="43"/>
    </row>
    <row r="799" ht="14.25" customHeight="1">
      <c r="V799" s="4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23" width="8.88"/>
    <col customWidth="1" min="24" max="43" width="6.63"/>
  </cols>
  <sheetData>
    <row r="1" ht="14.25" customHeight="1">
      <c r="A1" s="36" t="s">
        <v>33</v>
      </c>
      <c r="B1" s="36" t="s">
        <v>34</v>
      </c>
      <c r="C1" s="36" t="s">
        <v>35</v>
      </c>
      <c r="D1" s="36" t="s">
        <v>36</v>
      </c>
      <c r="E1" s="36" t="s">
        <v>37</v>
      </c>
      <c r="F1" s="36" t="s">
        <v>38</v>
      </c>
      <c r="G1" s="36" t="s">
        <v>39</v>
      </c>
      <c r="H1" s="36" t="s">
        <v>40</v>
      </c>
      <c r="I1" s="36" t="s">
        <v>41</v>
      </c>
      <c r="J1" s="36" t="s">
        <v>42</v>
      </c>
      <c r="K1" s="36" t="s">
        <v>43</v>
      </c>
      <c r="L1" s="36" t="s">
        <v>44</v>
      </c>
      <c r="M1" s="36" t="s">
        <v>45</v>
      </c>
      <c r="N1" s="36" t="s">
        <v>46</v>
      </c>
      <c r="O1" s="36" t="s">
        <v>39</v>
      </c>
      <c r="P1" s="36" t="s">
        <v>47</v>
      </c>
      <c r="Q1" s="36" t="s">
        <v>48</v>
      </c>
      <c r="R1" s="36" t="s">
        <v>49</v>
      </c>
      <c r="S1" s="36" t="s">
        <v>50</v>
      </c>
      <c r="T1" s="36" t="s">
        <v>51</v>
      </c>
    </row>
    <row r="2" ht="14.25" customHeight="1">
      <c r="A2" s="36" t="s">
        <v>53</v>
      </c>
      <c r="B2" s="36" t="s">
        <v>54</v>
      </c>
      <c r="C2" s="36" t="s">
        <v>55</v>
      </c>
      <c r="D2" s="36" t="s">
        <v>55</v>
      </c>
      <c r="E2" s="36" t="s">
        <v>56</v>
      </c>
      <c r="F2" s="36" t="s">
        <v>38</v>
      </c>
      <c r="G2" s="36" t="s">
        <v>57</v>
      </c>
      <c r="H2" s="36" t="s">
        <v>58</v>
      </c>
      <c r="I2" s="36" t="s">
        <v>59</v>
      </c>
      <c r="J2" s="36" t="s">
        <v>60</v>
      </c>
      <c r="K2" s="36" t="s">
        <v>61</v>
      </c>
      <c r="L2" s="36" t="s">
        <v>62</v>
      </c>
      <c r="M2" s="36" t="s">
        <v>63</v>
      </c>
      <c r="N2" s="36" t="s">
        <v>64</v>
      </c>
      <c r="O2" s="36" t="s">
        <v>57</v>
      </c>
      <c r="P2" s="36" t="s">
        <v>65</v>
      </c>
      <c r="Q2" s="36" t="s">
        <v>48</v>
      </c>
      <c r="R2" s="36" t="s">
        <v>66</v>
      </c>
      <c r="S2" s="36" t="s">
        <v>67</v>
      </c>
      <c r="T2" s="36" t="s">
        <v>68</v>
      </c>
    </row>
    <row r="3" ht="14.25" customHeight="1">
      <c r="A3" s="36" t="s">
        <v>69</v>
      </c>
      <c r="B3" s="36" t="s">
        <v>70</v>
      </c>
      <c r="C3" s="36" t="s">
        <v>71</v>
      </c>
      <c r="D3" s="36" t="s">
        <v>72</v>
      </c>
      <c r="E3" s="36" t="s">
        <v>72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77</v>
      </c>
      <c r="L3" s="36" t="s">
        <v>76</v>
      </c>
      <c r="M3" s="36" t="s">
        <v>78</v>
      </c>
      <c r="N3" s="36" t="s">
        <v>78</v>
      </c>
      <c r="O3" s="36" t="s">
        <v>73</v>
      </c>
      <c r="P3" s="36" t="s">
        <v>76</v>
      </c>
      <c r="R3" s="36" t="s">
        <v>79</v>
      </c>
      <c r="S3" s="36" t="s">
        <v>79</v>
      </c>
      <c r="T3" s="36" t="s">
        <v>79</v>
      </c>
      <c r="U3" s="8" t="s">
        <v>92</v>
      </c>
      <c r="V3" s="8" t="s">
        <v>85</v>
      </c>
      <c r="W3" s="8" t="s">
        <v>52</v>
      </c>
    </row>
    <row r="4" ht="14.25" customHeight="1">
      <c r="A4" s="36" t="s">
        <v>87</v>
      </c>
    </row>
    <row r="5" ht="14.25" customHeight="1">
      <c r="A5" s="38">
        <v>0.08958333333333333</v>
      </c>
      <c r="B5" s="36">
        <v>2.0</v>
      </c>
      <c r="C5" s="36">
        <v>3.9</v>
      </c>
      <c r="D5" s="36">
        <v>391.0</v>
      </c>
      <c r="E5" s="36">
        <v>334.0</v>
      </c>
      <c r="F5" s="36">
        <v>0.85</v>
      </c>
      <c r="G5" s="36">
        <v>17.0</v>
      </c>
      <c r="H5" s="36">
        <v>0.68</v>
      </c>
      <c r="I5" s="36">
        <v>11.5</v>
      </c>
      <c r="J5" s="36">
        <v>91.0</v>
      </c>
      <c r="K5" s="36">
        <v>87.0</v>
      </c>
      <c r="L5" s="36">
        <v>45.2</v>
      </c>
      <c r="M5" s="36">
        <v>103.0</v>
      </c>
      <c r="N5" s="36">
        <v>39.0</v>
      </c>
      <c r="O5" s="36">
        <v>17.0</v>
      </c>
      <c r="P5" s="36">
        <v>18.0</v>
      </c>
      <c r="Q5" s="36">
        <v>0.27</v>
      </c>
      <c r="R5" s="36">
        <v>0.95</v>
      </c>
      <c r="S5" s="36">
        <v>2.6</v>
      </c>
      <c r="T5" s="36">
        <v>3.55</v>
      </c>
      <c r="U5" s="21">
        <f t="shared" ref="U5:U215" si="1">T5*1000</f>
        <v>3550</v>
      </c>
      <c r="V5" s="21">
        <f t="shared" ref="V5:V164" si="2">(U5-U6)^2</f>
        <v>0</v>
      </c>
      <c r="W5" s="21">
        <f>SQRT(AVERAGE(V5:V164))</f>
        <v>108.9466613</v>
      </c>
    </row>
    <row r="6" ht="14.25" customHeight="1">
      <c r="A6" s="38">
        <v>0.09097222222222222</v>
      </c>
      <c r="B6" s="36">
        <v>2.0</v>
      </c>
      <c r="C6" s="36">
        <v>3.9</v>
      </c>
      <c r="D6" s="36">
        <v>391.0</v>
      </c>
      <c r="E6" s="36">
        <v>333.0</v>
      </c>
      <c r="F6" s="36">
        <v>0.85</v>
      </c>
      <c r="G6" s="36">
        <v>17.0</v>
      </c>
      <c r="H6" s="36">
        <v>0.68</v>
      </c>
      <c r="I6" s="36">
        <v>11.5</v>
      </c>
      <c r="J6" s="36">
        <v>91.0</v>
      </c>
      <c r="K6" s="36">
        <v>88.0</v>
      </c>
      <c r="L6" s="36">
        <v>44.5</v>
      </c>
      <c r="M6" s="36">
        <v>103.0</v>
      </c>
      <c r="N6" s="36">
        <v>39.0</v>
      </c>
      <c r="O6" s="36">
        <v>17.0</v>
      </c>
      <c r="P6" s="36">
        <v>18.0</v>
      </c>
      <c r="Q6" s="36">
        <v>0.27</v>
      </c>
      <c r="R6" s="36">
        <v>0.95</v>
      </c>
      <c r="S6" s="36">
        <v>2.6</v>
      </c>
      <c r="T6" s="36">
        <v>3.55</v>
      </c>
      <c r="U6" s="21">
        <f t="shared" si="1"/>
        <v>3550</v>
      </c>
      <c r="V6" s="21">
        <f t="shared" si="2"/>
        <v>100</v>
      </c>
    </row>
    <row r="7" ht="14.25" customHeight="1">
      <c r="A7" s="38">
        <v>0.09375</v>
      </c>
      <c r="B7" s="36">
        <v>4.0</v>
      </c>
      <c r="C7" s="36">
        <v>4.4</v>
      </c>
      <c r="D7" s="36">
        <v>445.0</v>
      </c>
      <c r="E7" s="36">
        <v>381.0</v>
      </c>
      <c r="F7" s="36">
        <v>0.86</v>
      </c>
      <c r="G7" s="36">
        <v>17.0</v>
      </c>
      <c r="H7" s="36">
        <v>0.76</v>
      </c>
      <c r="I7" s="36">
        <v>12.9</v>
      </c>
      <c r="J7" s="36">
        <v>89.9</v>
      </c>
      <c r="K7" s="36">
        <v>88.0</v>
      </c>
      <c r="L7" s="36">
        <v>44.5</v>
      </c>
      <c r="M7" s="36">
        <v>103.0</v>
      </c>
      <c r="N7" s="36">
        <v>39.0</v>
      </c>
      <c r="O7" s="36">
        <v>17.0</v>
      </c>
      <c r="P7" s="36">
        <v>20.0</v>
      </c>
      <c r="Q7" s="36">
        <v>0.3</v>
      </c>
      <c r="R7" s="36">
        <v>1.07</v>
      </c>
      <c r="S7" s="36">
        <v>2.47</v>
      </c>
      <c r="T7" s="36">
        <v>3.54</v>
      </c>
      <c r="U7" s="21">
        <f t="shared" si="1"/>
        <v>3540</v>
      </c>
      <c r="V7" s="21">
        <f t="shared" si="2"/>
        <v>152100</v>
      </c>
    </row>
    <row r="8" ht="14.25" customHeight="1">
      <c r="A8" s="38">
        <v>0.09652777777777778</v>
      </c>
      <c r="B8" s="36">
        <v>5.0</v>
      </c>
      <c r="C8" s="36">
        <v>4.9</v>
      </c>
      <c r="D8" s="36">
        <v>488.0</v>
      </c>
      <c r="E8" s="36">
        <v>431.0</v>
      </c>
      <c r="F8" s="36">
        <v>0.88</v>
      </c>
      <c r="G8" s="36">
        <v>15.0</v>
      </c>
      <c r="H8" s="36">
        <v>0.93</v>
      </c>
      <c r="I8" s="36">
        <v>14.2</v>
      </c>
      <c r="J8" s="36">
        <v>88.9</v>
      </c>
      <c r="K8" s="36">
        <v>89.0</v>
      </c>
      <c r="L8" s="36">
        <v>44.3</v>
      </c>
      <c r="M8" s="36">
        <v>105.0</v>
      </c>
      <c r="N8" s="36">
        <v>39.0</v>
      </c>
      <c r="O8" s="36">
        <v>15.0</v>
      </c>
      <c r="P8" s="36">
        <v>22.0</v>
      </c>
      <c r="Q8" s="36">
        <v>0.34</v>
      </c>
      <c r="R8" s="36">
        <v>1.35</v>
      </c>
      <c r="S8" s="36">
        <v>2.58</v>
      </c>
      <c r="T8" s="36">
        <v>3.93</v>
      </c>
      <c r="U8" s="21">
        <f t="shared" si="1"/>
        <v>3930</v>
      </c>
      <c r="V8" s="21">
        <f t="shared" si="2"/>
        <v>108900</v>
      </c>
    </row>
    <row r="9" ht="14.25" customHeight="1">
      <c r="A9" s="38">
        <v>0.09861111111111111</v>
      </c>
      <c r="B9" s="36">
        <v>6.0</v>
      </c>
      <c r="C9" s="36">
        <v>5.5</v>
      </c>
      <c r="D9" s="36">
        <v>545.0</v>
      </c>
      <c r="E9" s="36">
        <v>481.0</v>
      </c>
      <c r="F9" s="36">
        <v>0.88</v>
      </c>
      <c r="G9" s="36">
        <v>17.0</v>
      </c>
      <c r="H9" s="36">
        <v>0.94</v>
      </c>
      <c r="I9" s="36">
        <v>15.7</v>
      </c>
      <c r="J9" s="36">
        <v>87.7</v>
      </c>
      <c r="K9" s="36">
        <v>89.0</v>
      </c>
      <c r="L9" s="36">
        <v>44.2</v>
      </c>
      <c r="M9" s="36">
        <v>104.0</v>
      </c>
      <c r="N9" s="36">
        <v>39.0</v>
      </c>
      <c r="O9" s="36">
        <v>17.0</v>
      </c>
      <c r="P9" s="36">
        <v>25.0</v>
      </c>
      <c r="Q9" s="36">
        <v>0.35</v>
      </c>
      <c r="R9" s="36">
        <v>1.25</v>
      </c>
      <c r="S9" s="36">
        <v>2.36</v>
      </c>
      <c r="T9" s="36">
        <v>3.6</v>
      </c>
      <c r="U9" s="21">
        <f t="shared" si="1"/>
        <v>3600</v>
      </c>
      <c r="V9" s="21">
        <f t="shared" si="2"/>
        <v>40000</v>
      </c>
    </row>
    <row r="10" ht="14.25" customHeight="1">
      <c r="A10" s="38">
        <v>0.1</v>
      </c>
      <c r="B10" s="36">
        <v>7.0</v>
      </c>
      <c r="C10" s="36">
        <v>5.8</v>
      </c>
      <c r="D10" s="36">
        <v>582.0</v>
      </c>
      <c r="E10" s="36">
        <v>513.0</v>
      </c>
      <c r="F10" s="36">
        <v>0.88</v>
      </c>
      <c r="G10" s="36">
        <v>18.0</v>
      </c>
      <c r="H10" s="36">
        <v>0.95</v>
      </c>
      <c r="I10" s="36">
        <v>16.9</v>
      </c>
      <c r="J10" s="36">
        <v>86.8</v>
      </c>
      <c r="K10" s="36">
        <v>89.0</v>
      </c>
      <c r="L10" s="36">
        <v>43.9</v>
      </c>
      <c r="M10" s="36">
        <v>105.0</v>
      </c>
      <c r="N10" s="36">
        <v>39.0</v>
      </c>
      <c r="O10" s="36">
        <v>18.0</v>
      </c>
      <c r="P10" s="36">
        <v>26.0</v>
      </c>
      <c r="Q10" s="36">
        <v>0.37</v>
      </c>
      <c r="R10" s="36">
        <v>1.26</v>
      </c>
      <c r="S10" s="36">
        <v>2.14</v>
      </c>
      <c r="T10" s="36">
        <v>3.4</v>
      </c>
      <c r="U10" s="21">
        <f t="shared" si="1"/>
        <v>3400</v>
      </c>
      <c r="V10" s="21">
        <f t="shared" si="2"/>
        <v>122500</v>
      </c>
    </row>
    <row r="11" ht="14.25" customHeight="1">
      <c r="A11" s="38">
        <v>0.10138888888888889</v>
      </c>
      <c r="B11" s="36">
        <v>7.0</v>
      </c>
      <c r="C11" s="36">
        <v>5.8</v>
      </c>
      <c r="D11" s="36">
        <v>580.0</v>
      </c>
      <c r="E11" s="36">
        <v>520.0</v>
      </c>
      <c r="F11" s="36">
        <v>0.9</v>
      </c>
      <c r="G11" s="36">
        <v>20.0</v>
      </c>
      <c r="H11" s="36">
        <v>0.9</v>
      </c>
      <c r="I11" s="36">
        <v>17.7</v>
      </c>
      <c r="J11" s="36">
        <v>86.1</v>
      </c>
      <c r="K11" s="36">
        <v>90.0</v>
      </c>
      <c r="L11" s="36">
        <v>43.5</v>
      </c>
      <c r="M11" s="36">
        <v>107.0</v>
      </c>
      <c r="N11" s="36">
        <v>37.0</v>
      </c>
      <c r="O11" s="36">
        <v>20.0</v>
      </c>
      <c r="P11" s="36">
        <v>26.0</v>
      </c>
      <c r="Q11" s="36">
        <v>0.41</v>
      </c>
      <c r="R11" s="36">
        <v>1.24</v>
      </c>
      <c r="S11" s="36">
        <v>1.81</v>
      </c>
      <c r="T11" s="36">
        <v>3.05</v>
      </c>
      <c r="U11" s="21">
        <f t="shared" si="1"/>
        <v>3050</v>
      </c>
      <c r="V11" s="21">
        <f t="shared" si="2"/>
        <v>12100</v>
      </c>
    </row>
    <row r="12" ht="14.25" customHeight="1">
      <c r="A12" s="38">
        <v>0.10347222222222222</v>
      </c>
      <c r="B12" s="36">
        <v>8.0</v>
      </c>
      <c r="C12" s="36">
        <v>5.9</v>
      </c>
      <c r="D12" s="36">
        <v>590.0</v>
      </c>
      <c r="E12" s="36">
        <v>527.0</v>
      </c>
      <c r="F12" s="36">
        <v>0.89</v>
      </c>
      <c r="G12" s="36">
        <v>19.0</v>
      </c>
      <c r="H12" s="36">
        <v>0.93</v>
      </c>
      <c r="I12" s="36">
        <v>17.6</v>
      </c>
      <c r="J12" s="36">
        <v>86.2</v>
      </c>
      <c r="K12" s="36">
        <v>89.0</v>
      </c>
      <c r="L12" s="36">
        <v>43.8</v>
      </c>
      <c r="M12" s="36">
        <v>106.0</v>
      </c>
      <c r="N12" s="36">
        <v>38.0</v>
      </c>
      <c r="O12" s="36">
        <v>19.0</v>
      </c>
      <c r="P12" s="36">
        <v>27.0</v>
      </c>
      <c r="Q12" s="36">
        <v>0.36</v>
      </c>
      <c r="R12" s="36">
        <v>1.13</v>
      </c>
      <c r="S12" s="36">
        <v>2.04</v>
      </c>
      <c r="T12" s="36">
        <v>3.16</v>
      </c>
      <c r="U12" s="21">
        <f t="shared" si="1"/>
        <v>3160</v>
      </c>
      <c r="V12" s="21">
        <f t="shared" si="2"/>
        <v>6400</v>
      </c>
    </row>
    <row r="13" ht="14.25" customHeight="1">
      <c r="A13" s="38">
        <v>0.10486111111111111</v>
      </c>
      <c r="B13" s="36">
        <v>9.0</v>
      </c>
      <c r="C13" s="36">
        <v>5.7</v>
      </c>
      <c r="D13" s="36">
        <v>575.0</v>
      </c>
      <c r="E13" s="36">
        <v>518.0</v>
      </c>
      <c r="F13" s="36">
        <v>0.9</v>
      </c>
      <c r="G13" s="36">
        <v>19.0</v>
      </c>
      <c r="H13" s="36">
        <v>0.9</v>
      </c>
      <c r="I13" s="36">
        <v>17.6</v>
      </c>
      <c r="J13" s="36">
        <v>86.2</v>
      </c>
      <c r="K13" s="36">
        <v>90.0</v>
      </c>
      <c r="L13" s="36">
        <v>43.7</v>
      </c>
      <c r="M13" s="36">
        <v>107.0</v>
      </c>
      <c r="N13" s="36">
        <v>38.0</v>
      </c>
      <c r="O13" s="36">
        <v>19.0</v>
      </c>
      <c r="P13" s="36">
        <v>26.0</v>
      </c>
      <c r="Q13" s="36">
        <v>0.36</v>
      </c>
      <c r="R13" s="36">
        <v>1.1</v>
      </c>
      <c r="S13" s="36">
        <v>1.98</v>
      </c>
      <c r="T13" s="36">
        <v>3.08</v>
      </c>
      <c r="U13" s="21">
        <f t="shared" si="1"/>
        <v>3080</v>
      </c>
      <c r="V13" s="21">
        <f t="shared" si="2"/>
        <v>2500</v>
      </c>
    </row>
    <row r="14" ht="14.25" customHeight="1">
      <c r="A14" s="38">
        <v>0.10694444444444444</v>
      </c>
      <c r="B14" s="36">
        <v>10.0</v>
      </c>
      <c r="C14" s="36">
        <v>5.6</v>
      </c>
      <c r="D14" s="36">
        <v>555.0</v>
      </c>
      <c r="E14" s="36">
        <v>502.0</v>
      </c>
      <c r="F14" s="36">
        <v>0.9</v>
      </c>
      <c r="G14" s="36">
        <v>20.0</v>
      </c>
      <c r="H14" s="36">
        <v>0.86</v>
      </c>
      <c r="I14" s="36">
        <v>17.1</v>
      </c>
      <c r="J14" s="36">
        <v>86.6</v>
      </c>
      <c r="K14" s="36">
        <v>90.0</v>
      </c>
      <c r="L14" s="36">
        <v>43.7</v>
      </c>
      <c r="M14" s="36">
        <v>106.0</v>
      </c>
      <c r="N14" s="36">
        <v>38.0</v>
      </c>
      <c r="O14" s="36">
        <v>20.0</v>
      </c>
      <c r="P14" s="36">
        <v>25.0</v>
      </c>
      <c r="Q14" s="36">
        <v>0.34</v>
      </c>
      <c r="R14" s="36">
        <v>1.04</v>
      </c>
      <c r="S14" s="36">
        <v>1.99</v>
      </c>
      <c r="T14" s="36">
        <v>3.03</v>
      </c>
      <c r="U14" s="21">
        <f t="shared" si="1"/>
        <v>3030</v>
      </c>
      <c r="V14" s="21">
        <f t="shared" si="2"/>
        <v>152100</v>
      </c>
    </row>
    <row r="15" ht="14.25" customHeight="1">
      <c r="A15" s="38">
        <v>0.10902777777777778</v>
      </c>
      <c r="B15" s="36">
        <v>11.0</v>
      </c>
      <c r="C15" s="36">
        <v>5.2</v>
      </c>
      <c r="D15" s="36">
        <v>521.0</v>
      </c>
      <c r="E15" s="36">
        <v>469.0</v>
      </c>
      <c r="F15" s="36">
        <v>0.9</v>
      </c>
      <c r="G15" s="36">
        <v>23.0</v>
      </c>
      <c r="H15" s="36">
        <v>0.74</v>
      </c>
      <c r="I15" s="36">
        <v>16.7</v>
      </c>
      <c r="J15" s="36">
        <v>86.9</v>
      </c>
      <c r="K15" s="36">
        <v>90.0</v>
      </c>
      <c r="L15" s="36">
        <v>43.4</v>
      </c>
      <c r="M15" s="36">
        <v>107.0</v>
      </c>
      <c r="N15" s="36">
        <v>37.0</v>
      </c>
      <c r="O15" s="36">
        <v>23.0</v>
      </c>
      <c r="P15" s="36">
        <v>23.0</v>
      </c>
      <c r="Q15" s="36">
        <v>0.36</v>
      </c>
      <c r="R15" s="36">
        <v>0.95</v>
      </c>
      <c r="S15" s="36">
        <v>1.69</v>
      </c>
      <c r="T15" s="36">
        <v>2.64</v>
      </c>
      <c r="U15" s="21">
        <f t="shared" si="1"/>
        <v>2640</v>
      </c>
      <c r="V15" s="21">
        <f t="shared" si="2"/>
        <v>4900</v>
      </c>
    </row>
    <row r="16" ht="14.25" customHeight="1">
      <c r="A16" s="38">
        <v>0.1111111111111111</v>
      </c>
      <c r="B16" s="36">
        <v>12.0</v>
      </c>
      <c r="C16" s="36">
        <v>5.6</v>
      </c>
      <c r="D16" s="36">
        <v>557.0</v>
      </c>
      <c r="E16" s="36">
        <v>486.0</v>
      </c>
      <c r="F16" s="36">
        <v>0.87</v>
      </c>
      <c r="G16" s="36">
        <v>23.0</v>
      </c>
      <c r="H16" s="36">
        <v>0.73</v>
      </c>
      <c r="I16" s="36">
        <v>17.0</v>
      </c>
      <c r="J16" s="36">
        <v>86.7</v>
      </c>
      <c r="K16" s="36">
        <v>89.0</v>
      </c>
      <c r="L16" s="36">
        <v>44.2</v>
      </c>
      <c r="M16" s="36">
        <v>106.0</v>
      </c>
      <c r="N16" s="36">
        <v>38.0</v>
      </c>
      <c r="O16" s="36">
        <v>23.0</v>
      </c>
      <c r="P16" s="36">
        <v>25.0</v>
      </c>
      <c r="Q16" s="36">
        <v>0.36</v>
      </c>
      <c r="R16" s="36">
        <v>0.93</v>
      </c>
      <c r="S16" s="36">
        <v>1.65</v>
      </c>
      <c r="T16" s="36">
        <v>2.57</v>
      </c>
      <c r="U16" s="21">
        <f t="shared" si="1"/>
        <v>2570</v>
      </c>
      <c r="V16" s="21">
        <f t="shared" si="2"/>
        <v>3600</v>
      </c>
    </row>
    <row r="17" ht="14.25" customHeight="1">
      <c r="A17" s="38">
        <v>0.1125</v>
      </c>
      <c r="B17" s="36">
        <v>13.0</v>
      </c>
      <c r="C17" s="36">
        <v>5.2</v>
      </c>
      <c r="D17" s="36">
        <v>521.0</v>
      </c>
      <c r="E17" s="36">
        <v>466.0</v>
      </c>
      <c r="F17" s="36">
        <v>0.89</v>
      </c>
      <c r="G17" s="36">
        <v>24.0</v>
      </c>
      <c r="H17" s="36">
        <v>0.69</v>
      </c>
      <c r="I17" s="36">
        <v>16.6</v>
      </c>
      <c r="J17" s="36">
        <v>87.0</v>
      </c>
      <c r="K17" s="36">
        <v>89.0</v>
      </c>
      <c r="L17" s="36">
        <v>44.0</v>
      </c>
      <c r="M17" s="36">
        <v>106.0</v>
      </c>
      <c r="N17" s="36">
        <v>38.0</v>
      </c>
      <c r="O17" s="36">
        <v>24.0</v>
      </c>
      <c r="P17" s="36">
        <v>23.0</v>
      </c>
      <c r="Q17" s="36">
        <v>0.38</v>
      </c>
      <c r="R17" s="36">
        <v>0.94</v>
      </c>
      <c r="S17" s="36">
        <v>1.56</v>
      </c>
      <c r="T17" s="36">
        <v>2.51</v>
      </c>
      <c r="U17" s="21">
        <f t="shared" si="1"/>
        <v>2510</v>
      </c>
      <c r="V17" s="21">
        <f t="shared" si="2"/>
        <v>14400</v>
      </c>
    </row>
    <row r="18" ht="14.25" customHeight="1">
      <c r="A18" s="38">
        <v>0.11527777777777778</v>
      </c>
      <c r="B18" s="36">
        <v>14.0</v>
      </c>
      <c r="C18" s="36">
        <v>5.8</v>
      </c>
      <c r="D18" s="36">
        <v>576.0</v>
      </c>
      <c r="E18" s="36">
        <v>501.0</v>
      </c>
      <c r="F18" s="36">
        <v>0.87</v>
      </c>
      <c r="G18" s="36">
        <v>23.0</v>
      </c>
      <c r="H18" s="36">
        <v>0.75</v>
      </c>
      <c r="I18" s="36">
        <v>17.0</v>
      </c>
      <c r="J18" s="36">
        <v>86.6</v>
      </c>
      <c r="K18" s="36">
        <v>89.0</v>
      </c>
      <c r="L18" s="36">
        <v>43.8</v>
      </c>
      <c r="M18" s="36">
        <v>104.0</v>
      </c>
      <c r="N18" s="36">
        <v>39.0</v>
      </c>
      <c r="O18" s="36">
        <v>23.0</v>
      </c>
      <c r="P18" s="36">
        <v>26.0</v>
      </c>
      <c r="Q18" s="36">
        <v>0.34</v>
      </c>
      <c r="R18" s="36">
        <v>0.9</v>
      </c>
      <c r="S18" s="36">
        <v>1.73</v>
      </c>
      <c r="T18" s="36">
        <v>2.63</v>
      </c>
      <c r="U18" s="21">
        <f t="shared" si="1"/>
        <v>2630</v>
      </c>
      <c r="V18" s="21">
        <f t="shared" si="2"/>
        <v>1600</v>
      </c>
    </row>
    <row r="19" ht="14.25" customHeight="1">
      <c r="A19" s="38">
        <v>0.11736111111111111</v>
      </c>
      <c r="B19" s="36">
        <v>15.0</v>
      </c>
      <c r="C19" s="36">
        <v>6.1</v>
      </c>
      <c r="D19" s="36">
        <v>609.0</v>
      </c>
      <c r="E19" s="36">
        <v>526.0</v>
      </c>
      <c r="F19" s="36">
        <v>0.86</v>
      </c>
      <c r="G19" s="36">
        <v>22.0</v>
      </c>
      <c r="H19" s="36">
        <v>0.79</v>
      </c>
      <c r="I19" s="36">
        <v>17.8</v>
      </c>
      <c r="J19" s="36">
        <v>86.0</v>
      </c>
      <c r="K19" s="36">
        <v>89.0</v>
      </c>
      <c r="L19" s="36">
        <v>44.0</v>
      </c>
      <c r="M19" s="36">
        <v>104.0</v>
      </c>
      <c r="N19" s="36">
        <v>39.0</v>
      </c>
      <c r="O19" s="36">
        <v>22.0</v>
      </c>
      <c r="P19" s="36">
        <v>27.0</v>
      </c>
      <c r="Q19" s="36">
        <v>0.38</v>
      </c>
      <c r="R19" s="36">
        <v>1.02</v>
      </c>
      <c r="S19" s="36">
        <v>1.65</v>
      </c>
      <c r="T19" s="36">
        <v>2.67</v>
      </c>
      <c r="U19" s="21">
        <f t="shared" si="1"/>
        <v>2670</v>
      </c>
      <c r="V19" s="21">
        <f t="shared" si="2"/>
        <v>44100</v>
      </c>
    </row>
    <row r="20" ht="14.25" customHeight="1">
      <c r="A20" s="38">
        <v>0.11944444444444445</v>
      </c>
      <c r="B20" s="36">
        <v>16.0</v>
      </c>
      <c r="C20" s="36">
        <v>6.5</v>
      </c>
      <c r="D20" s="36">
        <v>652.0</v>
      </c>
      <c r="E20" s="36">
        <v>560.0</v>
      </c>
      <c r="F20" s="36">
        <v>0.86</v>
      </c>
      <c r="G20" s="36">
        <v>21.0</v>
      </c>
      <c r="H20" s="36">
        <v>0.89</v>
      </c>
      <c r="I20" s="36">
        <v>18.6</v>
      </c>
      <c r="J20" s="36">
        <v>85.4</v>
      </c>
      <c r="K20" s="36">
        <v>89.0</v>
      </c>
      <c r="L20" s="36">
        <v>44.0</v>
      </c>
      <c r="M20" s="36">
        <v>103.0</v>
      </c>
      <c r="N20" s="36">
        <v>39.0</v>
      </c>
      <c r="O20" s="36">
        <v>21.0</v>
      </c>
      <c r="P20" s="36">
        <v>29.0</v>
      </c>
      <c r="Q20" s="36">
        <v>0.38</v>
      </c>
      <c r="R20" s="36">
        <v>1.1</v>
      </c>
      <c r="S20" s="36">
        <v>1.78</v>
      </c>
      <c r="T20" s="36">
        <v>2.88</v>
      </c>
      <c r="U20" s="21">
        <f t="shared" si="1"/>
        <v>2880</v>
      </c>
      <c r="V20" s="21">
        <f t="shared" si="2"/>
        <v>2500</v>
      </c>
    </row>
    <row r="21" ht="14.25" customHeight="1">
      <c r="A21" s="38">
        <v>0.12152777777777778</v>
      </c>
      <c r="B21" s="36">
        <v>17.0</v>
      </c>
      <c r="C21" s="36">
        <v>6.6</v>
      </c>
      <c r="D21" s="36">
        <v>657.0</v>
      </c>
      <c r="E21" s="36">
        <v>568.0</v>
      </c>
      <c r="F21" s="36">
        <v>0.86</v>
      </c>
      <c r="G21" s="36">
        <v>20.0</v>
      </c>
      <c r="H21" s="36">
        <v>0.92</v>
      </c>
      <c r="I21" s="36">
        <v>18.9</v>
      </c>
      <c r="J21" s="36">
        <v>85.2</v>
      </c>
      <c r="K21" s="36">
        <v>89.0</v>
      </c>
      <c r="L21" s="36">
        <v>44.0</v>
      </c>
      <c r="M21" s="36">
        <v>104.0</v>
      </c>
      <c r="N21" s="36">
        <v>39.0</v>
      </c>
      <c r="O21" s="36">
        <v>20.0</v>
      </c>
      <c r="P21" s="36">
        <v>30.0</v>
      </c>
      <c r="Q21" s="36">
        <v>0.38</v>
      </c>
      <c r="R21" s="36">
        <v>1.1</v>
      </c>
      <c r="S21" s="36">
        <v>1.83</v>
      </c>
      <c r="T21" s="36">
        <v>2.93</v>
      </c>
      <c r="U21" s="21">
        <f t="shared" si="1"/>
        <v>2930</v>
      </c>
      <c r="V21" s="21">
        <f t="shared" si="2"/>
        <v>0</v>
      </c>
    </row>
    <row r="22" ht="14.25" customHeight="1">
      <c r="A22" s="38">
        <v>0.12361111111111112</v>
      </c>
      <c r="B22" s="36">
        <v>18.0</v>
      </c>
      <c r="C22" s="36">
        <v>6.6</v>
      </c>
      <c r="D22" s="36">
        <v>657.0</v>
      </c>
      <c r="E22" s="36">
        <v>568.0</v>
      </c>
      <c r="F22" s="36">
        <v>0.86</v>
      </c>
      <c r="G22" s="36">
        <v>20.0</v>
      </c>
      <c r="H22" s="36">
        <v>0.92</v>
      </c>
      <c r="I22" s="36">
        <v>18.9</v>
      </c>
      <c r="J22" s="36">
        <v>85.2</v>
      </c>
      <c r="K22" s="36">
        <v>89.0</v>
      </c>
      <c r="L22" s="36">
        <v>44.0</v>
      </c>
      <c r="M22" s="36">
        <v>104.0</v>
      </c>
      <c r="N22" s="36">
        <v>39.0</v>
      </c>
      <c r="O22" s="36">
        <v>20.0</v>
      </c>
      <c r="P22" s="36">
        <v>30.0</v>
      </c>
      <c r="Q22" s="36">
        <v>0.38</v>
      </c>
      <c r="R22" s="36">
        <v>1.1</v>
      </c>
      <c r="S22" s="36">
        <v>1.83</v>
      </c>
      <c r="T22" s="36">
        <v>2.93</v>
      </c>
      <c r="U22" s="21">
        <f t="shared" si="1"/>
        <v>2930</v>
      </c>
      <c r="V22" s="21">
        <f t="shared" si="2"/>
        <v>10000</v>
      </c>
    </row>
    <row r="23" ht="14.25" customHeight="1">
      <c r="A23" s="38">
        <v>0.12569444444444444</v>
      </c>
      <c r="B23" s="36">
        <v>19.0</v>
      </c>
      <c r="C23" s="36">
        <v>6.1</v>
      </c>
      <c r="D23" s="36">
        <v>609.0</v>
      </c>
      <c r="E23" s="36">
        <v>537.0</v>
      </c>
      <c r="F23" s="36">
        <v>0.88</v>
      </c>
      <c r="G23" s="36">
        <v>20.0</v>
      </c>
      <c r="H23" s="36">
        <v>0.92</v>
      </c>
      <c r="I23" s="36">
        <v>18.1</v>
      </c>
      <c r="J23" s="36">
        <v>85.8</v>
      </c>
      <c r="K23" s="36">
        <v>89.0</v>
      </c>
      <c r="L23" s="36">
        <v>44.0</v>
      </c>
      <c r="M23" s="36">
        <v>104.0</v>
      </c>
      <c r="N23" s="36">
        <v>38.0</v>
      </c>
      <c r="O23" s="36">
        <v>20.0</v>
      </c>
      <c r="P23" s="36">
        <v>27.0</v>
      </c>
      <c r="Q23" s="36">
        <v>0.37</v>
      </c>
      <c r="R23" s="36">
        <v>1.12</v>
      </c>
      <c r="S23" s="36">
        <v>1.91</v>
      </c>
      <c r="T23" s="36">
        <v>3.03</v>
      </c>
      <c r="U23" s="21">
        <f t="shared" si="1"/>
        <v>3030</v>
      </c>
      <c r="V23" s="21">
        <f t="shared" si="2"/>
        <v>10000</v>
      </c>
    </row>
    <row r="24" ht="14.25" customHeight="1">
      <c r="A24" s="38">
        <v>0.12777777777777777</v>
      </c>
      <c r="B24" s="36">
        <v>20.0</v>
      </c>
      <c r="C24" s="36">
        <v>6.1</v>
      </c>
      <c r="D24" s="36">
        <v>612.0</v>
      </c>
      <c r="E24" s="36">
        <v>534.0</v>
      </c>
      <c r="F24" s="36">
        <v>0.87</v>
      </c>
      <c r="G24" s="36">
        <v>19.0</v>
      </c>
      <c r="H24" s="36">
        <v>0.93</v>
      </c>
      <c r="I24" s="36">
        <v>17.8</v>
      </c>
      <c r="J24" s="36">
        <v>86.0</v>
      </c>
      <c r="K24" s="36">
        <v>89.0</v>
      </c>
      <c r="L24" s="36">
        <v>44.2</v>
      </c>
      <c r="M24" s="36">
        <v>104.0</v>
      </c>
      <c r="N24" s="36">
        <v>39.0</v>
      </c>
      <c r="O24" s="36">
        <v>19.0</v>
      </c>
      <c r="P24" s="36">
        <v>28.0</v>
      </c>
      <c r="Q24" s="36">
        <v>0.36</v>
      </c>
      <c r="R24" s="36">
        <v>1.13</v>
      </c>
      <c r="S24" s="36">
        <v>2.0</v>
      </c>
      <c r="T24" s="36">
        <v>3.13</v>
      </c>
      <c r="U24" s="21">
        <f t="shared" si="1"/>
        <v>3130</v>
      </c>
      <c r="V24" s="21">
        <f t="shared" si="2"/>
        <v>900</v>
      </c>
    </row>
    <row r="25" ht="14.25" customHeight="1">
      <c r="A25" s="38">
        <v>0.12986111111111112</v>
      </c>
      <c r="B25" s="36">
        <v>21.0</v>
      </c>
      <c r="C25" s="36">
        <v>5.7</v>
      </c>
      <c r="D25" s="36">
        <v>570.0</v>
      </c>
      <c r="E25" s="36">
        <v>497.0</v>
      </c>
      <c r="F25" s="36">
        <v>0.87</v>
      </c>
      <c r="G25" s="36">
        <v>19.0</v>
      </c>
      <c r="H25" s="36">
        <v>0.86</v>
      </c>
      <c r="I25" s="36">
        <v>16.7</v>
      </c>
      <c r="J25" s="36">
        <v>86.9</v>
      </c>
      <c r="K25" s="36">
        <v>88.0</v>
      </c>
      <c r="L25" s="36">
        <v>44.5</v>
      </c>
      <c r="M25" s="36">
        <v>104.0</v>
      </c>
      <c r="N25" s="36">
        <v>39.0</v>
      </c>
      <c r="O25" s="36">
        <v>19.0</v>
      </c>
      <c r="P25" s="36">
        <v>26.0</v>
      </c>
      <c r="Q25" s="36">
        <v>0.36</v>
      </c>
      <c r="R25" s="36">
        <v>1.12</v>
      </c>
      <c r="S25" s="36">
        <v>1.98</v>
      </c>
      <c r="T25" s="36">
        <v>3.1</v>
      </c>
      <c r="U25" s="21">
        <f t="shared" si="1"/>
        <v>3100</v>
      </c>
      <c r="V25" s="21">
        <f t="shared" si="2"/>
        <v>6400</v>
      </c>
    </row>
    <row r="26" ht="14.25" customHeight="1">
      <c r="A26" s="38">
        <v>0.13194444444444445</v>
      </c>
      <c r="B26" s="36">
        <v>22.0</v>
      </c>
      <c r="C26" s="36">
        <v>5.5</v>
      </c>
      <c r="D26" s="36">
        <v>549.0</v>
      </c>
      <c r="E26" s="36">
        <v>474.0</v>
      </c>
      <c r="F26" s="36">
        <v>0.86</v>
      </c>
      <c r="G26" s="36">
        <v>19.0</v>
      </c>
      <c r="H26" s="36">
        <v>0.83</v>
      </c>
      <c r="I26" s="36">
        <v>15.7</v>
      </c>
      <c r="J26" s="36">
        <v>87.7</v>
      </c>
      <c r="K26" s="36">
        <v>88.0</v>
      </c>
      <c r="L26" s="36">
        <v>44.9</v>
      </c>
      <c r="M26" s="36">
        <v>103.0</v>
      </c>
      <c r="N26" s="36">
        <v>40.0</v>
      </c>
      <c r="O26" s="36">
        <v>19.0</v>
      </c>
      <c r="P26" s="36">
        <v>25.0</v>
      </c>
      <c r="Q26" s="36">
        <v>0.35</v>
      </c>
      <c r="R26" s="36">
        <v>1.11</v>
      </c>
      <c r="S26" s="36">
        <v>2.06</v>
      </c>
      <c r="T26" s="36">
        <v>3.18</v>
      </c>
      <c r="U26" s="21">
        <f t="shared" si="1"/>
        <v>3180</v>
      </c>
      <c r="V26" s="21">
        <f t="shared" si="2"/>
        <v>0</v>
      </c>
    </row>
    <row r="27" ht="14.25" customHeight="1">
      <c r="A27" s="38">
        <v>0.13402777777777777</v>
      </c>
      <c r="B27" s="36">
        <v>23.0</v>
      </c>
      <c r="C27" s="36">
        <v>5.5</v>
      </c>
      <c r="D27" s="36">
        <v>548.0</v>
      </c>
      <c r="E27" s="36">
        <v>474.0</v>
      </c>
      <c r="F27" s="36">
        <v>0.86</v>
      </c>
      <c r="G27" s="36">
        <v>19.0</v>
      </c>
      <c r="H27" s="36">
        <v>0.83</v>
      </c>
      <c r="I27" s="36">
        <v>15.7</v>
      </c>
      <c r="J27" s="36">
        <v>87.7</v>
      </c>
      <c r="K27" s="36">
        <v>87.0</v>
      </c>
      <c r="L27" s="36">
        <v>45.0</v>
      </c>
      <c r="M27" s="36">
        <v>103.0</v>
      </c>
      <c r="N27" s="36">
        <v>40.0</v>
      </c>
      <c r="O27" s="36">
        <v>19.0</v>
      </c>
      <c r="P27" s="36">
        <v>25.0</v>
      </c>
      <c r="Q27" s="36">
        <v>0.35</v>
      </c>
      <c r="R27" s="36">
        <v>1.11</v>
      </c>
      <c r="S27" s="36">
        <v>2.06</v>
      </c>
      <c r="T27" s="36">
        <v>3.18</v>
      </c>
      <c r="U27" s="21">
        <f t="shared" si="1"/>
        <v>3180</v>
      </c>
      <c r="V27" s="21">
        <f t="shared" si="2"/>
        <v>900</v>
      </c>
    </row>
    <row r="28" ht="14.25" customHeight="1">
      <c r="A28" s="38">
        <v>0.13680555555555557</v>
      </c>
      <c r="B28" s="36">
        <v>24.0</v>
      </c>
      <c r="C28" s="36">
        <v>5.7</v>
      </c>
      <c r="D28" s="36">
        <v>569.0</v>
      </c>
      <c r="E28" s="36">
        <v>482.0</v>
      </c>
      <c r="F28" s="36">
        <v>0.85</v>
      </c>
      <c r="G28" s="36">
        <v>19.0</v>
      </c>
      <c r="H28" s="36">
        <v>0.83</v>
      </c>
      <c r="I28" s="36">
        <v>15.7</v>
      </c>
      <c r="J28" s="36">
        <v>87.7</v>
      </c>
      <c r="K28" s="36">
        <v>87.0</v>
      </c>
      <c r="L28" s="36">
        <v>45.4</v>
      </c>
      <c r="M28" s="36">
        <v>102.0</v>
      </c>
      <c r="N28" s="36">
        <v>40.0</v>
      </c>
      <c r="O28" s="36">
        <v>19.0</v>
      </c>
      <c r="P28" s="36">
        <v>26.0</v>
      </c>
      <c r="Q28" s="36">
        <v>0.35</v>
      </c>
      <c r="R28" s="36">
        <v>1.11</v>
      </c>
      <c r="S28" s="36">
        <v>2.04</v>
      </c>
      <c r="T28" s="36">
        <v>3.15</v>
      </c>
      <c r="U28" s="21">
        <f t="shared" si="1"/>
        <v>3150</v>
      </c>
      <c r="V28" s="21">
        <f t="shared" si="2"/>
        <v>100</v>
      </c>
    </row>
    <row r="29" ht="14.25" customHeight="1">
      <c r="A29" s="38">
        <v>0.13819444444444445</v>
      </c>
      <c r="B29" s="36">
        <v>25.0</v>
      </c>
      <c r="C29" s="36">
        <v>6.0</v>
      </c>
      <c r="D29" s="36">
        <v>605.0</v>
      </c>
      <c r="E29" s="36">
        <v>507.0</v>
      </c>
      <c r="F29" s="36">
        <v>0.84</v>
      </c>
      <c r="G29" s="36">
        <v>19.0</v>
      </c>
      <c r="H29" s="36">
        <v>0.86</v>
      </c>
      <c r="I29" s="36">
        <v>16.4</v>
      </c>
      <c r="J29" s="36">
        <v>87.2</v>
      </c>
      <c r="K29" s="36">
        <v>87.0</v>
      </c>
      <c r="L29" s="36">
        <v>45.3</v>
      </c>
      <c r="M29" s="36">
        <v>101.0</v>
      </c>
      <c r="N29" s="36">
        <v>40.0</v>
      </c>
      <c r="O29" s="36">
        <v>19.0</v>
      </c>
      <c r="P29" s="36">
        <v>27.0</v>
      </c>
      <c r="Q29" s="36">
        <v>0.37</v>
      </c>
      <c r="R29" s="36">
        <v>1.15</v>
      </c>
      <c r="S29" s="36">
        <v>1.99</v>
      </c>
      <c r="T29" s="36">
        <v>3.14</v>
      </c>
      <c r="U29" s="21">
        <f t="shared" si="1"/>
        <v>3140</v>
      </c>
      <c r="V29" s="21">
        <f t="shared" si="2"/>
        <v>14400</v>
      </c>
    </row>
    <row r="30" ht="14.25" customHeight="1">
      <c r="A30" s="38">
        <v>0.14027777777777778</v>
      </c>
      <c r="B30" s="36">
        <v>26.0</v>
      </c>
      <c r="C30" s="36">
        <v>6.2</v>
      </c>
      <c r="D30" s="36">
        <v>621.0</v>
      </c>
      <c r="E30" s="36">
        <v>528.0</v>
      </c>
      <c r="F30" s="36">
        <v>0.85</v>
      </c>
      <c r="G30" s="36">
        <v>20.0</v>
      </c>
      <c r="H30" s="36">
        <v>0.87</v>
      </c>
      <c r="I30" s="36">
        <v>17.3</v>
      </c>
      <c r="J30" s="36">
        <v>86.4</v>
      </c>
      <c r="K30" s="36">
        <v>87.0</v>
      </c>
      <c r="L30" s="36">
        <v>45.3</v>
      </c>
      <c r="M30" s="36">
        <v>103.0</v>
      </c>
      <c r="N30" s="36">
        <v>39.0</v>
      </c>
      <c r="O30" s="36">
        <v>20.0</v>
      </c>
      <c r="P30" s="36">
        <v>28.0</v>
      </c>
      <c r="Q30" s="36">
        <v>0.39</v>
      </c>
      <c r="R30" s="36">
        <v>1.17</v>
      </c>
      <c r="S30" s="36">
        <v>1.85</v>
      </c>
      <c r="T30" s="36">
        <v>3.02</v>
      </c>
      <c r="U30" s="21">
        <f t="shared" si="1"/>
        <v>3020</v>
      </c>
      <c r="V30" s="21">
        <f t="shared" si="2"/>
        <v>4900</v>
      </c>
    </row>
    <row r="31" ht="14.25" customHeight="1">
      <c r="A31" s="38">
        <v>0.14305555555555555</v>
      </c>
      <c r="B31" s="36">
        <v>27.0</v>
      </c>
      <c r="C31" s="36">
        <v>6.4</v>
      </c>
      <c r="D31" s="36">
        <v>636.0</v>
      </c>
      <c r="E31" s="36">
        <v>548.0</v>
      </c>
      <c r="F31" s="36">
        <v>0.86</v>
      </c>
      <c r="G31" s="36">
        <v>19.0</v>
      </c>
      <c r="H31" s="36">
        <v>0.93</v>
      </c>
      <c r="I31" s="36">
        <v>18.0</v>
      </c>
      <c r="J31" s="36">
        <v>85.9</v>
      </c>
      <c r="K31" s="36">
        <v>87.0</v>
      </c>
      <c r="L31" s="36">
        <v>45.6</v>
      </c>
      <c r="M31" s="36">
        <v>104.0</v>
      </c>
      <c r="N31" s="36">
        <v>39.0</v>
      </c>
      <c r="O31" s="36">
        <v>19.0</v>
      </c>
      <c r="P31" s="36">
        <v>29.0</v>
      </c>
      <c r="Q31" s="36">
        <v>0.39</v>
      </c>
      <c r="R31" s="36">
        <v>1.21</v>
      </c>
      <c r="S31" s="36">
        <v>1.88</v>
      </c>
      <c r="T31" s="36">
        <v>3.09</v>
      </c>
      <c r="U31" s="21">
        <f t="shared" si="1"/>
        <v>3090</v>
      </c>
      <c r="V31" s="21">
        <f t="shared" si="2"/>
        <v>100</v>
      </c>
    </row>
    <row r="32" ht="14.25" customHeight="1">
      <c r="A32" s="38">
        <v>0.1451388888888889</v>
      </c>
      <c r="B32" s="36">
        <v>28.0</v>
      </c>
      <c r="C32" s="36">
        <v>6.4</v>
      </c>
      <c r="D32" s="36">
        <v>636.0</v>
      </c>
      <c r="E32" s="36">
        <v>558.0</v>
      </c>
      <c r="F32" s="36">
        <v>0.88</v>
      </c>
      <c r="G32" s="36">
        <v>19.0</v>
      </c>
      <c r="H32" s="36">
        <v>0.96</v>
      </c>
      <c r="I32" s="36">
        <v>18.5</v>
      </c>
      <c r="J32" s="36">
        <v>85.5</v>
      </c>
      <c r="K32" s="36">
        <v>86.0</v>
      </c>
      <c r="L32" s="36">
        <v>45.6</v>
      </c>
      <c r="M32" s="36">
        <v>105.0</v>
      </c>
      <c r="N32" s="36">
        <v>38.0</v>
      </c>
      <c r="O32" s="36">
        <v>19.0</v>
      </c>
      <c r="P32" s="36">
        <v>29.0</v>
      </c>
      <c r="Q32" s="36">
        <v>0.39</v>
      </c>
      <c r="R32" s="36">
        <v>1.2</v>
      </c>
      <c r="S32" s="36">
        <v>1.9</v>
      </c>
      <c r="T32" s="36">
        <v>3.1</v>
      </c>
      <c r="U32" s="21">
        <f t="shared" si="1"/>
        <v>3100</v>
      </c>
      <c r="V32" s="21">
        <f t="shared" si="2"/>
        <v>0</v>
      </c>
    </row>
    <row r="33" ht="14.25" customHeight="1">
      <c r="A33" s="38">
        <v>0.14791666666666667</v>
      </c>
      <c r="B33" s="36">
        <v>29.0</v>
      </c>
      <c r="C33" s="36">
        <v>6.4</v>
      </c>
      <c r="D33" s="36">
        <v>636.0</v>
      </c>
      <c r="E33" s="36">
        <v>558.0</v>
      </c>
      <c r="F33" s="36">
        <v>0.88</v>
      </c>
      <c r="G33" s="36">
        <v>19.0</v>
      </c>
      <c r="H33" s="36">
        <v>0.96</v>
      </c>
      <c r="I33" s="36">
        <v>18.5</v>
      </c>
      <c r="J33" s="36">
        <v>85.5</v>
      </c>
      <c r="K33" s="36">
        <v>87.0</v>
      </c>
      <c r="L33" s="36">
        <v>45.5</v>
      </c>
      <c r="M33" s="36">
        <v>105.0</v>
      </c>
      <c r="N33" s="36">
        <v>38.0</v>
      </c>
      <c r="O33" s="36">
        <v>19.0</v>
      </c>
      <c r="P33" s="36">
        <v>29.0</v>
      </c>
      <c r="Q33" s="36">
        <v>0.39</v>
      </c>
      <c r="R33" s="36">
        <v>1.2</v>
      </c>
      <c r="S33" s="36">
        <v>1.9</v>
      </c>
      <c r="T33" s="36">
        <v>3.1</v>
      </c>
      <c r="U33" s="21">
        <f t="shared" si="1"/>
        <v>3100</v>
      </c>
      <c r="V33" s="21">
        <f t="shared" si="2"/>
        <v>1600</v>
      </c>
    </row>
    <row r="34" ht="14.25" customHeight="1">
      <c r="A34" s="38">
        <v>0.15</v>
      </c>
      <c r="B34" s="36">
        <v>30.0</v>
      </c>
      <c r="C34" s="36">
        <v>6.3</v>
      </c>
      <c r="D34" s="36">
        <v>628.0</v>
      </c>
      <c r="E34" s="36">
        <v>559.0</v>
      </c>
      <c r="F34" s="36">
        <v>0.89</v>
      </c>
      <c r="G34" s="36">
        <v>20.0</v>
      </c>
      <c r="H34" s="36">
        <v>0.96</v>
      </c>
      <c r="I34" s="36">
        <v>18.7</v>
      </c>
      <c r="J34" s="36">
        <v>85.3</v>
      </c>
      <c r="K34" s="36">
        <v>87.0</v>
      </c>
      <c r="L34" s="36">
        <v>45.5</v>
      </c>
      <c r="M34" s="36">
        <v>106.0</v>
      </c>
      <c r="N34" s="36">
        <v>38.0</v>
      </c>
      <c r="O34" s="36">
        <v>20.0</v>
      </c>
      <c r="P34" s="36">
        <v>28.0</v>
      </c>
      <c r="Q34" s="36">
        <v>0.39</v>
      </c>
      <c r="R34" s="36">
        <v>1.21</v>
      </c>
      <c r="S34" s="36">
        <v>1.86</v>
      </c>
      <c r="T34" s="36">
        <v>3.06</v>
      </c>
      <c r="U34" s="21">
        <f t="shared" si="1"/>
        <v>3060</v>
      </c>
      <c r="V34" s="21">
        <f t="shared" si="2"/>
        <v>900</v>
      </c>
    </row>
    <row r="35" ht="14.25" customHeight="1">
      <c r="A35" s="38">
        <v>0.15208333333333332</v>
      </c>
      <c r="B35" s="36">
        <v>31.0</v>
      </c>
      <c r="C35" s="36">
        <v>6.2</v>
      </c>
      <c r="D35" s="36">
        <v>618.0</v>
      </c>
      <c r="E35" s="36">
        <v>554.0</v>
      </c>
      <c r="F35" s="36">
        <v>0.9</v>
      </c>
      <c r="G35" s="36">
        <v>20.0</v>
      </c>
      <c r="H35" s="36">
        <v>0.94</v>
      </c>
      <c r="I35" s="36">
        <v>18.5</v>
      </c>
      <c r="J35" s="36">
        <v>85.5</v>
      </c>
      <c r="K35" s="36">
        <v>87.0</v>
      </c>
      <c r="L35" s="36">
        <v>45.6</v>
      </c>
      <c r="M35" s="36">
        <v>106.0</v>
      </c>
      <c r="N35" s="36">
        <v>38.0</v>
      </c>
      <c r="O35" s="36">
        <v>20.0</v>
      </c>
      <c r="P35" s="36">
        <v>28.0</v>
      </c>
      <c r="Q35" s="36">
        <v>0.41</v>
      </c>
      <c r="R35" s="36">
        <v>1.24</v>
      </c>
      <c r="S35" s="36">
        <v>1.8</v>
      </c>
      <c r="T35" s="36">
        <v>3.03</v>
      </c>
      <c r="U35" s="21">
        <f t="shared" si="1"/>
        <v>3030</v>
      </c>
      <c r="V35" s="21">
        <f t="shared" si="2"/>
        <v>62500</v>
      </c>
    </row>
    <row r="36" ht="14.25" customHeight="1">
      <c r="A36" s="38">
        <v>0.15347222222222223</v>
      </c>
      <c r="B36" s="36">
        <v>32.0</v>
      </c>
      <c r="C36" s="36">
        <v>5.8</v>
      </c>
      <c r="D36" s="36">
        <v>580.0</v>
      </c>
      <c r="E36" s="36">
        <v>522.0</v>
      </c>
      <c r="F36" s="36">
        <v>0.9</v>
      </c>
      <c r="G36" s="36">
        <v>18.0</v>
      </c>
      <c r="H36" s="36">
        <v>0.94</v>
      </c>
      <c r="I36" s="36">
        <v>17.2</v>
      </c>
      <c r="J36" s="36">
        <v>86.5</v>
      </c>
      <c r="K36" s="36">
        <v>86.0</v>
      </c>
      <c r="L36" s="36">
        <v>45.7</v>
      </c>
      <c r="M36" s="36">
        <v>105.0</v>
      </c>
      <c r="N36" s="36">
        <v>39.0</v>
      </c>
      <c r="O36" s="36">
        <v>18.0</v>
      </c>
      <c r="P36" s="36">
        <v>26.0</v>
      </c>
      <c r="Q36" s="36">
        <v>0.37</v>
      </c>
      <c r="R36" s="36">
        <v>1.23</v>
      </c>
      <c r="S36" s="36">
        <v>2.05</v>
      </c>
      <c r="T36" s="36">
        <v>3.28</v>
      </c>
      <c r="U36" s="21">
        <f t="shared" si="1"/>
        <v>3280</v>
      </c>
      <c r="V36" s="21">
        <f t="shared" si="2"/>
        <v>0</v>
      </c>
    </row>
    <row r="37" ht="14.25" customHeight="1">
      <c r="A37" s="38">
        <v>0.15555555555555556</v>
      </c>
      <c r="B37" s="36">
        <v>33.0</v>
      </c>
      <c r="C37" s="36">
        <v>5.8</v>
      </c>
      <c r="D37" s="36">
        <v>580.0</v>
      </c>
      <c r="E37" s="36">
        <v>522.0</v>
      </c>
      <c r="F37" s="36">
        <v>0.9</v>
      </c>
      <c r="G37" s="36">
        <v>18.0</v>
      </c>
      <c r="H37" s="36">
        <v>0.94</v>
      </c>
      <c r="I37" s="36">
        <v>17.2</v>
      </c>
      <c r="J37" s="36">
        <v>86.5</v>
      </c>
      <c r="K37" s="36">
        <v>87.0</v>
      </c>
      <c r="L37" s="36">
        <v>45.5</v>
      </c>
      <c r="M37" s="36">
        <v>105.0</v>
      </c>
      <c r="N37" s="36">
        <v>39.0</v>
      </c>
      <c r="O37" s="36">
        <v>18.0</v>
      </c>
      <c r="P37" s="36">
        <v>26.0</v>
      </c>
      <c r="Q37" s="36">
        <v>0.37</v>
      </c>
      <c r="R37" s="36">
        <v>1.23</v>
      </c>
      <c r="S37" s="36">
        <v>2.05</v>
      </c>
      <c r="T37" s="36">
        <v>3.28</v>
      </c>
      <c r="U37" s="21">
        <f t="shared" si="1"/>
        <v>3280</v>
      </c>
      <c r="V37" s="21">
        <f t="shared" si="2"/>
        <v>84100</v>
      </c>
    </row>
    <row r="38" ht="14.25" customHeight="1">
      <c r="A38" s="38">
        <v>0.15694444444444444</v>
      </c>
      <c r="B38" s="36">
        <v>34.0</v>
      </c>
      <c r="C38" s="36">
        <v>5.5</v>
      </c>
      <c r="D38" s="36">
        <v>554.0</v>
      </c>
      <c r="E38" s="36">
        <v>492.0</v>
      </c>
      <c r="F38" s="36">
        <v>0.89</v>
      </c>
      <c r="G38" s="36">
        <v>20.0</v>
      </c>
      <c r="H38" s="36">
        <v>0.82</v>
      </c>
      <c r="I38" s="36">
        <v>16.5</v>
      </c>
      <c r="J38" s="36">
        <v>87.0</v>
      </c>
      <c r="K38" s="36">
        <v>86.0</v>
      </c>
      <c r="L38" s="36">
        <v>45.6</v>
      </c>
      <c r="M38" s="36">
        <v>104.0</v>
      </c>
      <c r="N38" s="36">
        <v>39.0</v>
      </c>
      <c r="O38" s="36">
        <v>20.0</v>
      </c>
      <c r="P38" s="36">
        <v>25.0</v>
      </c>
      <c r="Q38" s="36">
        <v>0.37</v>
      </c>
      <c r="R38" s="36">
        <v>1.1</v>
      </c>
      <c r="S38" s="36">
        <v>1.89</v>
      </c>
      <c r="T38" s="36">
        <v>2.99</v>
      </c>
      <c r="U38" s="21">
        <f t="shared" si="1"/>
        <v>2990</v>
      </c>
      <c r="V38" s="21">
        <f t="shared" si="2"/>
        <v>25600</v>
      </c>
    </row>
    <row r="39" ht="14.25" customHeight="1">
      <c r="A39" s="38">
        <v>0.15833333333333333</v>
      </c>
      <c r="B39" s="36">
        <v>35.0</v>
      </c>
      <c r="C39" s="36">
        <v>5.7</v>
      </c>
      <c r="D39" s="36">
        <v>567.0</v>
      </c>
      <c r="E39" s="36">
        <v>499.0</v>
      </c>
      <c r="F39" s="36">
        <v>0.88</v>
      </c>
      <c r="G39" s="36">
        <v>21.0</v>
      </c>
      <c r="H39" s="36">
        <v>0.8</v>
      </c>
      <c r="I39" s="36">
        <v>16.9</v>
      </c>
      <c r="J39" s="36">
        <v>86.7</v>
      </c>
      <c r="K39" s="36">
        <v>87.0</v>
      </c>
      <c r="L39" s="36">
        <v>45.6</v>
      </c>
      <c r="M39" s="36">
        <v>105.0</v>
      </c>
      <c r="N39" s="36">
        <v>39.0</v>
      </c>
      <c r="O39" s="36">
        <v>21.0</v>
      </c>
      <c r="P39" s="36">
        <v>26.0</v>
      </c>
      <c r="Q39" s="36">
        <v>0.38</v>
      </c>
      <c r="R39" s="36">
        <v>1.07</v>
      </c>
      <c r="S39" s="36">
        <v>1.76</v>
      </c>
      <c r="T39" s="36">
        <v>2.83</v>
      </c>
      <c r="U39" s="21">
        <f t="shared" si="1"/>
        <v>2830</v>
      </c>
      <c r="V39" s="21">
        <f t="shared" si="2"/>
        <v>32400</v>
      </c>
    </row>
    <row r="40" ht="14.25" customHeight="1">
      <c r="A40" s="38">
        <v>0.16041666666666668</v>
      </c>
      <c r="B40" s="36">
        <v>36.0</v>
      </c>
      <c r="C40" s="36">
        <v>5.7</v>
      </c>
      <c r="D40" s="36">
        <v>575.0</v>
      </c>
      <c r="E40" s="36">
        <v>500.0</v>
      </c>
      <c r="F40" s="36">
        <v>0.87</v>
      </c>
      <c r="G40" s="36">
        <v>23.0</v>
      </c>
      <c r="H40" s="36">
        <v>0.77</v>
      </c>
      <c r="I40" s="36">
        <v>17.4</v>
      </c>
      <c r="J40" s="36">
        <v>86.4</v>
      </c>
      <c r="K40" s="36">
        <v>87.0</v>
      </c>
      <c r="L40" s="36">
        <v>45.5</v>
      </c>
      <c r="M40" s="36">
        <v>105.0</v>
      </c>
      <c r="N40" s="36">
        <v>39.0</v>
      </c>
      <c r="O40" s="36">
        <v>23.0</v>
      </c>
      <c r="P40" s="36">
        <v>26.0</v>
      </c>
      <c r="Q40" s="36">
        <v>0.39</v>
      </c>
      <c r="R40" s="36">
        <v>1.03</v>
      </c>
      <c r="S40" s="36">
        <v>1.62</v>
      </c>
      <c r="T40" s="36">
        <v>2.65</v>
      </c>
      <c r="U40" s="21">
        <f t="shared" si="1"/>
        <v>2650</v>
      </c>
      <c r="V40" s="21">
        <f t="shared" si="2"/>
        <v>4900</v>
      </c>
    </row>
    <row r="41" ht="14.25" customHeight="1">
      <c r="A41" s="38">
        <v>0.16319444444444445</v>
      </c>
      <c r="B41" s="36">
        <v>37.0</v>
      </c>
      <c r="C41" s="36">
        <v>5.8</v>
      </c>
      <c r="D41" s="36">
        <v>583.0</v>
      </c>
      <c r="E41" s="36">
        <v>500.0</v>
      </c>
      <c r="F41" s="36">
        <v>0.86</v>
      </c>
      <c r="G41" s="36">
        <v>22.0</v>
      </c>
      <c r="H41" s="36">
        <v>0.78</v>
      </c>
      <c r="I41" s="36">
        <v>17.1</v>
      </c>
      <c r="J41" s="36">
        <v>86.6</v>
      </c>
      <c r="K41" s="36">
        <v>87.0</v>
      </c>
      <c r="L41" s="36">
        <v>45.5</v>
      </c>
      <c r="M41" s="36">
        <v>104.0</v>
      </c>
      <c r="N41" s="36">
        <v>39.0</v>
      </c>
      <c r="O41" s="36">
        <v>22.0</v>
      </c>
      <c r="P41" s="36">
        <v>26.0</v>
      </c>
      <c r="Q41" s="36">
        <v>0.38</v>
      </c>
      <c r="R41" s="36">
        <v>1.03</v>
      </c>
      <c r="S41" s="36">
        <v>1.69</v>
      </c>
      <c r="T41" s="36">
        <v>2.72</v>
      </c>
      <c r="U41" s="21">
        <f t="shared" si="1"/>
        <v>2720</v>
      </c>
      <c r="V41" s="21">
        <f t="shared" si="2"/>
        <v>400</v>
      </c>
    </row>
    <row r="42" ht="14.25" customHeight="1">
      <c r="A42" s="38">
        <v>0.16527777777777777</v>
      </c>
      <c r="B42" s="36">
        <v>38.0</v>
      </c>
      <c r="C42" s="36">
        <v>5.7</v>
      </c>
      <c r="D42" s="36">
        <v>571.0</v>
      </c>
      <c r="E42" s="36">
        <v>488.0</v>
      </c>
      <c r="F42" s="36">
        <v>0.86</v>
      </c>
      <c r="G42" s="36">
        <v>22.0</v>
      </c>
      <c r="H42" s="36">
        <v>0.77</v>
      </c>
      <c r="I42" s="36">
        <v>16.9</v>
      </c>
      <c r="J42" s="36">
        <v>86.8</v>
      </c>
      <c r="K42" s="36">
        <v>87.0</v>
      </c>
      <c r="L42" s="36">
        <v>45.4</v>
      </c>
      <c r="M42" s="36">
        <v>104.0</v>
      </c>
      <c r="N42" s="36">
        <v>39.0</v>
      </c>
      <c r="O42" s="36">
        <v>22.0</v>
      </c>
      <c r="P42" s="36">
        <v>26.0</v>
      </c>
      <c r="Q42" s="36">
        <v>0.36</v>
      </c>
      <c r="R42" s="36">
        <v>0.99</v>
      </c>
      <c r="S42" s="36">
        <v>1.74</v>
      </c>
      <c r="T42" s="36">
        <v>2.74</v>
      </c>
      <c r="U42" s="21">
        <f t="shared" si="1"/>
        <v>2740</v>
      </c>
      <c r="V42" s="21">
        <f t="shared" si="2"/>
        <v>184900</v>
      </c>
    </row>
    <row r="43" ht="14.25" customHeight="1">
      <c r="A43" s="38">
        <v>0.16805555555555557</v>
      </c>
      <c r="B43" s="36">
        <v>39.0</v>
      </c>
      <c r="C43" s="36">
        <v>5.7</v>
      </c>
      <c r="D43" s="36">
        <v>566.0</v>
      </c>
      <c r="E43" s="36">
        <v>486.0</v>
      </c>
      <c r="F43" s="36">
        <v>0.86</v>
      </c>
      <c r="G43" s="36">
        <v>19.0</v>
      </c>
      <c r="H43" s="36">
        <v>0.87</v>
      </c>
      <c r="I43" s="36">
        <v>16.4</v>
      </c>
      <c r="J43" s="36">
        <v>87.1</v>
      </c>
      <c r="K43" s="36">
        <v>87.0</v>
      </c>
      <c r="L43" s="36">
        <v>45.4</v>
      </c>
      <c r="M43" s="36">
        <v>104.0</v>
      </c>
      <c r="N43" s="36">
        <v>39.0</v>
      </c>
      <c r="O43" s="36">
        <v>19.0</v>
      </c>
      <c r="P43" s="36">
        <v>25.0</v>
      </c>
      <c r="Q43" s="36">
        <v>0.36</v>
      </c>
      <c r="R43" s="36">
        <v>1.15</v>
      </c>
      <c r="S43" s="36">
        <v>2.02</v>
      </c>
      <c r="T43" s="36">
        <v>3.17</v>
      </c>
      <c r="U43" s="21">
        <f t="shared" si="1"/>
        <v>3170</v>
      </c>
      <c r="V43" s="21">
        <f t="shared" si="2"/>
        <v>2500</v>
      </c>
    </row>
    <row r="44" ht="14.25" customHeight="1">
      <c r="A44" s="38">
        <v>0.16944444444444445</v>
      </c>
      <c r="B44" s="36">
        <v>40.0</v>
      </c>
      <c r="C44" s="36">
        <v>5.5</v>
      </c>
      <c r="D44" s="36">
        <v>549.0</v>
      </c>
      <c r="E44" s="36">
        <v>467.0</v>
      </c>
      <c r="F44" s="36">
        <v>0.85</v>
      </c>
      <c r="G44" s="36">
        <v>19.0</v>
      </c>
      <c r="H44" s="36">
        <v>0.84</v>
      </c>
      <c r="I44" s="36">
        <v>15.8</v>
      </c>
      <c r="J44" s="36">
        <v>87.7</v>
      </c>
      <c r="K44" s="36">
        <v>87.0</v>
      </c>
      <c r="L44" s="36">
        <v>45.4</v>
      </c>
      <c r="M44" s="36">
        <v>103.0</v>
      </c>
      <c r="N44" s="36">
        <v>39.0</v>
      </c>
      <c r="O44" s="36">
        <v>19.0</v>
      </c>
      <c r="P44" s="36">
        <v>25.0</v>
      </c>
      <c r="Q44" s="36">
        <v>0.35</v>
      </c>
      <c r="R44" s="36">
        <v>1.12</v>
      </c>
      <c r="S44" s="36">
        <v>2.09</v>
      </c>
      <c r="T44" s="36">
        <v>3.22</v>
      </c>
      <c r="U44" s="21">
        <f t="shared" si="1"/>
        <v>3220</v>
      </c>
      <c r="V44" s="21">
        <f t="shared" si="2"/>
        <v>14400</v>
      </c>
    </row>
    <row r="45" ht="14.25" customHeight="1">
      <c r="A45" s="38">
        <v>0.17222222222222222</v>
      </c>
      <c r="B45" s="36">
        <v>41.0</v>
      </c>
      <c r="C45" s="36">
        <v>5.6</v>
      </c>
      <c r="D45" s="36">
        <v>564.0</v>
      </c>
      <c r="E45" s="36">
        <v>477.0</v>
      </c>
      <c r="F45" s="36">
        <v>0.85</v>
      </c>
      <c r="G45" s="36">
        <v>19.0</v>
      </c>
      <c r="H45" s="36">
        <v>0.83</v>
      </c>
      <c r="I45" s="36">
        <v>16.0</v>
      </c>
      <c r="J45" s="36">
        <v>87.4</v>
      </c>
      <c r="K45" s="36">
        <v>87.0</v>
      </c>
      <c r="L45" s="36">
        <v>45.5</v>
      </c>
      <c r="M45" s="36">
        <v>103.0</v>
      </c>
      <c r="N45" s="36">
        <v>39.0</v>
      </c>
      <c r="O45" s="36">
        <v>19.0</v>
      </c>
      <c r="P45" s="36">
        <v>25.0</v>
      </c>
      <c r="Q45" s="36">
        <v>0.34</v>
      </c>
      <c r="R45" s="36">
        <v>1.06</v>
      </c>
      <c r="S45" s="36">
        <v>2.04</v>
      </c>
      <c r="T45" s="36">
        <v>3.1</v>
      </c>
      <c r="U45" s="21">
        <f t="shared" si="1"/>
        <v>3100</v>
      </c>
      <c r="V45" s="21">
        <f t="shared" si="2"/>
        <v>400</v>
      </c>
    </row>
    <row r="46" ht="14.25" customHeight="1">
      <c r="A46" s="38">
        <v>0.17430555555555555</v>
      </c>
      <c r="B46" s="36">
        <v>42.0</v>
      </c>
      <c r="C46" s="36">
        <v>5.5</v>
      </c>
      <c r="D46" s="36">
        <v>546.0</v>
      </c>
      <c r="E46" s="36">
        <v>461.0</v>
      </c>
      <c r="F46" s="36">
        <v>0.84</v>
      </c>
      <c r="G46" s="36">
        <v>19.0</v>
      </c>
      <c r="H46" s="36">
        <v>0.8</v>
      </c>
      <c r="I46" s="36">
        <v>15.7</v>
      </c>
      <c r="J46" s="36">
        <v>87.7</v>
      </c>
      <c r="K46" s="36">
        <v>86.0</v>
      </c>
      <c r="L46" s="36">
        <v>46.0</v>
      </c>
      <c r="M46" s="36">
        <v>103.0</v>
      </c>
      <c r="N46" s="36">
        <v>40.0</v>
      </c>
      <c r="O46" s="36">
        <v>19.0</v>
      </c>
      <c r="P46" s="36">
        <v>25.0</v>
      </c>
      <c r="Q46" s="36">
        <v>0.34</v>
      </c>
      <c r="R46" s="36">
        <v>1.06</v>
      </c>
      <c r="S46" s="36">
        <v>2.02</v>
      </c>
      <c r="T46" s="36">
        <v>3.08</v>
      </c>
      <c r="U46" s="21">
        <f t="shared" si="1"/>
        <v>3080</v>
      </c>
      <c r="V46" s="21">
        <f t="shared" si="2"/>
        <v>100</v>
      </c>
    </row>
    <row r="47" ht="14.25" customHeight="1">
      <c r="A47" s="38">
        <v>0.1763888888888889</v>
      </c>
      <c r="B47" s="36">
        <v>43.0</v>
      </c>
      <c r="C47" s="36">
        <v>5.8</v>
      </c>
      <c r="D47" s="36">
        <v>575.0</v>
      </c>
      <c r="E47" s="36">
        <v>482.0</v>
      </c>
      <c r="F47" s="36">
        <v>0.84</v>
      </c>
      <c r="G47" s="36">
        <v>19.0</v>
      </c>
      <c r="H47" s="36">
        <v>0.83</v>
      </c>
      <c r="I47" s="36">
        <v>16.0</v>
      </c>
      <c r="J47" s="36">
        <v>87.5</v>
      </c>
      <c r="K47" s="36">
        <v>85.0</v>
      </c>
      <c r="L47" s="36">
        <v>46.7</v>
      </c>
      <c r="M47" s="36">
        <v>102.0</v>
      </c>
      <c r="N47" s="36">
        <v>40.0</v>
      </c>
      <c r="O47" s="36">
        <v>19.0</v>
      </c>
      <c r="P47" s="36">
        <v>26.0</v>
      </c>
      <c r="Q47" s="36">
        <v>0.36</v>
      </c>
      <c r="R47" s="36">
        <v>1.1</v>
      </c>
      <c r="S47" s="36">
        <v>1.99</v>
      </c>
      <c r="T47" s="36">
        <v>3.09</v>
      </c>
      <c r="U47" s="21">
        <f t="shared" si="1"/>
        <v>3090</v>
      </c>
      <c r="V47" s="21">
        <f t="shared" si="2"/>
        <v>0</v>
      </c>
    </row>
    <row r="48" ht="14.25" customHeight="1">
      <c r="A48" s="38">
        <v>0.17847222222222223</v>
      </c>
      <c r="B48" s="36">
        <v>44.0</v>
      </c>
      <c r="C48" s="36">
        <v>5.7</v>
      </c>
      <c r="D48" s="36">
        <v>575.0</v>
      </c>
      <c r="E48" s="36">
        <v>482.0</v>
      </c>
      <c r="F48" s="36">
        <v>0.84</v>
      </c>
      <c r="G48" s="36">
        <v>19.0</v>
      </c>
      <c r="H48" s="36">
        <v>0.83</v>
      </c>
      <c r="I48" s="36">
        <v>16.0</v>
      </c>
      <c r="J48" s="36">
        <v>87.5</v>
      </c>
      <c r="K48" s="36">
        <v>85.0</v>
      </c>
      <c r="L48" s="36">
        <v>46.6</v>
      </c>
      <c r="M48" s="36">
        <v>102.0</v>
      </c>
      <c r="N48" s="36">
        <v>40.0</v>
      </c>
      <c r="O48" s="36">
        <v>19.0</v>
      </c>
      <c r="P48" s="36">
        <v>26.0</v>
      </c>
      <c r="Q48" s="36">
        <v>0.36</v>
      </c>
      <c r="R48" s="36">
        <v>1.1</v>
      </c>
      <c r="S48" s="36">
        <v>1.99</v>
      </c>
      <c r="T48" s="36">
        <v>3.09</v>
      </c>
      <c r="U48" s="21">
        <f t="shared" si="1"/>
        <v>3090</v>
      </c>
      <c r="V48" s="21">
        <f t="shared" si="2"/>
        <v>100</v>
      </c>
    </row>
    <row r="49" ht="14.25" customHeight="1">
      <c r="A49" s="38">
        <v>0.18125</v>
      </c>
      <c r="B49" s="36">
        <v>45.0</v>
      </c>
      <c r="C49" s="36">
        <v>5.9</v>
      </c>
      <c r="D49" s="36">
        <v>589.0</v>
      </c>
      <c r="E49" s="36">
        <v>495.0</v>
      </c>
      <c r="F49" s="36">
        <v>0.84</v>
      </c>
      <c r="G49" s="36">
        <v>19.0</v>
      </c>
      <c r="H49" s="36">
        <v>0.84</v>
      </c>
      <c r="I49" s="36">
        <v>16.2</v>
      </c>
      <c r="J49" s="36">
        <v>87.3</v>
      </c>
      <c r="K49" s="36">
        <v>85.0</v>
      </c>
      <c r="L49" s="36">
        <v>46.6</v>
      </c>
      <c r="M49" s="36">
        <v>102.0</v>
      </c>
      <c r="N49" s="36">
        <v>40.0</v>
      </c>
      <c r="O49" s="36">
        <v>19.0</v>
      </c>
      <c r="P49" s="36">
        <v>27.0</v>
      </c>
      <c r="Q49" s="36">
        <v>0.36</v>
      </c>
      <c r="R49" s="36">
        <v>1.12</v>
      </c>
      <c r="S49" s="36">
        <v>1.98</v>
      </c>
      <c r="T49" s="36">
        <v>3.1</v>
      </c>
      <c r="U49" s="21">
        <f t="shared" si="1"/>
        <v>3100</v>
      </c>
      <c r="V49" s="21">
        <f t="shared" si="2"/>
        <v>100</v>
      </c>
    </row>
    <row r="50" ht="14.25" customHeight="1">
      <c r="A50" s="38">
        <v>0.18333333333333332</v>
      </c>
      <c r="B50" s="36">
        <v>46.0</v>
      </c>
      <c r="C50" s="36">
        <v>6.1</v>
      </c>
      <c r="D50" s="36">
        <v>609.0</v>
      </c>
      <c r="E50" s="36">
        <v>512.0</v>
      </c>
      <c r="F50" s="36">
        <v>0.84</v>
      </c>
      <c r="G50" s="36">
        <v>19.0</v>
      </c>
      <c r="H50" s="36">
        <v>0.86</v>
      </c>
      <c r="I50" s="36">
        <v>16.7</v>
      </c>
      <c r="J50" s="36">
        <v>86.9</v>
      </c>
      <c r="K50" s="36">
        <v>85.0</v>
      </c>
      <c r="L50" s="36">
        <v>46.3</v>
      </c>
      <c r="M50" s="36">
        <v>102.0</v>
      </c>
      <c r="N50" s="36">
        <v>40.0</v>
      </c>
      <c r="O50" s="36">
        <v>19.0</v>
      </c>
      <c r="P50" s="36">
        <v>27.0</v>
      </c>
      <c r="Q50" s="36">
        <v>0.38</v>
      </c>
      <c r="R50" s="36">
        <v>1.17</v>
      </c>
      <c r="S50" s="36">
        <v>1.93</v>
      </c>
      <c r="T50" s="36">
        <v>3.09</v>
      </c>
      <c r="U50" s="21">
        <f t="shared" si="1"/>
        <v>3090</v>
      </c>
      <c r="V50" s="21">
        <f t="shared" si="2"/>
        <v>12100</v>
      </c>
    </row>
    <row r="51" ht="14.25" customHeight="1">
      <c r="A51" s="38">
        <v>0.18541666666666667</v>
      </c>
      <c r="B51" s="36">
        <v>47.0</v>
      </c>
      <c r="C51" s="36">
        <v>6.2</v>
      </c>
      <c r="D51" s="36">
        <v>619.0</v>
      </c>
      <c r="E51" s="36">
        <v>523.0</v>
      </c>
      <c r="F51" s="36">
        <v>0.84</v>
      </c>
      <c r="G51" s="36">
        <v>19.0</v>
      </c>
      <c r="H51" s="36">
        <v>0.9</v>
      </c>
      <c r="I51" s="36">
        <v>16.9</v>
      </c>
      <c r="J51" s="36">
        <v>86.7</v>
      </c>
      <c r="K51" s="36">
        <v>86.0</v>
      </c>
      <c r="L51" s="36">
        <v>46.1</v>
      </c>
      <c r="M51" s="36">
        <v>102.0</v>
      </c>
      <c r="N51" s="36">
        <v>40.0</v>
      </c>
      <c r="O51" s="36">
        <v>19.0</v>
      </c>
      <c r="P51" s="36">
        <v>28.0</v>
      </c>
      <c r="Q51" s="36">
        <v>0.39</v>
      </c>
      <c r="R51" s="36">
        <v>1.23</v>
      </c>
      <c r="S51" s="36">
        <v>1.97</v>
      </c>
      <c r="T51" s="36">
        <v>3.2</v>
      </c>
      <c r="U51" s="21">
        <f t="shared" si="1"/>
        <v>3200</v>
      </c>
      <c r="V51" s="21">
        <f t="shared" si="2"/>
        <v>0</v>
      </c>
    </row>
    <row r="52" ht="14.25" customHeight="1">
      <c r="A52" s="38">
        <v>0.1875</v>
      </c>
      <c r="B52" s="36">
        <v>48.0</v>
      </c>
      <c r="C52" s="36">
        <v>6.2</v>
      </c>
      <c r="D52" s="36">
        <v>619.0</v>
      </c>
      <c r="E52" s="36">
        <v>523.0</v>
      </c>
      <c r="F52" s="36">
        <v>0.84</v>
      </c>
      <c r="G52" s="36">
        <v>19.0</v>
      </c>
      <c r="H52" s="36">
        <v>0.9</v>
      </c>
      <c r="I52" s="36">
        <v>16.9</v>
      </c>
      <c r="J52" s="36">
        <v>86.7</v>
      </c>
      <c r="K52" s="36">
        <v>87.0</v>
      </c>
      <c r="L52" s="36">
        <v>45.6</v>
      </c>
      <c r="M52" s="36">
        <v>102.0</v>
      </c>
      <c r="N52" s="36">
        <v>40.0</v>
      </c>
      <c r="O52" s="36">
        <v>19.0</v>
      </c>
      <c r="P52" s="36">
        <v>28.0</v>
      </c>
      <c r="Q52" s="36">
        <v>0.39</v>
      </c>
      <c r="R52" s="36">
        <v>1.23</v>
      </c>
      <c r="S52" s="36">
        <v>1.97</v>
      </c>
      <c r="T52" s="36">
        <v>3.2</v>
      </c>
      <c r="U52" s="21">
        <f t="shared" si="1"/>
        <v>3200</v>
      </c>
      <c r="V52" s="21">
        <f t="shared" si="2"/>
        <v>0</v>
      </c>
    </row>
    <row r="53" ht="14.25" customHeight="1">
      <c r="A53" s="38">
        <v>0.19027777777777777</v>
      </c>
      <c r="B53" s="36">
        <v>50.0</v>
      </c>
      <c r="C53" s="36">
        <v>6.3</v>
      </c>
      <c r="D53" s="36">
        <v>629.0</v>
      </c>
      <c r="E53" s="36">
        <v>533.0</v>
      </c>
      <c r="F53" s="36">
        <v>0.85</v>
      </c>
      <c r="G53" s="36">
        <v>19.0</v>
      </c>
      <c r="H53" s="36">
        <v>0.91</v>
      </c>
      <c r="I53" s="36">
        <v>17.0</v>
      </c>
      <c r="J53" s="36">
        <v>86.6</v>
      </c>
      <c r="K53" s="36">
        <v>87.0</v>
      </c>
      <c r="L53" s="36">
        <v>45.6</v>
      </c>
      <c r="M53" s="36">
        <v>102.0</v>
      </c>
      <c r="N53" s="36">
        <v>40.0</v>
      </c>
      <c r="O53" s="36">
        <v>19.0</v>
      </c>
      <c r="P53" s="36">
        <v>28.0</v>
      </c>
      <c r="Q53" s="36">
        <v>0.38</v>
      </c>
      <c r="R53" s="36">
        <v>1.23</v>
      </c>
      <c r="S53" s="36">
        <v>1.97</v>
      </c>
      <c r="T53" s="36">
        <v>3.2</v>
      </c>
      <c r="U53" s="21">
        <f t="shared" si="1"/>
        <v>3200</v>
      </c>
      <c r="V53" s="21">
        <f t="shared" si="2"/>
        <v>900</v>
      </c>
    </row>
    <row r="54" ht="14.25" customHeight="1">
      <c r="A54" s="38">
        <v>0.19236111111111112</v>
      </c>
      <c r="B54" s="36">
        <v>51.0</v>
      </c>
      <c r="C54" s="36">
        <v>6.3</v>
      </c>
      <c r="D54" s="36">
        <v>627.0</v>
      </c>
      <c r="E54" s="36">
        <v>532.0</v>
      </c>
      <c r="F54" s="36">
        <v>0.85</v>
      </c>
      <c r="G54" s="36">
        <v>19.0</v>
      </c>
      <c r="H54" s="36">
        <v>0.91</v>
      </c>
      <c r="I54" s="36">
        <v>16.9</v>
      </c>
      <c r="J54" s="36">
        <v>86.7</v>
      </c>
      <c r="K54" s="36">
        <v>87.0</v>
      </c>
      <c r="L54" s="36">
        <v>45.0</v>
      </c>
      <c r="M54" s="36">
        <v>102.0</v>
      </c>
      <c r="N54" s="36">
        <v>40.0</v>
      </c>
      <c r="O54" s="36">
        <v>19.0</v>
      </c>
      <c r="P54" s="36">
        <v>28.0</v>
      </c>
      <c r="Q54" s="36">
        <v>0.38</v>
      </c>
      <c r="R54" s="36">
        <v>1.24</v>
      </c>
      <c r="S54" s="36">
        <v>1.99</v>
      </c>
      <c r="T54" s="36">
        <v>3.23</v>
      </c>
      <c r="U54" s="21">
        <f t="shared" si="1"/>
        <v>3230</v>
      </c>
      <c r="V54" s="21">
        <f t="shared" si="2"/>
        <v>400</v>
      </c>
    </row>
    <row r="55" ht="14.25" customHeight="1">
      <c r="A55" s="38">
        <v>0.19444444444444445</v>
      </c>
      <c r="B55" s="36">
        <v>52.0</v>
      </c>
      <c r="C55" s="36">
        <v>6.4</v>
      </c>
      <c r="D55" s="36">
        <v>640.0</v>
      </c>
      <c r="E55" s="36">
        <v>543.0</v>
      </c>
      <c r="F55" s="36">
        <v>0.85</v>
      </c>
      <c r="G55" s="36">
        <v>19.0</v>
      </c>
      <c r="H55" s="36">
        <v>0.93</v>
      </c>
      <c r="I55" s="36">
        <v>17.3</v>
      </c>
      <c r="J55" s="36">
        <v>86.4</v>
      </c>
      <c r="K55" s="36">
        <v>87.0</v>
      </c>
      <c r="L55" s="36">
        <v>45.0</v>
      </c>
      <c r="M55" s="36">
        <v>102.0</v>
      </c>
      <c r="N55" s="36">
        <v>40.0</v>
      </c>
      <c r="O55" s="36">
        <v>19.0</v>
      </c>
      <c r="P55" s="36">
        <v>29.0</v>
      </c>
      <c r="Q55" s="36">
        <v>0.38</v>
      </c>
      <c r="R55" s="36">
        <v>1.22</v>
      </c>
      <c r="S55" s="36">
        <v>1.99</v>
      </c>
      <c r="T55" s="36">
        <v>3.21</v>
      </c>
      <c r="U55" s="21">
        <f t="shared" si="1"/>
        <v>3210</v>
      </c>
      <c r="V55" s="21">
        <f t="shared" si="2"/>
        <v>100</v>
      </c>
    </row>
    <row r="56" ht="14.25" customHeight="1">
      <c r="A56" s="38">
        <v>0.19652777777777777</v>
      </c>
      <c r="B56" s="36">
        <v>53.0</v>
      </c>
      <c r="C56" s="36">
        <v>6.6</v>
      </c>
      <c r="D56" s="36">
        <v>658.0</v>
      </c>
      <c r="E56" s="36">
        <v>558.0</v>
      </c>
      <c r="F56" s="36">
        <v>0.85</v>
      </c>
      <c r="G56" s="36">
        <v>19.0</v>
      </c>
      <c r="H56" s="36">
        <v>0.95</v>
      </c>
      <c r="I56" s="36">
        <v>17.8</v>
      </c>
      <c r="J56" s="36">
        <v>86.1</v>
      </c>
      <c r="K56" s="36">
        <v>88.0</v>
      </c>
      <c r="L56" s="36">
        <v>44.8</v>
      </c>
      <c r="M56" s="36">
        <v>102.0</v>
      </c>
      <c r="N56" s="36">
        <v>40.0</v>
      </c>
      <c r="O56" s="36">
        <v>19.0</v>
      </c>
      <c r="P56" s="36">
        <v>30.0</v>
      </c>
      <c r="Q56" s="36">
        <v>0.38</v>
      </c>
      <c r="R56" s="36">
        <v>1.21</v>
      </c>
      <c r="S56" s="36">
        <v>2.01</v>
      </c>
      <c r="T56" s="36">
        <v>3.22</v>
      </c>
      <c r="U56" s="21">
        <f t="shared" si="1"/>
        <v>3220</v>
      </c>
      <c r="V56" s="21">
        <f t="shared" si="2"/>
        <v>0</v>
      </c>
    </row>
    <row r="57" ht="14.25" customHeight="1">
      <c r="A57" s="38">
        <v>0.1986111111111111</v>
      </c>
      <c r="B57" s="36">
        <v>54.0</v>
      </c>
      <c r="C57" s="36">
        <v>6.5</v>
      </c>
      <c r="D57" s="36">
        <v>648.0</v>
      </c>
      <c r="E57" s="36">
        <v>550.0</v>
      </c>
      <c r="F57" s="36">
        <v>0.85</v>
      </c>
      <c r="G57" s="36">
        <v>19.0</v>
      </c>
      <c r="H57" s="36">
        <v>0.94</v>
      </c>
      <c r="I57" s="36">
        <v>17.6</v>
      </c>
      <c r="J57" s="36">
        <v>86.2</v>
      </c>
      <c r="K57" s="36">
        <v>88.0</v>
      </c>
      <c r="L57" s="36">
        <v>44.8</v>
      </c>
      <c r="M57" s="36">
        <v>102.0</v>
      </c>
      <c r="N57" s="36">
        <v>40.0</v>
      </c>
      <c r="O57" s="36">
        <v>19.0</v>
      </c>
      <c r="P57" s="36">
        <v>29.0</v>
      </c>
      <c r="Q57" s="36">
        <v>0.37</v>
      </c>
      <c r="R57" s="36">
        <v>1.2</v>
      </c>
      <c r="S57" s="36">
        <v>2.02</v>
      </c>
      <c r="T57" s="36">
        <v>3.22</v>
      </c>
      <c r="U57" s="21">
        <f t="shared" si="1"/>
        <v>3220</v>
      </c>
      <c r="V57" s="21">
        <f t="shared" si="2"/>
        <v>2500</v>
      </c>
    </row>
    <row r="58" ht="14.25" customHeight="1">
      <c r="A58" s="38">
        <v>0.20069444444444445</v>
      </c>
      <c r="B58" s="36">
        <v>55.0</v>
      </c>
      <c r="C58" s="36">
        <v>6.6</v>
      </c>
      <c r="D58" s="36">
        <v>658.0</v>
      </c>
      <c r="E58" s="36">
        <v>558.0</v>
      </c>
      <c r="F58" s="36">
        <v>0.85</v>
      </c>
      <c r="G58" s="36">
        <v>19.0</v>
      </c>
      <c r="H58" s="36">
        <v>0.94</v>
      </c>
      <c r="I58" s="36">
        <v>17.9</v>
      </c>
      <c r="J58" s="36">
        <v>86.0</v>
      </c>
      <c r="K58" s="36">
        <v>89.0</v>
      </c>
      <c r="L58" s="36">
        <v>44.1</v>
      </c>
      <c r="M58" s="36">
        <v>102.0</v>
      </c>
      <c r="N58" s="36">
        <v>40.0</v>
      </c>
      <c r="O58" s="36">
        <v>19.0</v>
      </c>
      <c r="P58" s="36">
        <v>30.0</v>
      </c>
      <c r="Q58" s="36">
        <v>0.36</v>
      </c>
      <c r="R58" s="36">
        <v>1.15</v>
      </c>
      <c r="S58" s="36">
        <v>2.02</v>
      </c>
      <c r="T58" s="36">
        <v>3.17</v>
      </c>
      <c r="U58" s="21">
        <f t="shared" si="1"/>
        <v>3170</v>
      </c>
      <c r="V58" s="21">
        <f t="shared" si="2"/>
        <v>400</v>
      </c>
    </row>
    <row r="59" ht="14.25" customHeight="1">
      <c r="A59" s="38">
        <v>0.20277777777777778</v>
      </c>
      <c r="B59" s="36">
        <v>56.0</v>
      </c>
      <c r="C59" s="36">
        <v>6.8</v>
      </c>
      <c r="D59" s="36">
        <v>675.0</v>
      </c>
      <c r="E59" s="36">
        <v>576.0</v>
      </c>
      <c r="F59" s="36">
        <v>0.85</v>
      </c>
      <c r="G59" s="36">
        <v>19.0</v>
      </c>
      <c r="H59" s="36">
        <v>0.98</v>
      </c>
      <c r="I59" s="36">
        <v>18.5</v>
      </c>
      <c r="J59" s="36">
        <v>85.5</v>
      </c>
      <c r="K59" s="36">
        <v>89.0</v>
      </c>
      <c r="L59" s="36">
        <v>43.9</v>
      </c>
      <c r="M59" s="36">
        <v>102.0</v>
      </c>
      <c r="N59" s="36">
        <v>40.0</v>
      </c>
      <c r="O59" s="36">
        <v>19.0</v>
      </c>
      <c r="P59" s="36">
        <v>30.0</v>
      </c>
      <c r="Q59" s="36">
        <v>0.35</v>
      </c>
      <c r="R59" s="36">
        <v>1.12</v>
      </c>
      <c r="S59" s="36">
        <v>2.07</v>
      </c>
      <c r="T59" s="36">
        <v>3.19</v>
      </c>
      <c r="U59" s="21">
        <f t="shared" si="1"/>
        <v>3190</v>
      </c>
      <c r="V59" s="21">
        <f t="shared" si="2"/>
        <v>12100</v>
      </c>
    </row>
    <row r="60" ht="14.25" customHeight="1">
      <c r="A60" s="38">
        <v>0.2076388888888889</v>
      </c>
      <c r="B60" s="36">
        <v>58.0</v>
      </c>
      <c r="C60" s="36">
        <v>7.0</v>
      </c>
      <c r="D60" s="36">
        <v>699.0</v>
      </c>
      <c r="E60" s="36">
        <v>595.0</v>
      </c>
      <c r="F60" s="36">
        <v>0.85</v>
      </c>
      <c r="G60" s="36">
        <v>19.0</v>
      </c>
      <c r="H60" s="36">
        <v>0.99</v>
      </c>
      <c r="I60" s="36">
        <v>19.2</v>
      </c>
      <c r="J60" s="36">
        <v>84.9</v>
      </c>
      <c r="K60" s="36">
        <v>89.0</v>
      </c>
      <c r="L60" s="36">
        <v>44.2</v>
      </c>
      <c r="M60" s="36">
        <v>102.0</v>
      </c>
      <c r="N60" s="36">
        <v>40.0</v>
      </c>
      <c r="O60" s="36">
        <v>19.0</v>
      </c>
      <c r="P60" s="36">
        <v>31.0</v>
      </c>
      <c r="Q60" s="36">
        <v>0.36</v>
      </c>
      <c r="R60" s="36">
        <v>1.12</v>
      </c>
      <c r="S60" s="36">
        <v>1.96</v>
      </c>
      <c r="T60" s="36">
        <v>3.08</v>
      </c>
      <c r="U60" s="21">
        <f t="shared" si="1"/>
        <v>3080</v>
      </c>
      <c r="V60" s="21">
        <f t="shared" si="2"/>
        <v>0</v>
      </c>
    </row>
    <row r="61" ht="14.25" customHeight="1">
      <c r="A61" s="38">
        <v>0.20972222222222223</v>
      </c>
      <c r="B61" s="36">
        <v>59.0</v>
      </c>
      <c r="C61" s="36">
        <v>7.0</v>
      </c>
      <c r="D61" s="36">
        <v>699.0</v>
      </c>
      <c r="E61" s="36">
        <v>595.0</v>
      </c>
      <c r="F61" s="36">
        <v>0.85</v>
      </c>
      <c r="G61" s="36">
        <v>19.0</v>
      </c>
      <c r="H61" s="36">
        <v>0.99</v>
      </c>
      <c r="I61" s="36">
        <v>19.2</v>
      </c>
      <c r="J61" s="36">
        <v>84.9</v>
      </c>
      <c r="K61" s="36">
        <v>88.0</v>
      </c>
      <c r="L61" s="36">
        <v>44.9</v>
      </c>
      <c r="M61" s="36">
        <v>102.0</v>
      </c>
      <c r="N61" s="36">
        <v>40.0</v>
      </c>
      <c r="O61" s="36">
        <v>19.0</v>
      </c>
      <c r="P61" s="36">
        <v>31.0</v>
      </c>
      <c r="Q61" s="36">
        <v>0.36</v>
      </c>
      <c r="R61" s="36">
        <v>1.12</v>
      </c>
      <c r="S61" s="36">
        <v>1.96</v>
      </c>
      <c r="T61" s="36">
        <v>3.08</v>
      </c>
      <c r="U61" s="21">
        <f t="shared" si="1"/>
        <v>3080</v>
      </c>
      <c r="V61" s="21">
        <f t="shared" si="2"/>
        <v>22500</v>
      </c>
    </row>
    <row r="62" ht="14.25" customHeight="1">
      <c r="A62" s="38">
        <v>0.2111111111111111</v>
      </c>
      <c r="B62" s="36">
        <v>60.0</v>
      </c>
      <c r="C62" s="36">
        <v>6.4</v>
      </c>
      <c r="D62" s="36">
        <v>638.0</v>
      </c>
      <c r="E62" s="36">
        <v>540.0</v>
      </c>
      <c r="F62" s="36">
        <v>0.85</v>
      </c>
      <c r="G62" s="36">
        <v>21.0</v>
      </c>
      <c r="H62" s="36">
        <v>0.87</v>
      </c>
      <c r="I62" s="36">
        <v>17.9</v>
      </c>
      <c r="J62" s="36">
        <v>86.0</v>
      </c>
      <c r="K62" s="36">
        <v>87.0</v>
      </c>
      <c r="L62" s="36">
        <v>45.0</v>
      </c>
      <c r="M62" s="36">
        <v>102.0</v>
      </c>
      <c r="N62" s="36">
        <v>40.0</v>
      </c>
      <c r="O62" s="36">
        <v>21.0</v>
      </c>
      <c r="P62" s="36">
        <v>29.0</v>
      </c>
      <c r="Q62" s="36">
        <v>0.35</v>
      </c>
      <c r="R62" s="36">
        <v>1.03</v>
      </c>
      <c r="S62" s="36">
        <v>1.9</v>
      </c>
      <c r="T62" s="36">
        <v>2.93</v>
      </c>
      <c r="U62" s="21">
        <f t="shared" si="1"/>
        <v>2930</v>
      </c>
      <c r="V62" s="21">
        <f t="shared" si="2"/>
        <v>12100</v>
      </c>
    </row>
    <row r="63" ht="14.25" customHeight="1">
      <c r="A63" s="38">
        <v>0.21319444444444444</v>
      </c>
      <c r="B63" s="36">
        <v>61.0</v>
      </c>
      <c r="C63" s="36">
        <v>5.7</v>
      </c>
      <c r="D63" s="36">
        <v>567.0</v>
      </c>
      <c r="E63" s="36">
        <v>476.0</v>
      </c>
      <c r="F63" s="36">
        <v>0.84</v>
      </c>
      <c r="G63" s="36">
        <v>20.0</v>
      </c>
      <c r="H63" s="36">
        <v>0.81</v>
      </c>
      <c r="I63" s="36">
        <v>15.9</v>
      </c>
      <c r="J63" s="36">
        <v>87.5</v>
      </c>
      <c r="K63" s="36">
        <v>87.0</v>
      </c>
      <c r="L63" s="36">
        <v>45.1</v>
      </c>
      <c r="M63" s="36">
        <v>100.0</v>
      </c>
      <c r="N63" s="36">
        <v>41.0</v>
      </c>
      <c r="O63" s="36">
        <v>20.0</v>
      </c>
      <c r="P63" s="36">
        <v>26.0</v>
      </c>
      <c r="Q63" s="36">
        <v>0.32</v>
      </c>
      <c r="R63" s="36">
        <v>0.97</v>
      </c>
      <c r="S63" s="36">
        <v>2.07</v>
      </c>
      <c r="T63" s="36">
        <v>3.04</v>
      </c>
      <c r="U63" s="21">
        <f t="shared" si="1"/>
        <v>3040</v>
      </c>
      <c r="V63" s="21">
        <f t="shared" si="2"/>
        <v>14400</v>
      </c>
    </row>
    <row r="64" ht="14.25" customHeight="1">
      <c r="A64" s="38">
        <v>0.2152777777777778</v>
      </c>
      <c r="B64" s="36">
        <v>62.0</v>
      </c>
      <c r="C64" s="36">
        <v>5.7</v>
      </c>
      <c r="D64" s="36">
        <v>574.0</v>
      </c>
      <c r="E64" s="36">
        <v>467.0</v>
      </c>
      <c r="F64" s="36">
        <v>0.81</v>
      </c>
      <c r="G64" s="36">
        <v>21.0</v>
      </c>
      <c r="H64" s="36">
        <v>0.75</v>
      </c>
      <c r="I64" s="36">
        <v>15.5</v>
      </c>
      <c r="J64" s="36">
        <v>87.9</v>
      </c>
      <c r="K64" s="36">
        <v>88.0</v>
      </c>
      <c r="L64" s="36">
        <v>44.8</v>
      </c>
      <c r="M64" s="36">
        <v>98.0</v>
      </c>
      <c r="N64" s="36">
        <v>42.0</v>
      </c>
      <c r="O64" s="36">
        <v>21.0</v>
      </c>
      <c r="P64" s="36">
        <v>26.0</v>
      </c>
      <c r="Q64" s="36">
        <v>0.33</v>
      </c>
      <c r="R64" s="36">
        <v>0.95</v>
      </c>
      <c r="S64" s="36">
        <v>1.97</v>
      </c>
      <c r="T64" s="36">
        <v>2.92</v>
      </c>
      <c r="U64" s="21">
        <f t="shared" si="1"/>
        <v>2920</v>
      </c>
      <c r="V64" s="21">
        <f t="shared" si="2"/>
        <v>1600</v>
      </c>
    </row>
    <row r="65" ht="14.25" customHeight="1">
      <c r="A65" s="38">
        <v>0.21736111111111112</v>
      </c>
      <c r="B65" s="36">
        <v>63.0</v>
      </c>
      <c r="C65" s="36">
        <v>5.8</v>
      </c>
      <c r="D65" s="36">
        <v>584.0</v>
      </c>
      <c r="E65" s="36">
        <v>461.0</v>
      </c>
      <c r="F65" s="36">
        <v>0.79</v>
      </c>
      <c r="G65" s="36">
        <v>21.0</v>
      </c>
      <c r="H65" s="36">
        <v>0.73</v>
      </c>
      <c r="I65" s="36">
        <v>15.2</v>
      </c>
      <c r="J65" s="36">
        <v>88.1</v>
      </c>
      <c r="K65" s="36">
        <v>88.0</v>
      </c>
      <c r="L65" s="36">
        <v>44.7</v>
      </c>
      <c r="M65" s="36">
        <v>97.0</v>
      </c>
      <c r="N65" s="36">
        <v>42.0</v>
      </c>
      <c r="O65" s="36">
        <v>21.0</v>
      </c>
      <c r="P65" s="36">
        <v>26.0</v>
      </c>
      <c r="Q65" s="36">
        <v>0.33</v>
      </c>
      <c r="R65" s="36">
        <v>0.96</v>
      </c>
      <c r="S65" s="36">
        <v>1.93</v>
      </c>
      <c r="T65" s="36">
        <v>2.88</v>
      </c>
      <c r="U65" s="21">
        <f t="shared" si="1"/>
        <v>2880</v>
      </c>
      <c r="V65" s="21">
        <f t="shared" si="2"/>
        <v>900</v>
      </c>
    </row>
    <row r="66" ht="14.25" customHeight="1">
      <c r="A66" s="38">
        <v>0.21944444444444444</v>
      </c>
      <c r="B66" s="36">
        <v>64.0</v>
      </c>
      <c r="C66" s="36">
        <v>6.3</v>
      </c>
      <c r="D66" s="36">
        <v>627.0</v>
      </c>
      <c r="E66" s="36">
        <v>483.0</v>
      </c>
      <c r="F66" s="36">
        <v>0.77</v>
      </c>
      <c r="G66" s="36">
        <v>21.0</v>
      </c>
      <c r="H66" s="36">
        <v>0.74</v>
      </c>
      <c r="I66" s="36">
        <v>15.6</v>
      </c>
      <c r="J66" s="36">
        <v>87.8</v>
      </c>
      <c r="K66" s="36">
        <v>88.0</v>
      </c>
      <c r="L66" s="36">
        <v>44.6</v>
      </c>
      <c r="M66" s="36">
        <v>96.0</v>
      </c>
      <c r="N66" s="36">
        <v>42.0</v>
      </c>
      <c r="O66" s="36">
        <v>21.0</v>
      </c>
      <c r="P66" s="36">
        <v>28.0</v>
      </c>
      <c r="Q66" s="36">
        <v>0.35</v>
      </c>
      <c r="R66" s="36">
        <v>1.0</v>
      </c>
      <c r="S66" s="36">
        <v>1.86</v>
      </c>
      <c r="T66" s="36">
        <v>2.85</v>
      </c>
      <c r="U66" s="21">
        <f t="shared" si="1"/>
        <v>2850</v>
      </c>
      <c r="V66" s="21">
        <f t="shared" si="2"/>
        <v>14400</v>
      </c>
    </row>
    <row r="67" ht="14.25" customHeight="1">
      <c r="A67" s="38">
        <v>0.22083333333333333</v>
      </c>
      <c r="B67" s="36">
        <v>65.0</v>
      </c>
      <c r="C67" s="36">
        <v>5.9</v>
      </c>
      <c r="D67" s="36">
        <v>589.0</v>
      </c>
      <c r="E67" s="36">
        <v>452.0</v>
      </c>
      <c r="F67" s="36">
        <v>0.77</v>
      </c>
      <c r="G67" s="36">
        <v>22.0</v>
      </c>
      <c r="H67" s="36">
        <v>0.68</v>
      </c>
      <c r="I67" s="36">
        <v>15.0</v>
      </c>
      <c r="J67" s="36">
        <v>88.3</v>
      </c>
      <c r="K67" s="36">
        <v>89.0</v>
      </c>
      <c r="L67" s="36">
        <v>44.0</v>
      </c>
      <c r="M67" s="36">
        <v>96.0</v>
      </c>
      <c r="N67" s="36">
        <v>42.0</v>
      </c>
      <c r="O67" s="36">
        <v>22.0</v>
      </c>
      <c r="P67" s="36">
        <v>27.0</v>
      </c>
      <c r="Q67" s="36">
        <v>0.35</v>
      </c>
      <c r="R67" s="36">
        <v>0.95</v>
      </c>
      <c r="S67" s="36">
        <v>1.78</v>
      </c>
      <c r="T67" s="36">
        <v>2.73</v>
      </c>
      <c r="U67" s="21">
        <f t="shared" si="1"/>
        <v>2730</v>
      </c>
      <c r="V67" s="21">
        <f t="shared" si="2"/>
        <v>22500</v>
      </c>
    </row>
    <row r="68" ht="14.25" customHeight="1">
      <c r="A68" s="38">
        <v>0.22361111111111112</v>
      </c>
      <c r="B68" s="36">
        <v>66.0</v>
      </c>
      <c r="C68" s="36">
        <v>6.7</v>
      </c>
      <c r="D68" s="36">
        <v>674.0</v>
      </c>
      <c r="E68" s="36">
        <v>528.0</v>
      </c>
      <c r="F68" s="36">
        <v>0.78</v>
      </c>
      <c r="G68" s="36">
        <v>21.0</v>
      </c>
      <c r="H68" s="36">
        <v>0.81</v>
      </c>
      <c r="I68" s="36">
        <v>17.0</v>
      </c>
      <c r="J68" s="36">
        <v>86.7</v>
      </c>
      <c r="K68" s="36">
        <v>89.0</v>
      </c>
      <c r="L68" s="36">
        <v>43.8</v>
      </c>
      <c r="M68" s="36">
        <v>97.0</v>
      </c>
      <c r="N68" s="36">
        <v>42.0</v>
      </c>
      <c r="O68" s="36">
        <v>21.0</v>
      </c>
      <c r="P68" s="36">
        <v>30.0</v>
      </c>
      <c r="Q68" s="36">
        <v>0.37</v>
      </c>
      <c r="R68" s="36">
        <v>1.05</v>
      </c>
      <c r="S68" s="36">
        <v>1.83</v>
      </c>
      <c r="T68" s="36">
        <v>2.88</v>
      </c>
      <c r="U68" s="21">
        <f t="shared" si="1"/>
        <v>2880</v>
      </c>
      <c r="V68" s="21">
        <f t="shared" si="2"/>
        <v>2500</v>
      </c>
    </row>
    <row r="69" ht="14.25" customHeight="1">
      <c r="A69" s="38">
        <v>0.22569444444444445</v>
      </c>
      <c r="B69" s="36">
        <v>67.0</v>
      </c>
      <c r="C69" s="36">
        <v>7.5</v>
      </c>
      <c r="D69" s="36">
        <v>748.0</v>
      </c>
      <c r="E69" s="36">
        <v>595.0</v>
      </c>
      <c r="F69" s="36">
        <v>0.8</v>
      </c>
      <c r="G69" s="36">
        <v>21.0</v>
      </c>
      <c r="H69" s="36">
        <v>0.9</v>
      </c>
      <c r="I69" s="36">
        <v>19.0</v>
      </c>
      <c r="J69" s="36">
        <v>85.1</v>
      </c>
      <c r="K69" s="36">
        <v>90.0</v>
      </c>
      <c r="L69" s="36">
        <v>43.6</v>
      </c>
      <c r="M69" s="36">
        <v>99.0</v>
      </c>
      <c r="N69" s="36">
        <v>41.0</v>
      </c>
      <c r="O69" s="36">
        <v>21.0</v>
      </c>
      <c r="P69" s="36">
        <v>34.0</v>
      </c>
      <c r="Q69" s="36">
        <v>0.39</v>
      </c>
      <c r="R69" s="36">
        <v>1.12</v>
      </c>
      <c r="S69" s="36">
        <v>1.72</v>
      </c>
      <c r="T69" s="36">
        <v>2.83</v>
      </c>
      <c r="U69" s="21">
        <f t="shared" si="1"/>
        <v>2830</v>
      </c>
      <c r="V69" s="21">
        <f t="shared" si="2"/>
        <v>400</v>
      </c>
    </row>
    <row r="70" ht="14.25" customHeight="1">
      <c r="A70" s="38">
        <v>0.22708333333333333</v>
      </c>
      <c r="B70" s="36">
        <v>68.0</v>
      </c>
      <c r="C70" s="36">
        <v>7.4</v>
      </c>
      <c r="D70" s="36">
        <v>745.0</v>
      </c>
      <c r="E70" s="36">
        <v>605.0</v>
      </c>
      <c r="F70" s="36">
        <v>0.81</v>
      </c>
      <c r="G70" s="36">
        <v>21.0</v>
      </c>
      <c r="H70" s="36">
        <v>0.92</v>
      </c>
      <c r="I70" s="36">
        <v>19.6</v>
      </c>
      <c r="J70" s="36">
        <v>84.6</v>
      </c>
      <c r="K70" s="36">
        <v>90.0</v>
      </c>
      <c r="L70" s="36">
        <v>43.6</v>
      </c>
      <c r="M70" s="36">
        <v>100.0</v>
      </c>
      <c r="N70" s="36">
        <v>40.0</v>
      </c>
      <c r="O70" s="36">
        <v>21.0</v>
      </c>
      <c r="P70" s="36">
        <v>34.0</v>
      </c>
      <c r="Q70" s="36">
        <v>0.39</v>
      </c>
      <c r="R70" s="36">
        <v>1.11</v>
      </c>
      <c r="S70" s="36">
        <v>1.7</v>
      </c>
      <c r="T70" s="36">
        <v>2.81</v>
      </c>
      <c r="U70" s="21">
        <f t="shared" si="1"/>
        <v>2810</v>
      </c>
      <c r="V70" s="21">
        <f t="shared" si="2"/>
        <v>6400</v>
      </c>
    </row>
    <row r="71" ht="14.25" customHeight="1">
      <c r="A71" s="38">
        <v>0.22916666666666666</v>
      </c>
      <c r="B71" s="36">
        <v>69.0</v>
      </c>
      <c r="C71" s="36">
        <v>7.7</v>
      </c>
      <c r="D71" s="36">
        <v>770.0</v>
      </c>
      <c r="E71" s="36">
        <v>644.0</v>
      </c>
      <c r="F71" s="36">
        <v>0.84</v>
      </c>
      <c r="G71" s="36">
        <v>21.0</v>
      </c>
      <c r="H71" s="36">
        <v>1.0</v>
      </c>
      <c r="I71" s="36">
        <v>20.8</v>
      </c>
      <c r="J71" s="36">
        <v>83.7</v>
      </c>
      <c r="K71" s="36">
        <v>90.0</v>
      </c>
      <c r="L71" s="36">
        <v>43.6</v>
      </c>
      <c r="M71" s="36">
        <v>102.0</v>
      </c>
      <c r="N71" s="36">
        <v>39.0</v>
      </c>
      <c r="O71" s="36">
        <v>21.0</v>
      </c>
      <c r="P71" s="36">
        <v>35.0</v>
      </c>
      <c r="Q71" s="36">
        <v>0.39</v>
      </c>
      <c r="R71" s="36">
        <v>1.13</v>
      </c>
      <c r="S71" s="36">
        <v>1.76</v>
      </c>
      <c r="T71" s="36">
        <v>2.89</v>
      </c>
      <c r="U71" s="21">
        <f t="shared" si="1"/>
        <v>2890</v>
      </c>
      <c r="V71" s="21">
        <f t="shared" si="2"/>
        <v>100</v>
      </c>
    </row>
    <row r="72" ht="14.25" customHeight="1">
      <c r="A72" s="38">
        <v>0.23125</v>
      </c>
      <c r="B72" s="36">
        <v>70.0</v>
      </c>
      <c r="C72" s="36">
        <v>7.8</v>
      </c>
      <c r="D72" s="36">
        <v>777.0</v>
      </c>
      <c r="E72" s="36">
        <v>652.0</v>
      </c>
      <c r="F72" s="36">
        <v>0.84</v>
      </c>
      <c r="G72" s="36">
        <v>21.0</v>
      </c>
      <c r="H72" s="36">
        <v>1.02</v>
      </c>
      <c r="I72" s="36">
        <v>21.0</v>
      </c>
      <c r="J72" s="36">
        <v>83.5</v>
      </c>
      <c r="K72" s="36">
        <v>90.0</v>
      </c>
      <c r="L72" s="36">
        <v>43.7</v>
      </c>
      <c r="M72" s="36">
        <v>102.0</v>
      </c>
      <c r="N72" s="36">
        <v>39.0</v>
      </c>
      <c r="O72" s="36">
        <v>21.0</v>
      </c>
      <c r="P72" s="36">
        <v>35.0</v>
      </c>
      <c r="Q72" s="36">
        <v>0.38</v>
      </c>
      <c r="R72" s="36">
        <v>1.12</v>
      </c>
      <c r="S72" s="36">
        <v>1.78</v>
      </c>
      <c r="T72" s="36">
        <v>2.9</v>
      </c>
      <c r="U72" s="21">
        <f t="shared" si="1"/>
        <v>2900</v>
      </c>
      <c r="V72" s="21">
        <f t="shared" si="2"/>
        <v>14400</v>
      </c>
    </row>
    <row r="73" ht="14.25" customHeight="1">
      <c r="A73" s="38">
        <v>0.23333333333333334</v>
      </c>
      <c r="B73" s="36">
        <v>71.0</v>
      </c>
      <c r="C73" s="36">
        <v>7.5</v>
      </c>
      <c r="D73" s="36">
        <v>753.0</v>
      </c>
      <c r="E73" s="36">
        <v>627.0</v>
      </c>
      <c r="F73" s="36">
        <v>0.83</v>
      </c>
      <c r="G73" s="36">
        <v>22.0</v>
      </c>
      <c r="H73" s="36">
        <v>0.94</v>
      </c>
      <c r="I73" s="36">
        <v>20.4</v>
      </c>
      <c r="J73" s="36">
        <v>84.0</v>
      </c>
      <c r="K73" s="36">
        <v>90.0</v>
      </c>
      <c r="L73" s="36">
        <v>43.2</v>
      </c>
      <c r="M73" s="36">
        <v>102.0</v>
      </c>
      <c r="N73" s="36">
        <v>39.0</v>
      </c>
      <c r="O73" s="36">
        <v>22.0</v>
      </c>
      <c r="P73" s="36">
        <v>34.0</v>
      </c>
      <c r="Q73" s="36">
        <v>0.4</v>
      </c>
      <c r="R73" s="36">
        <v>1.11</v>
      </c>
      <c r="S73" s="36">
        <v>1.68</v>
      </c>
      <c r="T73" s="36">
        <v>2.78</v>
      </c>
      <c r="U73" s="21">
        <f t="shared" si="1"/>
        <v>2780</v>
      </c>
      <c r="V73" s="21">
        <f t="shared" si="2"/>
        <v>3600</v>
      </c>
    </row>
    <row r="74" ht="14.25" customHeight="1">
      <c r="A74" s="38">
        <v>0.23541666666666666</v>
      </c>
      <c r="B74" s="36">
        <v>72.0</v>
      </c>
      <c r="C74" s="36">
        <v>7.3</v>
      </c>
      <c r="D74" s="36">
        <v>733.0</v>
      </c>
      <c r="E74" s="36">
        <v>620.0</v>
      </c>
      <c r="F74" s="36">
        <v>0.85</v>
      </c>
      <c r="G74" s="36">
        <v>21.0</v>
      </c>
      <c r="H74" s="36">
        <v>0.96</v>
      </c>
      <c r="I74" s="36">
        <v>20.2</v>
      </c>
      <c r="J74" s="36">
        <v>84.2</v>
      </c>
      <c r="K74" s="36">
        <v>90.0</v>
      </c>
      <c r="L74" s="36">
        <v>43.1</v>
      </c>
      <c r="M74" s="36">
        <v>102.0</v>
      </c>
      <c r="N74" s="36">
        <v>40.0</v>
      </c>
      <c r="O74" s="36">
        <v>21.0</v>
      </c>
      <c r="P74" s="36">
        <v>33.0</v>
      </c>
      <c r="Q74" s="36">
        <v>0.38</v>
      </c>
      <c r="R74" s="36">
        <v>1.08</v>
      </c>
      <c r="S74" s="36">
        <v>1.77</v>
      </c>
      <c r="T74" s="36">
        <v>2.84</v>
      </c>
      <c r="U74" s="21">
        <f t="shared" si="1"/>
        <v>2840</v>
      </c>
      <c r="V74" s="21">
        <f t="shared" si="2"/>
        <v>1600</v>
      </c>
    </row>
    <row r="75" ht="14.25" customHeight="1">
      <c r="A75" s="38">
        <v>0.2375</v>
      </c>
      <c r="B75" s="36">
        <v>73.0</v>
      </c>
      <c r="C75" s="36">
        <v>7.0</v>
      </c>
      <c r="D75" s="36">
        <v>700.0</v>
      </c>
      <c r="E75" s="36">
        <v>594.0</v>
      </c>
      <c r="F75" s="36">
        <v>0.85</v>
      </c>
      <c r="G75" s="36">
        <v>21.0</v>
      </c>
      <c r="H75" s="36">
        <v>0.9</v>
      </c>
      <c r="I75" s="36">
        <v>19.4</v>
      </c>
      <c r="J75" s="36">
        <v>84.8</v>
      </c>
      <c r="K75" s="36">
        <v>90.0</v>
      </c>
      <c r="L75" s="36">
        <v>43.1</v>
      </c>
      <c r="M75" s="36">
        <v>102.0</v>
      </c>
      <c r="N75" s="36">
        <v>40.0</v>
      </c>
      <c r="O75" s="36">
        <v>21.0</v>
      </c>
      <c r="P75" s="36">
        <v>32.0</v>
      </c>
      <c r="Q75" s="36">
        <v>0.38</v>
      </c>
      <c r="R75" s="36">
        <v>1.05</v>
      </c>
      <c r="S75" s="36">
        <v>1.74</v>
      </c>
      <c r="T75" s="36">
        <v>2.8</v>
      </c>
      <c r="U75" s="21">
        <f t="shared" si="1"/>
        <v>2800</v>
      </c>
      <c r="V75" s="21">
        <f t="shared" si="2"/>
        <v>2500</v>
      </c>
    </row>
    <row r="76" ht="14.25" customHeight="1">
      <c r="A76" s="38">
        <v>0.23958333333333334</v>
      </c>
      <c r="B76" s="36">
        <v>74.0</v>
      </c>
      <c r="C76" s="36">
        <v>6.9</v>
      </c>
      <c r="D76" s="36">
        <v>689.0</v>
      </c>
      <c r="E76" s="36">
        <v>585.0</v>
      </c>
      <c r="F76" s="36">
        <v>0.85</v>
      </c>
      <c r="G76" s="36">
        <v>22.0</v>
      </c>
      <c r="H76" s="36">
        <v>0.88</v>
      </c>
      <c r="I76" s="36">
        <v>19.1</v>
      </c>
      <c r="J76" s="36">
        <v>85.0</v>
      </c>
      <c r="K76" s="36">
        <v>91.0</v>
      </c>
      <c r="L76" s="36">
        <v>42.6</v>
      </c>
      <c r="M76" s="36">
        <v>102.0</v>
      </c>
      <c r="N76" s="36">
        <v>40.0</v>
      </c>
      <c r="O76" s="36">
        <v>22.0</v>
      </c>
      <c r="P76" s="36">
        <v>31.0</v>
      </c>
      <c r="Q76" s="36">
        <v>0.37</v>
      </c>
      <c r="R76" s="36">
        <v>1.01</v>
      </c>
      <c r="S76" s="36">
        <v>1.74</v>
      </c>
      <c r="T76" s="36">
        <v>2.75</v>
      </c>
      <c r="U76" s="21">
        <f t="shared" si="1"/>
        <v>2750</v>
      </c>
      <c r="V76" s="21">
        <f t="shared" si="2"/>
        <v>2500</v>
      </c>
    </row>
    <row r="77" ht="14.25" customHeight="1">
      <c r="A77" s="38">
        <v>0.24097222222222223</v>
      </c>
      <c r="B77" s="36">
        <v>75.0</v>
      </c>
      <c r="C77" s="36">
        <v>6.8</v>
      </c>
      <c r="D77" s="36">
        <v>684.0</v>
      </c>
      <c r="E77" s="36">
        <v>575.0</v>
      </c>
      <c r="F77" s="36">
        <v>0.84</v>
      </c>
      <c r="G77" s="36">
        <v>21.0</v>
      </c>
      <c r="H77" s="36">
        <v>0.87</v>
      </c>
      <c r="I77" s="36">
        <v>18.7</v>
      </c>
      <c r="J77" s="36">
        <v>85.4</v>
      </c>
      <c r="K77" s="36">
        <v>91.0</v>
      </c>
      <c r="L77" s="36">
        <v>42.7</v>
      </c>
      <c r="M77" s="36">
        <v>101.0</v>
      </c>
      <c r="N77" s="36">
        <v>40.0</v>
      </c>
      <c r="O77" s="36">
        <v>21.0</v>
      </c>
      <c r="P77" s="36">
        <v>31.0</v>
      </c>
      <c r="Q77" s="36">
        <v>0.35</v>
      </c>
      <c r="R77" s="36">
        <v>0.98</v>
      </c>
      <c r="S77" s="36">
        <v>1.82</v>
      </c>
      <c r="T77" s="36">
        <v>2.8</v>
      </c>
      <c r="U77" s="21">
        <f t="shared" si="1"/>
        <v>2800</v>
      </c>
      <c r="V77" s="21">
        <f t="shared" si="2"/>
        <v>10000</v>
      </c>
    </row>
    <row r="78" ht="14.25" customHeight="1">
      <c r="A78" s="38">
        <v>0.24375</v>
      </c>
      <c r="B78" s="36">
        <v>76.0</v>
      </c>
      <c r="C78" s="36">
        <v>6.8</v>
      </c>
      <c r="D78" s="36">
        <v>677.0</v>
      </c>
      <c r="E78" s="36">
        <v>562.0</v>
      </c>
      <c r="F78" s="36">
        <v>0.83</v>
      </c>
      <c r="G78" s="36">
        <v>21.0</v>
      </c>
      <c r="H78" s="36">
        <v>0.87</v>
      </c>
      <c r="I78" s="36">
        <v>18.0</v>
      </c>
      <c r="J78" s="36">
        <v>85.9</v>
      </c>
      <c r="K78" s="36">
        <v>91.0</v>
      </c>
      <c r="L78" s="36">
        <v>42.7</v>
      </c>
      <c r="M78" s="36">
        <v>100.0</v>
      </c>
      <c r="N78" s="36">
        <v>41.0</v>
      </c>
      <c r="O78" s="36">
        <v>21.0</v>
      </c>
      <c r="P78" s="36">
        <v>30.0</v>
      </c>
      <c r="Q78" s="36">
        <v>0.35</v>
      </c>
      <c r="R78" s="36">
        <v>1.03</v>
      </c>
      <c r="S78" s="36">
        <v>1.87</v>
      </c>
      <c r="T78" s="36">
        <v>2.9</v>
      </c>
      <c r="U78" s="21">
        <f t="shared" si="1"/>
        <v>2900</v>
      </c>
      <c r="V78" s="21">
        <f t="shared" si="2"/>
        <v>0</v>
      </c>
    </row>
    <row r="79" ht="14.25" customHeight="1">
      <c r="A79" s="38">
        <v>0.24583333333333332</v>
      </c>
      <c r="B79" s="36">
        <v>77.0</v>
      </c>
      <c r="C79" s="36">
        <v>6.8</v>
      </c>
      <c r="D79" s="36">
        <v>676.0</v>
      </c>
      <c r="E79" s="36">
        <v>562.0</v>
      </c>
      <c r="F79" s="36">
        <v>0.83</v>
      </c>
      <c r="G79" s="36">
        <v>21.0</v>
      </c>
      <c r="H79" s="36">
        <v>0.87</v>
      </c>
      <c r="I79" s="36">
        <v>18.0</v>
      </c>
      <c r="J79" s="36">
        <v>85.9</v>
      </c>
      <c r="K79" s="36">
        <v>91.0</v>
      </c>
      <c r="L79" s="36">
        <v>42.9</v>
      </c>
      <c r="M79" s="36">
        <v>100.0</v>
      </c>
      <c r="N79" s="36">
        <v>41.0</v>
      </c>
      <c r="O79" s="36">
        <v>21.0</v>
      </c>
      <c r="P79" s="36">
        <v>30.0</v>
      </c>
      <c r="Q79" s="36">
        <v>0.35</v>
      </c>
      <c r="R79" s="36">
        <v>1.03</v>
      </c>
      <c r="S79" s="36">
        <v>1.87</v>
      </c>
      <c r="T79" s="36">
        <v>2.9</v>
      </c>
      <c r="U79" s="21">
        <f t="shared" si="1"/>
        <v>2900</v>
      </c>
      <c r="V79" s="21">
        <f t="shared" si="2"/>
        <v>0</v>
      </c>
    </row>
    <row r="80" ht="14.25" customHeight="1">
      <c r="A80" s="38">
        <v>0.24722222222222223</v>
      </c>
      <c r="B80" s="36">
        <v>77.0</v>
      </c>
      <c r="C80" s="36">
        <v>6.8</v>
      </c>
      <c r="D80" s="36">
        <v>676.0</v>
      </c>
      <c r="E80" s="36">
        <v>562.0</v>
      </c>
      <c r="F80" s="36">
        <v>0.83</v>
      </c>
      <c r="G80" s="36">
        <v>21.0</v>
      </c>
      <c r="H80" s="36">
        <v>0.87</v>
      </c>
      <c r="I80" s="36">
        <v>18.0</v>
      </c>
      <c r="J80" s="36">
        <v>85.9</v>
      </c>
      <c r="K80" s="36">
        <v>92.0</v>
      </c>
      <c r="L80" s="36">
        <v>42.0</v>
      </c>
      <c r="M80" s="36">
        <v>100.0</v>
      </c>
      <c r="N80" s="36">
        <v>41.0</v>
      </c>
      <c r="O80" s="36">
        <v>21.0</v>
      </c>
      <c r="P80" s="36">
        <v>30.0</v>
      </c>
      <c r="Q80" s="36">
        <v>0.35</v>
      </c>
      <c r="R80" s="36">
        <v>1.03</v>
      </c>
      <c r="S80" s="36">
        <v>1.87</v>
      </c>
      <c r="T80" s="36">
        <v>2.9</v>
      </c>
      <c r="U80" s="21">
        <f t="shared" si="1"/>
        <v>2900</v>
      </c>
      <c r="V80" s="21">
        <f t="shared" si="2"/>
        <v>8100</v>
      </c>
    </row>
    <row r="81" ht="14.25" customHeight="1">
      <c r="A81" s="38">
        <v>0.24930555555555556</v>
      </c>
      <c r="B81" s="36">
        <v>78.0</v>
      </c>
      <c r="C81" s="36">
        <v>7.1</v>
      </c>
      <c r="D81" s="36">
        <v>708.0</v>
      </c>
      <c r="E81" s="36">
        <v>581.0</v>
      </c>
      <c r="F81" s="36">
        <v>0.82</v>
      </c>
      <c r="G81" s="36">
        <v>20.0</v>
      </c>
      <c r="H81" s="36">
        <v>0.9</v>
      </c>
      <c r="I81" s="36">
        <v>18.2</v>
      </c>
      <c r="J81" s="36">
        <v>85.7</v>
      </c>
      <c r="K81" s="36">
        <v>93.0</v>
      </c>
      <c r="L81" s="36">
        <v>41.6</v>
      </c>
      <c r="M81" s="36">
        <v>99.0</v>
      </c>
      <c r="N81" s="36">
        <v>41.0</v>
      </c>
      <c r="O81" s="36">
        <v>20.0</v>
      </c>
      <c r="P81" s="36">
        <v>32.0</v>
      </c>
      <c r="Q81" s="36">
        <v>0.36</v>
      </c>
      <c r="R81" s="36">
        <v>1.07</v>
      </c>
      <c r="S81" s="36">
        <v>1.91</v>
      </c>
      <c r="T81" s="36">
        <v>2.99</v>
      </c>
      <c r="U81" s="21">
        <f t="shared" si="1"/>
        <v>2990</v>
      </c>
      <c r="V81" s="21">
        <f t="shared" si="2"/>
        <v>12100</v>
      </c>
    </row>
    <row r="82" ht="14.25" customHeight="1">
      <c r="A82" s="38">
        <v>0.25069444444444444</v>
      </c>
      <c r="B82" s="36">
        <v>79.0</v>
      </c>
      <c r="C82" s="36">
        <v>7.5</v>
      </c>
      <c r="D82" s="36">
        <v>754.0</v>
      </c>
      <c r="E82" s="36">
        <v>618.0</v>
      </c>
      <c r="F82" s="36">
        <v>0.82</v>
      </c>
      <c r="G82" s="36">
        <v>21.0</v>
      </c>
      <c r="H82" s="36">
        <v>0.93</v>
      </c>
      <c r="I82" s="36">
        <v>19.4</v>
      </c>
      <c r="J82" s="36">
        <v>84.8</v>
      </c>
      <c r="K82" s="36">
        <v>94.0</v>
      </c>
      <c r="L82" s="36">
        <v>41.1</v>
      </c>
      <c r="M82" s="36">
        <v>99.0</v>
      </c>
      <c r="N82" s="36">
        <v>41.0</v>
      </c>
      <c r="O82" s="36">
        <v>21.0</v>
      </c>
      <c r="P82" s="36">
        <v>34.0</v>
      </c>
      <c r="Q82" s="36">
        <v>0.37</v>
      </c>
      <c r="R82" s="36">
        <v>1.06</v>
      </c>
      <c r="S82" s="36">
        <v>1.83</v>
      </c>
      <c r="T82" s="36">
        <v>2.88</v>
      </c>
      <c r="U82" s="21">
        <f t="shared" si="1"/>
        <v>2880</v>
      </c>
      <c r="V82" s="21">
        <f t="shared" si="2"/>
        <v>100</v>
      </c>
    </row>
    <row r="83" ht="14.25" customHeight="1">
      <c r="A83" s="38">
        <v>0.25277777777777777</v>
      </c>
      <c r="B83" s="36">
        <v>80.0</v>
      </c>
      <c r="C83" s="36">
        <v>7.8</v>
      </c>
      <c r="D83" s="36">
        <v>779.0</v>
      </c>
      <c r="E83" s="36">
        <v>638.0</v>
      </c>
      <c r="F83" s="36">
        <v>0.82</v>
      </c>
      <c r="G83" s="36">
        <v>21.0</v>
      </c>
      <c r="H83" s="36">
        <v>0.96</v>
      </c>
      <c r="I83" s="36">
        <v>20.0</v>
      </c>
      <c r="J83" s="36">
        <v>84.3</v>
      </c>
      <c r="K83" s="36">
        <v>95.0</v>
      </c>
      <c r="L83" s="36">
        <v>40.4</v>
      </c>
      <c r="M83" s="36">
        <v>100.0</v>
      </c>
      <c r="N83" s="36">
        <v>41.0</v>
      </c>
      <c r="O83" s="36">
        <v>21.0</v>
      </c>
      <c r="P83" s="36">
        <v>35.0</v>
      </c>
      <c r="Q83" s="36">
        <v>0.38</v>
      </c>
      <c r="R83" s="36">
        <v>1.09</v>
      </c>
      <c r="S83" s="36">
        <v>1.77</v>
      </c>
      <c r="T83" s="36">
        <v>2.87</v>
      </c>
      <c r="U83" s="21">
        <f t="shared" si="1"/>
        <v>2870</v>
      </c>
      <c r="V83" s="21">
        <f t="shared" si="2"/>
        <v>4900</v>
      </c>
    </row>
    <row r="84" ht="14.25" customHeight="1">
      <c r="A84" s="38">
        <v>0.2548611111111111</v>
      </c>
      <c r="B84" s="36">
        <v>81.0</v>
      </c>
      <c r="C84" s="36">
        <v>8.3</v>
      </c>
      <c r="D84" s="36">
        <v>830.0</v>
      </c>
      <c r="E84" s="36">
        <v>680.0</v>
      </c>
      <c r="F84" s="36">
        <v>0.82</v>
      </c>
      <c r="G84" s="36">
        <v>21.0</v>
      </c>
      <c r="H84" s="36">
        <v>0.99</v>
      </c>
      <c r="I84" s="36">
        <v>21.3</v>
      </c>
      <c r="J84" s="36">
        <v>83.3</v>
      </c>
      <c r="K84" s="36">
        <v>94.0</v>
      </c>
      <c r="L84" s="36">
        <v>40.7</v>
      </c>
      <c r="M84" s="36">
        <v>100.0</v>
      </c>
      <c r="N84" s="36">
        <v>40.0</v>
      </c>
      <c r="O84" s="36">
        <v>21.0</v>
      </c>
      <c r="P84" s="36">
        <v>37.0</v>
      </c>
      <c r="Q84" s="36">
        <v>0.4</v>
      </c>
      <c r="R84" s="36">
        <v>1.12</v>
      </c>
      <c r="S84" s="36">
        <v>1.68</v>
      </c>
      <c r="T84" s="36">
        <v>2.8</v>
      </c>
      <c r="U84" s="21">
        <f t="shared" si="1"/>
        <v>2800</v>
      </c>
      <c r="V84" s="21">
        <f t="shared" si="2"/>
        <v>100</v>
      </c>
    </row>
    <row r="85" ht="14.25" customHeight="1">
      <c r="A85" s="38">
        <v>0.2569444444444444</v>
      </c>
      <c r="B85" s="36">
        <v>82.0</v>
      </c>
      <c r="C85" s="36">
        <v>8.7</v>
      </c>
      <c r="D85" s="36">
        <v>867.0</v>
      </c>
      <c r="E85" s="36">
        <v>720.0</v>
      </c>
      <c r="F85" s="36">
        <v>0.83</v>
      </c>
      <c r="G85" s="36">
        <v>21.0</v>
      </c>
      <c r="H85" s="36">
        <v>1.05</v>
      </c>
      <c r="I85" s="36">
        <v>22.6</v>
      </c>
      <c r="J85" s="36">
        <v>82.3</v>
      </c>
      <c r="K85" s="36">
        <v>94.0</v>
      </c>
      <c r="L85" s="36">
        <v>40.7</v>
      </c>
      <c r="M85" s="36">
        <v>101.0</v>
      </c>
      <c r="N85" s="36">
        <v>40.0</v>
      </c>
      <c r="O85" s="36">
        <v>21.0</v>
      </c>
      <c r="P85" s="36">
        <v>39.0</v>
      </c>
      <c r="Q85" s="36">
        <v>0.4</v>
      </c>
      <c r="R85" s="36">
        <v>1.12</v>
      </c>
      <c r="S85" s="36">
        <v>1.67</v>
      </c>
      <c r="T85" s="36">
        <v>2.79</v>
      </c>
      <c r="U85" s="21">
        <f t="shared" si="1"/>
        <v>2790</v>
      </c>
      <c r="V85" s="21">
        <f t="shared" si="2"/>
        <v>400</v>
      </c>
    </row>
    <row r="86" ht="14.25" customHeight="1">
      <c r="A86" s="38">
        <v>0.2590277777777778</v>
      </c>
      <c r="B86" s="36">
        <v>83.0</v>
      </c>
      <c r="C86" s="36">
        <v>8.5</v>
      </c>
      <c r="D86" s="36">
        <v>852.0</v>
      </c>
      <c r="E86" s="36">
        <v>719.0</v>
      </c>
      <c r="F86" s="36">
        <v>0.84</v>
      </c>
      <c r="G86" s="36">
        <v>21.0</v>
      </c>
      <c r="H86" s="36">
        <v>1.07</v>
      </c>
      <c r="I86" s="36">
        <v>22.8</v>
      </c>
      <c r="J86" s="36">
        <v>82.1</v>
      </c>
      <c r="K86" s="36">
        <v>95.0</v>
      </c>
      <c r="L86" s="36">
        <v>40.3</v>
      </c>
      <c r="M86" s="36">
        <v>102.0</v>
      </c>
      <c r="N86" s="36">
        <v>40.0</v>
      </c>
      <c r="O86" s="36">
        <v>21.0</v>
      </c>
      <c r="P86" s="36">
        <v>38.0</v>
      </c>
      <c r="Q86" s="36">
        <v>0.4</v>
      </c>
      <c r="R86" s="36">
        <v>1.11</v>
      </c>
      <c r="S86" s="36">
        <v>1.7</v>
      </c>
      <c r="T86" s="36">
        <v>2.81</v>
      </c>
      <c r="U86" s="21">
        <f t="shared" si="1"/>
        <v>2810</v>
      </c>
      <c r="V86" s="21">
        <f t="shared" si="2"/>
        <v>8100</v>
      </c>
    </row>
    <row r="87" ht="14.25" customHeight="1">
      <c r="A87" s="38">
        <v>0.2611111111111111</v>
      </c>
      <c r="B87" s="36">
        <v>84.0</v>
      </c>
      <c r="C87" s="36">
        <v>8.8</v>
      </c>
      <c r="D87" s="36">
        <v>882.0</v>
      </c>
      <c r="E87" s="36">
        <v>741.0</v>
      </c>
      <c r="F87" s="36">
        <v>0.84</v>
      </c>
      <c r="G87" s="36">
        <v>22.0</v>
      </c>
      <c r="H87" s="36">
        <v>1.07</v>
      </c>
      <c r="I87" s="36">
        <v>23.6</v>
      </c>
      <c r="J87" s="36">
        <v>81.5</v>
      </c>
      <c r="K87" s="36">
        <v>94.0</v>
      </c>
      <c r="L87" s="36">
        <v>41.0</v>
      </c>
      <c r="M87" s="36">
        <v>102.0</v>
      </c>
      <c r="N87" s="36">
        <v>40.0</v>
      </c>
      <c r="O87" s="36">
        <v>22.0</v>
      </c>
      <c r="P87" s="36">
        <v>40.0</v>
      </c>
      <c r="Q87" s="36">
        <v>0.4</v>
      </c>
      <c r="R87" s="36">
        <v>1.08</v>
      </c>
      <c r="S87" s="36">
        <v>1.65</v>
      </c>
      <c r="T87" s="36">
        <v>2.72</v>
      </c>
      <c r="U87" s="21">
        <f t="shared" si="1"/>
        <v>2720</v>
      </c>
      <c r="V87" s="21">
        <f t="shared" si="2"/>
        <v>12100</v>
      </c>
    </row>
    <row r="88" ht="14.25" customHeight="1">
      <c r="A88" s="38">
        <v>0.26319444444444445</v>
      </c>
      <c r="B88" s="36">
        <v>85.0</v>
      </c>
      <c r="C88" s="36">
        <v>8.6</v>
      </c>
      <c r="D88" s="36">
        <v>859.0</v>
      </c>
      <c r="E88" s="36">
        <v>732.0</v>
      </c>
      <c r="F88" s="36">
        <v>0.85</v>
      </c>
      <c r="G88" s="36">
        <v>21.0</v>
      </c>
      <c r="H88" s="36">
        <v>1.1</v>
      </c>
      <c r="I88" s="36">
        <v>23.2</v>
      </c>
      <c r="J88" s="36">
        <v>81.8</v>
      </c>
      <c r="K88" s="36">
        <v>94.0</v>
      </c>
      <c r="L88" s="36">
        <v>41.2</v>
      </c>
      <c r="M88" s="36">
        <v>102.0</v>
      </c>
      <c r="N88" s="36">
        <v>40.0</v>
      </c>
      <c r="O88" s="36">
        <v>21.0</v>
      </c>
      <c r="P88" s="36">
        <v>39.0</v>
      </c>
      <c r="Q88" s="36">
        <v>0.38</v>
      </c>
      <c r="R88" s="36">
        <v>1.09</v>
      </c>
      <c r="S88" s="36">
        <v>1.74</v>
      </c>
      <c r="T88" s="36">
        <v>2.83</v>
      </c>
      <c r="U88" s="21">
        <f t="shared" si="1"/>
        <v>2830</v>
      </c>
      <c r="V88" s="21">
        <f t="shared" si="2"/>
        <v>32400</v>
      </c>
    </row>
    <row r="89" ht="14.25" customHeight="1">
      <c r="A89" s="38">
        <v>0.2652777777777778</v>
      </c>
      <c r="B89" s="36">
        <v>86.0</v>
      </c>
      <c r="C89" s="36">
        <v>8.3</v>
      </c>
      <c r="D89" s="36">
        <v>829.0</v>
      </c>
      <c r="E89" s="36">
        <v>712.0</v>
      </c>
      <c r="F89" s="36">
        <v>0.86</v>
      </c>
      <c r="G89" s="36">
        <v>20.0</v>
      </c>
      <c r="H89" s="36">
        <v>1.12</v>
      </c>
      <c r="I89" s="36">
        <v>22.4</v>
      </c>
      <c r="J89" s="36">
        <v>82.5</v>
      </c>
      <c r="K89" s="36">
        <v>94.0</v>
      </c>
      <c r="L89" s="36">
        <v>41.2</v>
      </c>
      <c r="M89" s="36">
        <v>102.0</v>
      </c>
      <c r="N89" s="36">
        <v>40.0</v>
      </c>
      <c r="O89" s="36">
        <v>20.0</v>
      </c>
      <c r="P89" s="36">
        <v>37.0</v>
      </c>
      <c r="Q89" s="36">
        <v>0.37</v>
      </c>
      <c r="R89" s="36">
        <v>1.11</v>
      </c>
      <c r="S89" s="36">
        <v>1.9</v>
      </c>
      <c r="T89" s="36">
        <v>3.01</v>
      </c>
      <c r="U89" s="21">
        <f t="shared" si="1"/>
        <v>3010</v>
      </c>
      <c r="V89" s="21">
        <f t="shared" si="2"/>
        <v>400</v>
      </c>
    </row>
    <row r="90" ht="14.25" customHeight="1">
      <c r="A90" s="38">
        <v>0.2673611111111111</v>
      </c>
      <c r="B90" s="36">
        <v>87.0</v>
      </c>
      <c r="C90" s="36">
        <v>8.3</v>
      </c>
      <c r="D90" s="36">
        <v>835.0</v>
      </c>
      <c r="E90" s="36">
        <v>719.0</v>
      </c>
      <c r="F90" s="36">
        <v>0.86</v>
      </c>
      <c r="G90" s="36">
        <v>20.0</v>
      </c>
      <c r="H90" s="36">
        <v>1.13</v>
      </c>
      <c r="I90" s="36">
        <v>22.4</v>
      </c>
      <c r="J90" s="36">
        <v>82.4</v>
      </c>
      <c r="K90" s="36">
        <v>93.0</v>
      </c>
      <c r="L90" s="36">
        <v>41.3</v>
      </c>
      <c r="M90" s="36">
        <v>101.0</v>
      </c>
      <c r="N90" s="36">
        <v>41.0</v>
      </c>
      <c r="O90" s="36">
        <v>20.0</v>
      </c>
      <c r="P90" s="36">
        <v>38.0</v>
      </c>
      <c r="Q90" s="36">
        <v>0.37</v>
      </c>
      <c r="R90" s="36">
        <v>1.11</v>
      </c>
      <c r="S90" s="36">
        <v>1.93</v>
      </c>
      <c r="T90" s="36">
        <v>3.03</v>
      </c>
      <c r="U90" s="21">
        <f t="shared" si="1"/>
        <v>3030</v>
      </c>
      <c r="V90" s="21">
        <f t="shared" si="2"/>
        <v>100</v>
      </c>
    </row>
    <row r="91" ht="14.25" customHeight="1">
      <c r="A91" s="38">
        <v>0.26875</v>
      </c>
      <c r="B91" s="36">
        <v>88.0</v>
      </c>
      <c r="C91" s="36">
        <v>8.1</v>
      </c>
      <c r="D91" s="36">
        <v>808.0</v>
      </c>
      <c r="E91" s="36">
        <v>697.0</v>
      </c>
      <c r="F91" s="36">
        <v>0.86</v>
      </c>
      <c r="G91" s="36">
        <v>20.0</v>
      </c>
      <c r="H91" s="36">
        <v>1.1</v>
      </c>
      <c r="I91" s="36">
        <v>21.8</v>
      </c>
      <c r="J91" s="36">
        <v>82.9</v>
      </c>
      <c r="K91" s="36">
        <v>93.0</v>
      </c>
      <c r="L91" s="36">
        <v>41.3</v>
      </c>
      <c r="M91" s="36">
        <v>102.0</v>
      </c>
      <c r="N91" s="36">
        <v>40.0</v>
      </c>
      <c r="O91" s="36">
        <v>20.0</v>
      </c>
      <c r="P91" s="36">
        <v>36.0</v>
      </c>
      <c r="Q91" s="36">
        <v>0.37</v>
      </c>
      <c r="R91" s="36">
        <v>1.13</v>
      </c>
      <c r="S91" s="36">
        <v>1.91</v>
      </c>
      <c r="T91" s="36">
        <v>3.04</v>
      </c>
      <c r="U91" s="21">
        <f t="shared" si="1"/>
        <v>3040</v>
      </c>
      <c r="V91" s="21">
        <f t="shared" si="2"/>
        <v>0</v>
      </c>
    </row>
    <row r="92" ht="14.25" customHeight="1">
      <c r="A92" s="38">
        <v>0.27152777777777776</v>
      </c>
      <c r="B92" s="36">
        <v>89.0</v>
      </c>
      <c r="C92" s="36">
        <v>8.0</v>
      </c>
      <c r="D92" s="36">
        <v>798.0</v>
      </c>
      <c r="E92" s="36">
        <v>685.0</v>
      </c>
      <c r="F92" s="36">
        <v>0.86</v>
      </c>
      <c r="G92" s="36">
        <v>20.0</v>
      </c>
      <c r="H92" s="36">
        <v>1.08</v>
      </c>
      <c r="I92" s="36">
        <v>21.4</v>
      </c>
      <c r="J92" s="36">
        <v>83.3</v>
      </c>
      <c r="K92" s="36">
        <v>93.0</v>
      </c>
      <c r="L92" s="36">
        <v>41.5</v>
      </c>
      <c r="M92" s="36">
        <v>101.0</v>
      </c>
      <c r="N92" s="36">
        <v>41.0</v>
      </c>
      <c r="O92" s="36">
        <v>20.0</v>
      </c>
      <c r="P92" s="36">
        <v>36.0</v>
      </c>
      <c r="Q92" s="36">
        <v>0.37</v>
      </c>
      <c r="R92" s="36">
        <v>1.12</v>
      </c>
      <c r="S92" s="36">
        <v>1.91</v>
      </c>
      <c r="T92" s="36">
        <v>3.04</v>
      </c>
      <c r="U92" s="21">
        <f t="shared" si="1"/>
        <v>3040</v>
      </c>
      <c r="V92" s="21">
        <f t="shared" si="2"/>
        <v>14400</v>
      </c>
    </row>
    <row r="93" ht="14.25" customHeight="1">
      <c r="A93" s="38">
        <v>0.27291666666666664</v>
      </c>
      <c r="B93" s="36">
        <v>90.0</v>
      </c>
      <c r="C93" s="36">
        <v>8.1</v>
      </c>
      <c r="D93" s="36">
        <v>810.0</v>
      </c>
      <c r="E93" s="36">
        <v>689.0</v>
      </c>
      <c r="F93" s="36">
        <v>0.85</v>
      </c>
      <c r="G93" s="36">
        <v>21.0</v>
      </c>
      <c r="H93" s="36">
        <v>1.05</v>
      </c>
      <c r="I93" s="36">
        <v>21.5</v>
      </c>
      <c r="J93" s="36">
        <v>83.1</v>
      </c>
      <c r="K93" s="36">
        <v>93.0</v>
      </c>
      <c r="L93" s="36">
        <v>41.6</v>
      </c>
      <c r="M93" s="36">
        <v>101.0</v>
      </c>
      <c r="N93" s="36">
        <v>41.0</v>
      </c>
      <c r="O93" s="36">
        <v>21.0</v>
      </c>
      <c r="P93" s="36">
        <v>36.0</v>
      </c>
      <c r="Q93" s="36">
        <v>0.37</v>
      </c>
      <c r="R93" s="36">
        <v>1.09</v>
      </c>
      <c r="S93" s="36">
        <v>1.83</v>
      </c>
      <c r="T93" s="36">
        <v>2.92</v>
      </c>
      <c r="U93" s="21">
        <f t="shared" si="1"/>
        <v>2920</v>
      </c>
      <c r="V93" s="21">
        <f t="shared" si="2"/>
        <v>1600</v>
      </c>
    </row>
    <row r="94" ht="14.25" customHeight="1">
      <c r="A94" s="38">
        <v>0.275</v>
      </c>
      <c r="B94" s="36">
        <v>91.0</v>
      </c>
      <c r="C94" s="36">
        <v>7.9</v>
      </c>
      <c r="D94" s="36">
        <v>794.0</v>
      </c>
      <c r="E94" s="36">
        <v>677.0</v>
      </c>
      <c r="F94" s="36">
        <v>0.85</v>
      </c>
      <c r="G94" s="36">
        <v>21.0</v>
      </c>
      <c r="H94" s="36">
        <v>1.02</v>
      </c>
      <c r="I94" s="36">
        <v>21.2</v>
      </c>
      <c r="J94" s="36">
        <v>83.4</v>
      </c>
      <c r="K94" s="36">
        <v>93.0</v>
      </c>
      <c r="L94" s="36">
        <v>41.2</v>
      </c>
      <c r="M94" s="36">
        <v>101.0</v>
      </c>
      <c r="N94" s="36">
        <v>41.0</v>
      </c>
      <c r="O94" s="36">
        <v>21.0</v>
      </c>
      <c r="P94" s="36">
        <v>36.0</v>
      </c>
      <c r="Q94" s="36">
        <v>0.38</v>
      </c>
      <c r="R94" s="36">
        <v>1.08</v>
      </c>
      <c r="S94" s="36">
        <v>1.8</v>
      </c>
      <c r="T94" s="36">
        <v>2.88</v>
      </c>
      <c r="U94" s="21">
        <f t="shared" si="1"/>
        <v>2880</v>
      </c>
      <c r="V94" s="21">
        <f t="shared" si="2"/>
        <v>0</v>
      </c>
    </row>
    <row r="95" ht="14.25" customHeight="1">
      <c r="A95" s="38">
        <v>0.27708333333333335</v>
      </c>
      <c r="B95" s="36">
        <v>92.0</v>
      </c>
      <c r="C95" s="36">
        <v>7.9</v>
      </c>
      <c r="D95" s="36">
        <v>794.0</v>
      </c>
      <c r="E95" s="36">
        <v>677.0</v>
      </c>
      <c r="F95" s="36">
        <v>0.85</v>
      </c>
      <c r="G95" s="36">
        <v>21.0</v>
      </c>
      <c r="H95" s="36">
        <v>1.02</v>
      </c>
      <c r="I95" s="36">
        <v>21.2</v>
      </c>
      <c r="J95" s="36">
        <v>83.4</v>
      </c>
      <c r="K95" s="36">
        <v>93.0</v>
      </c>
      <c r="L95" s="36">
        <v>41.3</v>
      </c>
      <c r="M95" s="36">
        <v>101.0</v>
      </c>
      <c r="N95" s="36">
        <v>41.0</v>
      </c>
      <c r="O95" s="36">
        <v>21.0</v>
      </c>
      <c r="P95" s="36">
        <v>36.0</v>
      </c>
      <c r="Q95" s="36">
        <v>0.38</v>
      </c>
      <c r="R95" s="36">
        <v>1.08</v>
      </c>
      <c r="S95" s="36">
        <v>1.8</v>
      </c>
      <c r="T95" s="36">
        <v>2.88</v>
      </c>
      <c r="U95" s="21">
        <f t="shared" si="1"/>
        <v>2880</v>
      </c>
      <c r="V95" s="21">
        <f t="shared" si="2"/>
        <v>900</v>
      </c>
    </row>
    <row r="96" ht="14.25" customHeight="1">
      <c r="A96" s="38">
        <v>0.27847222222222223</v>
      </c>
      <c r="B96" s="36">
        <v>92.0</v>
      </c>
      <c r="C96" s="36">
        <v>8.0</v>
      </c>
      <c r="D96" s="36">
        <v>798.0</v>
      </c>
      <c r="E96" s="36">
        <v>675.0</v>
      </c>
      <c r="F96" s="36">
        <v>0.85</v>
      </c>
      <c r="G96" s="36">
        <v>21.0</v>
      </c>
      <c r="H96" s="36">
        <v>1.0</v>
      </c>
      <c r="I96" s="36">
        <v>21.1</v>
      </c>
      <c r="J96" s="36">
        <v>83.5</v>
      </c>
      <c r="K96" s="36">
        <v>95.0</v>
      </c>
      <c r="L96" s="36">
        <v>40.0</v>
      </c>
      <c r="M96" s="36">
        <v>100.0</v>
      </c>
      <c r="N96" s="36">
        <v>41.0</v>
      </c>
      <c r="O96" s="36">
        <v>21.0</v>
      </c>
      <c r="P96" s="36">
        <v>36.0</v>
      </c>
      <c r="Q96" s="36">
        <v>0.38</v>
      </c>
      <c r="R96" s="36">
        <v>1.07</v>
      </c>
      <c r="S96" s="36">
        <v>1.78</v>
      </c>
      <c r="T96" s="36">
        <v>2.85</v>
      </c>
      <c r="U96" s="21">
        <f t="shared" si="1"/>
        <v>2850</v>
      </c>
      <c r="V96" s="21">
        <f t="shared" si="2"/>
        <v>12100</v>
      </c>
    </row>
    <row r="97" ht="14.25" customHeight="1">
      <c r="A97" s="38">
        <v>0.28125</v>
      </c>
      <c r="B97" s="36">
        <v>94.0</v>
      </c>
      <c r="C97" s="36">
        <v>8.2</v>
      </c>
      <c r="D97" s="36">
        <v>818.0</v>
      </c>
      <c r="E97" s="36">
        <v>690.0</v>
      </c>
      <c r="F97" s="36">
        <v>0.84</v>
      </c>
      <c r="G97" s="36">
        <v>20.0</v>
      </c>
      <c r="H97" s="36">
        <v>1.05</v>
      </c>
      <c r="I97" s="36">
        <v>21.2</v>
      </c>
      <c r="J97" s="36">
        <v>83.4</v>
      </c>
      <c r="K97" s="36">
        <v>95.0</v>
      </c>
      <c r="L97" s="36">
        <v>40.0</v>
      </c>
      <c r="M97" s="36">
        <v>100.0</v>
      </c>
      <c r="N97" s="36">
        <v>41.0</v>
      </c>
      <c r="O97" s="36">
        <v>20.0</v>
      </c>
      <c r="P97" s="36">
        <v>37.0</v>
      </c>
      <c r="Q97" s="36">
        <v>0.36</v>
      </c>
      <c r="R97" s="36">
        <v>1.06</v>
      </c>
      <c r="S97" s="36">
        <v>1.89</v>
      </c>
      <c r="T97" s="36">
        <v>2.96</v>
      </c>
      <c r="U97" s="21">
        <f t="shared" si="1"/>
        <v>2960</v>
      </c>
      <c r="V97" s="21">
        <f t="shared" si="2"/>
        <v>1600</v>
      </c>
    </row>
    <row r="98" ht="14.25" customHeight="1">
      <c r="A98" s="38">
        <v>0.2833333333333333</v>
      </c>
      <c r="B98" s="36">
        <v>95.0</v>
      </c>
      <c r="C98" s="36">
        <v>8.5</v>
      </c>
      <c r="D98" s="36">
        <v>846.0</v>
      </c>
      <c r="E98" s="36">
        <v>713.0</v>
      </c>
      <c r="F98" s="36">
        <v>0.84</v>
      </c>
      <c r="G98" s="36">
        <v>20.0</v>
      </c>
      <c r="H98" s="36">
        <v>1.09</v>
      </c>
      <c r="I98" s="36">
        <v>21.8</v>
      </c>
      <c r="J98" s="36">
        <v>82.9</v>
      </c>
      <c r="K98" s="36">
        <v>96.0</v>
      </c>
      <c r="L98" s="36">
        <v>39.8</v>
      </c>
      <c r="M98" s="36">
        <v>100.0</v>
      </c>
      <c r="N98" s="36">
        <v>41.0</v>
      </c>
      <c r="O98" s="36">
        <v>20.0</v>
      </c>
      <c r="P98" s="36">
        <v>38.0</v>
      </c>
      <c r="Q98" s="36">
        <v>0.36</v>
      </c>
      <c r="R98" s="36">
        <v>1.07</v>
      </c>
      <c r="S98" s="36">
        <v>1.93</v>
      </c>
      <c r="T98" s="36">
        <v>3.0</v>
      </c>
      <c r="U98" s="21">
        <f t="shared" si="1"/>
        <v>3000</v>
      </c>
      <c r="V98" s="21">
        <f t="shared" si="2"/>
        <v>2500</v>
      </c>
    </row>
    <row r="99" ht="14.25" customHeight="1">
      <c r="A99" s="38">
        <v>0.28541666666666665</v>
      </c>
      <c r="B99" s="36">
        <v>95.0</v>
      </c>
      <c r="C99" s="36">
        <v>8.7</v>
      </c>
      <c r="D99" s="36">
        <v>866.0</v>
      </c>
      <c r="E99" s="36">
        <v>730.0</v>
      </c>
      <c r="F99" s="36">
        <v>0.84</v>
      </c>
      <c r="G99" s="36">
        <v>20.0</v>
      </c>
      <c r="H99" s="36">
        <v>1.09</v>
      </c>
      <c r="I99" s="36">
        <v>22.2</v>
      </c>
      <c r="J99" s="36">
        <v>82.6</v>
      </c>
      <c r="K99" s="36">
        <v>96.0</v>
      </c>
      <c r="L99" s="36">
        <v>39.6</v>
      </c>
      <c r="M99" s="36">
        <v>100.0</v>
      </c>
      <c r="N99" s="36">
        <v>41.0</v>
      </c>
      <c r="O99" s="36">
        <v>20.0</v>
      </c>
      <c r="P99" s="36">
        <v>39.0</v>
      </c>
      <c r="Q99" s="36">
        <v>0.36</v>
      </c>
      <c r="R99" s="36">
        <v>1.05</v>
      </c>
      <c r="S99" s="36">
        <v>1.9</v>
      </c>
      <c r="T99" s="36">
        <v>2.95</v>
      </c>
      <c r="U99" s="21">
        <f t="shared" si="1"/>
        <v>2950</v>
      </c>
      <c r="V99" s="21">
        <f t="shared" si="2"/>
        <v>900</v>
      </c>
    </row>
    <row r="100" ht="14.25" customHeight="1">
      <c r="A100" s="38">
        <v>0.2875</v>
      </c>
      <c r="B100" s="36">
        <v>96.0</v>
      </c>
      <c r="C100" s="36">
        <v>8.8</v>
      </c>
      <c r="D100" s="36">
        <v>881.0</v>
      </c>
      <c r="E100" s="36">
        <v>745.0</v>
      </c>
      <c r="F100" s="36">
        <v>0.85</v>
      </c>
      <c r="G100" s="36">
        <v>20.0</v>
      </c>
      <c r="H100" s="36">
        <v>1.11</v>
      </c>
      <c r="I100" s="36">
        <v>22.3</v>
      </c>
      <c r="J100" s="36">
        <v>82.5</v>
      </c>
      <c r="K100" s="36">
        <v>96.0</v>
      </c>
      <c r="L100" s="36">
        <v>39.6</v>
      </c>
      <c r="M100" s="36">
        <v>100.0</v>
      </c>
      <c r="N100" s="36">
        <v>41.0</v>
      </c>
      <c r="O100" s="36">
        <v>20.0</v>
      </c>
      <c r="P100" s="36">
        <v>40.0</v>
      </c>
      <c r="Q100" s="36">
        <v>0.36</v>
      </c>
      <c r="R100" s="36">
        <v>1.06</v>
      </c>
      <c r="S100" s="36">
        <v>1.92</v>
      </c>
      <c r="T100" s="36">
        <v>2.98</v>
      </c>
      <c r="U100" s="21">
        <f t="shared" si="1"/>
        <v>2980</v>
      </c>
      <c r="V100" s="21">
        <f t="shared" si="2"/>
        <v>1600</v>
      </c>
    </row>
    <row r="101" ht="14.25" customHeight="1">
      <c r="A101" s="38">
        <v>0.28958333333333336</v>
      </c>
      <c r="B101" s="36">
        <v>97.0</v>
      </c>
      <c r="C101" s="36">
        <v>9.1</v>
      </c>
      <c r="D101" s="36">
        <v>913.0</v>
      </c>
      <c r="E101" s="36">
        <v>766.0</v>
      </c>
      <c r="F101" s="36">
        <v>0.84</v>
      </c>
      <c r="G101" s="36">
        <v>20.0</v>
      </c>
      <c r="H101" s="36">
        <v>1.15</v>
      </c>
      <c r="I101" s="36">
        <v>22.9</v>
      </c>
      <c r="J101" s="36">
        <v>82.0</v>
      </c>
      <c r="K101" s="36">
        <v>96.0</v>
      </c>
      <c r="L101" s="36">
        <v>39.4</v>
      </c>
      <c r="M101" s="36">
        <v>100.0</v>
      </c>
      <c r="N101" s="36">
        <v>41.0</v>
      </c>
      <c r="O101" s="36">
        <v>20.0</v>
      </c>
      <c r="P101" s="36">
        <v>41.0</v>
      </c>
      <c r="Q101" s="36">
        <v>0.36</v>
      </c>
      <c r="R101" s="36">
        <v>1.08</v>
      </c>
      <c r="S101" s="36">
        <v>1.94</v>
      </c>
      <c r="T101" s="36">
        <v>3.02</v>
      </c>
      <c r="U101" s="21">
        <f t="shared" si="1"/>
        <v>3020</v>
      </c>
      <c r="V101" s="21">
        <f t="shared" si="2"/>
        <v>2500</v>
      </c>
    </row>
    <row r="102" ht="14.25" customHeight="1">
      <c r="A102" s="38">
        <v>0.29097222222222224</v>
      </c>
      <c r="B102" s="36">
        <v>98.0</v>
      </c>
      <c r="C102" s="36">
        <v>9.2</v>
      </c>
      <c r="D102" s="36">
        <v>917.0</v>
      </c>
      <c r="E102" s="36">
        <v>776.0</v>
      </c>
      <c r="F102" s="36">
        <v>0.85</v>
      </c>
      <c r="G102" s="36">
        <v>20.0</v>
      </c>
      <c r="H102" s="36">
        <v>1.15</v>
      </c>
      <c r="I102" s="36">
        <v>23.3</v>
      </c>
      <c r="J102" s="36">
        <v>81.8</v>
      </c>
      <c r="K102" s="36">
        <v>96.0</v>
      </c>
      <c r="L102" s="36">
        <v>39.4</v>
      </c>
      <c r="M102" s="36">
        <v>100.0</v>
      </c>
      <c r="N102" s="36">
        <v>41.0</v>
      </c>
      <c r="O102" s="36">
        <v>20.0</v>
      </c>
      <c r="P102" s="36">
        <v>41.0</v>
      </c>
      <c r="Q102" s="36">
        <v>0.36</v>
      </c>
      <c r="R102" s="36">
        <v>1.07</v>
      </c>
      <c r="S102" s="36">
        <v>1.89</v>
      </c>
      <c r="T102" s="36">
        <v>2.97</v>
      </c>
      <c r="U102" s="21">
        <f t="shared" si="1"/>
        <v>2970</v>
      </c>
      <c r="V102" s="21">
        <f t="shared" si="2"/>
        <v>0</v>
      </c>
    </row>
    <row r="103" ht="14.25" customHeight="1">
      <c r="A103" s="38">
        <v>0.29305555555555557</v>
      </c>
      <c r="B103" s="36">
        <v>99.0</v>
      </c>
      <c r="C103" s="36">
        <v>9.4</v>
      </c>
      <c r="D103" s="36">
        <v>940.0</v>
      </c>
      <c r="E103" s="36">
        <v>797.0</v>
      </c>
      <c r="F103" s="36">
        <v>0.85</v>
      </c>
      <c r="G103" s="36">
        <v>20.0</v>
      </c>
      <c r="H103" s="36">
        <v>1.19</v>
      </c>
      <c r="I103" s="36">
        <v>24.0</v>
      </c>
      <c r="J103" s="36">
        <v>81.2</v>
      </c>
      <c r="K103" s="36">
        <v>97.0</v>
      </c>
      <c r="L103" s="36">
        <v>39.1</v>
      </c>
      <c r="M103" s="36">
        <v>100.0</v>
      </c>
      <c r="N103" s="36">
        <v>41.0</v>
      </c>
      <c r="O103" s="36">
        <v>20.0</v>
      </c>
      <c r="P103" s="36">
        <v>42.0</v>
      </c>
      <c r="Q103" s="36">
        <v>0.37</v>
      </c>
      <c r="R103" s="36">
        <v>1.1</v>
      </c>
      <c r="S103" s="36">
        <v>1.87</v>
      </c>
      <c r="T103" s="36">
        <v>2.97</v>
      </c>
      <c r="U103" s="21">
        <f t="shared" si="1"/>
        <v>2970</v>
      </c>
      <c r="V103" s="21">
        <f t="shared" si="2"/>
        <v>14400</v>
      </c>
    </row>
    <row r="104" ht="14.25" customHeight="1">
      <c r="A104" s="38">
        <v>0.2951388888888889</v>
      </c>
      <c r="B104" s="36">
        <v>100.0</v>
      </c>
      <c r="C104" s="36">
        <v>9.3</v>
      </c>
      <c r="D104" s="36">
        <v>931.0</v>
      </c>
      <c r="E104" s="36">
        <v>794.0</v>
      </c>
      <c r="F104" s="36">
        <v>0.85</v>
      </c>
      <c r="G104" s="36">
        <v>21.0</v>
      </c>
      <c r="H104" s="36">
        <v>1.15</v>
      </c>
      <c r="I104" s="36">
        <v>24.3</v>
      </c>
      <c r="J104" s="36">
        <v>81.0</v>
      </c>
      <c r="K104" s="36">
        <v>97.0</v>
      </c>
      <c r="L104" s="36">
        <v>39.1</v>
      </c>
      <c r="M104" s="36">
        <v>100.0</v>
      </c>
      <c r="N104" s="36">
        <v>41.0</v>
      </c>
      <c r="O104" s="36">
        <v>21.0</v>
      </c>
      <c r="P104" s="36">
        <v>42.0</v>
      </c>
      <c r="Q104" s="36">
        <v>0.39</v>
      </c>
      <c r="R104" s="36">
        <v>1.11</v>
      </c>
      <c r="S104" s="36">
        <v>1.74</v>
      </c>
      <c r="T104" s="36">
        <v>2.85</v>
      </c>
      <c r="U104" s="21">
        <f t="shared" si="1"/>
        <v>2850</v>
      </c>
      <c r="V104" s="21">
        <f t="shared" si="2"/>
        <v>400</v>
      </c>
    </row>
    <row r="105" ht="14.25" customHeight="1">
      <c r="A105" s="38">
        <v>0.2972222222222222</v>
      </c>
      <c r="B105" s="36">
        <v>101.0</v>
      </c>
      <c r="C105" s="36">
        <v>9.3</v>
      </c>
      <c r="D105" s="36">
        <v>926.0</v>
      </c>
      <c r="E105" s="36">
        <v>792.0</v>
      </c>
      <c r="F105" s="36">
        <v>0.86</v>
      </c>
      <c r="G105" s="36">
        <v>21.0</v>
      </c>
      <c r="H105" s="36">
        <v>1.14</v>
      </c>
      <c r="I105" s="36">
        <v>24.2</v>
      </c>
      <c r="J105" s="36">
        <v>81.0</v>
      </c>
      <c r="K105" s="36">
        <v>97.0</v>
      </c>
      <c r="L105" s="36">
        <v>39.2</v>
      </c>
      <c r="M105" s="36">
        <v>100.0</v>
      </c>
      <c r="N105" s="36">
        <v>41.0</v>
      </c>
      <c r="O105" s="36">
        <v>21.0</v>
      </c>
      <c r="P105" s="36">
        <v>42.0</v>
      </c>
      <c r="Q105" s="36">
        <v>0.39</v>
      </c>
      <c r="R105" s="36">
        <v>1.12</v>
      </c>
      <c r="S105" s="36">
        <v>1.72</v>
      </c>
      <c r="T105" s="36">
        <v>2.83</v>
      </c>
      <c r="U105" s="21">
        <f t="shared" si="1"/>
        <v>2830</v>
      </c>
      <c r="V105" s="21">
        <f t="shared" si="2"/>
        <v>100</v>
      </c>
    </row>
    <row r="106" ht="14.25" customHeight="1">
      <c r="A106" s="38">
        <v>0.2986111111111111</v>
      </c>
      <c r="B106" s="36">
        <v>102.0</v>
      </c>
      <c r="C106" s="36">
        <v>9.3</v>
      </c>
      <c r="D106" s="36">
        <v>927.0</v>
      </c>
      <c r="E106" s="36">
        <v>790.0</v>
      </c>
      <c r="F106" s="36">
        <v>0.85</v>
      </c>
      <c r="G106" s="36">
        <v>21.0</v>
      </c>
      <c r="H106" s="36">
        <v>1.13</v>
      </c>
      <c r="I106" s="36">
        <v>24.1</v>
      </c>
      <c r="J106" s="36">
        <v>81.1</v>
      </c>
      <c r="K106" s="36">
        <v>97.0</v>
      </c>
      <c r="L106" s="36">
        <v>39.2</v>
      </c>
      <c r="M106" s="36">
        <v>100.0</v>
      </c>
      <c r="N106" s="36">
        <v>41.0</v>
      </c>
      <c r="O106" s="36">
        <v>21.0</v>
      </c>
      <c r="P106" s="36">
        <v>42.0</v>
      </c>
      <c r="Q106" s="36">
        <v>0.39</v>
      </c>
      <c r="R106" s="36">
        <v>1.11</v>
      </c>
      <c r="S106" s="36">
        <v>1.71</v>
      </c>
      <c r="T106" s="36">
        <v>2.82</v>
      </c>
      <c r="U106" s="21">
        <f t="shared" si="1"/>
        <v>2820</v>
      </c>
      <c r="V106" s="21">
        <f t="shared" si="2"/>
        <v>2500</v>
      </c>
    </row>
    <row r="107" ht="14.25" customHeight="1">
      <c r="A107" s="38">
        <v>0.30069444444444443</v>
      </c>
      <c r="B107" s="36">
        <v>103.0</v>
      </c>
      <c r="C107" s="36">
        <v>9.4</v>
      </c>
      <c r="D107" s="36">
        <v>942.0</v>
      </c>
      <c r="E107" s="36">
        <v>798.0</v>
      </c>
      <c r="F107" s="36">
        <v>0.85</v>
      </c>
      <c r="G107" s="36">
        <v>22.0</v>
      </c>
      <c r="H107" s="36">
        <v>1.13</v>
      </c>
      <c r="I107" s="36">
        <v>24.3</v>
      </c>
      <c r="J107" s="36">
        <v>80.9</v>
      </c>
      <c r="K107" s="36">
        <v>97.0</v>
      </c>
      <c r="L107" s="36">
        <v>39.2</v>
      </c>
      <c r="M107" s="36">
        <v>100.0</v>
      </c>
      <c r="N107" s="36">
        <v>41.0</v>
      </c>
      <c r="O107" s="36">
        <v>22.0</v>
      </c>
      <c r="P107" s="36">
        <v>42.0</v>
      </c>
      <c r="Q107" s="36">
        <v>0.4</v>
      </c>
      <c r="R107" s="36">
        <v>1.11</v>
      </c>
      <c r="S107" s="36">
        <v>1.67</v>
      </c>
      <c r="T107" s="36">
        <v>2.77</v>
      </c>
      <c r="U107" s="21">
        <f t="shared" si="1"/>
        <v>2770</v>
      </c>
      <c r="V107" s="21">
        <f t="shared" si="2"/>
        <v>0</v>
      </c>
    </row>
    <row r="108" ht="14.25" customHeight="1">
      <c r="A108" s="38">
        <v>0.30277777777777776</v>
      </c>
      <c r="B108" s="36">
        <v>104.0</v>
      </c>
      <c r="C108" s="36">
        <v>9.4</v>
      </c>
      <c r="D108" s="36">
        <v>942.0</v>
      </c>
      <c r="E108" s="36">
        <v>794.0</v>
      </c>
      <c r="F108" s="36">
        <v>0.84</v>
      </c>
      <c r="G108" s="36">
        <v>22.0</v>
      </c>
      <c r="H108" s="36">
        <v>1.12</v>
      </c>
      <c r="I108" s="36">
        <v>24.2</v>
      </c>
      <c r="J108" s="36">
        <v>81.0</v>
      </c>
      <c r="K108" s="36">
        <v>97.0</v>
      </c>
      <c r="L108" s="36">
        <v>39.2</v>
      </c>
      <c r="M108" s="36">
        <v>100.0</v>
      </c>
      <c r="N108" s="36">
        <v>41.0</v>
      </c>
      <c r="O108" s="36">
        <v>22.0</v>
      </c>
      <c r="P108" s="36">
        <v>42.0</v>
      </c>
      <c r="Q108" s="36">
        <v>0.39</v>
      </c>
      <c r="R108" s="36">
        <v>1.07</v>
      </c>
      <c r="S108" s="36">
        <v>1.69</v>
      </c>
      <c r="T108" s="36">
        <v>2.77</v>
      </c>
      <c r="U108" s="21">
        <f t="shared" si="1"/>
        <v>2770</v>
      </c>
      <c r="V108" s="21">
        <f t="shared" si="2"/>
        <v>100</v>
      </c>
    </row>
    <row r="109" ht="14.25" customHeight="1">
      <c r="A109" s="38">
        <v>0.30486111111111114</v>
      </c>
      <c r="B109" s="36">
        <v>105.0</v>
      </c>
      <c r="C109" s="36">
        <v>9.5</v>
      </c>
      <c r="D109" s="36">
        <v>948.0</v>
      </c>
      <c r="E109" s="36">
        <v>786.0</v>
      </c>
      <c r="F109" s="36">
        <v>0.83</v>
      </c>
      <c r="G109" s="36">
        <v>22.0</v>
      </c>
      <c r="H109" s="36">
        <v>1.1</v>
      </c>
      <c r="I109" s="36">
        <v>23.8</v>
      </c>
      <c r="J109" s="36">
        <v>81.4</v>
      </c>
      <c r="K109" s="36">
        <v>96.0</v>
      </c>
      <c r="L109" s="36">
        <v>39.6</v>
      </c>
      <c r="M109" s="36">
        <v>99.0</v>
      </c>
      <c r="N109" s="36">
        <v>42.0</v>
      </c>
      <c r="O109" s="36">
        <v>22.0</v>
      </c>
      <c r="P109" s="36">
        <v>43.0</v>
      </c>
      <c r="Q109" s="36">
        <v>0.38</v>
      </c>
      <c r="R109" s="36">
        <v>1.06</v>
      </c>
      <c r="S109" s="36">
        <v>1.71</v>
      </c>
      <c r="T109" s="36">
        <v>2.78</v>
      </c>
      <c r="U109" s="21">
        <f t="shared" si="1"/>
        <v>2780</v>
      </c>
      <c r="V109" s="21">
        <f t="shared" si="2"/>
        <v>900</v>
      </c>
    </row>
    <row r="110" ht="14.25" customHeight="1">
      <c r="A110" s="38">
        <v>0.30625</v>
      </c>
      <c r="B110" s="36">
        <v>106.0</v>
      </c>
      <c r="C110" s="36">
        <v>9.5</v>
      </c>
      <c r="D110" s="36">
        <v>947.0</v>
      </c>
      <c r="E110" s="36">
        <v>785.0</v>
      </c>
      <c r="F110" s="36">
        <v>0.83</v>
      </c>
      <c r="G110" s="36">
        <v>22.0</v>
      </c>
      <c r="H110" s="36">
        <v>1.09</v>
      </c>
      <c r="I110" s="36">
        <v>23.8</v>
      </c>
      <c r="J110" s="36">
        <v>81.4</v>
      </c>
      <c r="K110" s="36">
        <v>96.0</v>
      </c>
      <c r="L110" s="36">
        <v>39.6</v>
      </c>
      <c r="M110" s="36">
        <v>99.0</v>
      </c>
      <c r="N110" s="36">
        <v>42.0</v>
      </c>
      <c r="O110" s="36">
        <v>22.0</v>
      </c>
      <c r="P110" s="36">
        <v>43.0</v>
      </c>
      <c r="Q110" s="36">
        <v>0.4</v>
      </c>
      <c r="R110" s="36">
        <v>1.11</v>
      </c>
      <c r="S110" s="36">
        <v>1.64</v>
      </c>
      <c r="T110" s="36">
        <v>2.75</v>
      </c>
      <c r="U110" s="21">
        <f t="shared" si="1"/>
        <v>2750</v>
      </c>
      <c r="V110" s="21">
        <f t="shared" si="2"/>
        <v>0</v>
      </c>
    </row>
    <row r="111" ht="14.25" customHeight="1">
      <c r="A111" s="38">
        <v>0.30833333333333335</v>
      </c>
      <c r="B111" s="36">
        <v>107.0</v>
      </c>
      <c r="C111" s="36">
        <v>9.8</v>
      </c>
      <c r="D111" s="36">
        <v>977.0</v>
      </c>
      <c r="E111" s="36">
        <v>805.0</v>
      </c>
      <c r="F111" s="36">
        <v>0.82</v>
      </c>
      <c r="G111" s="36">
        <v>22.0</v>
      </c>
      <c r="H111" s="36">
        <v>1.11</v>
      </c>
      <c r="I111" s="36">
        <v>24.2</v>
      </c>
      <c r="J111" s="36">
        <v>81.1</v>
      </c>
      <c r="K111" s="36">
        <v>96.0</v>
      </c>
      <c r="L111" s="36">
        <v>39.4</v>
      </c>
      <c r="M111" s="36">
        <v>99.0</v>
      </c>
      <c r="N111" s="36">
        <v>42.0</v>
      </c>
      <c r="O111" s="36">
        <v>22.0</v>
      </c>
      <c r="P111" s="36">
        <v>44.0</v>
      </c>
      <c r="Q111" s="36">
        <v>0.39</v>
      </c>
      <c r="R111" s="36">
        <v>1.08</v>
      </c>
      <c r="S111" s="36">
        <v>1.68</v>
      </c>
      <c r="T111" s="36">
        <v>2.75</v>
      </c>
      <c r="U111" s="21">
        <f t="shared" si="1"/>
        <v>2750</v>
      </c>
      <c r="V111" s="21">
        <f t="shared" si="2"/>
        <v>400</v>
      </c>
    </row>
    <row r="112" ht="14.25" customHeight="1">
      <c r="A112" s="38">
        <v>0.3104166666666667</v>
      </c>
      <c r="B112" s="36">
        <v>107.0</v>
      </c>
      <c r="C112" s="36">
        <v>10.1</v>
      </c>
      <c r="D112" s="36">
        <v>1010.0</v>
      </c>
      <c r="E112" s="36">
        <v>836.0</v>
      </c>
      <c r="F112" s="36">
        <v>0.83</v>
      </c>
      <c r="G112" s="36">
        <v>22.0</v>
      </c>
      <c r="H112" s="36">
        <v>1.16</v>
      </c>
      <c r="I112" s="36">
        <v>25.1</v>
      </c>
      <c r="J112" s="36">
        <v>80.4</v>
      </c>
      <c r="K112" s="36">
        <v>97.0</v>
      </c>
      <c r="L112" s="36">
        <v>39.0</v>
      </c>
      <c r="M112" s="36">
        <v>99.0</v>
      </c>
      <c r="N112" s="36">
        <v>42.0</v>
      </c>
      <c r="O112" s="36">
        <v>22.0</v>
      </c>
      <c r="P112" s="36">
        <v>45.0</v>
      </c>
      <c r="Q112" s="36">
        <v>0.39</v>
      </c>
      <c r="R112" s="36">
        <v>1.08</v>
      </c>
      <c r="S112" s="36">
        <v>1.69</v>
      </c>
      <c r="T112" s="36">
        <v>2.77</v>
      </c>
      <c r="U112" s="21">
        <f t="shared" si="1"/>
        <v>2770</v>
      </c>
      <c r="V112" s="21">
        <f t="shared" si="2"/>
        <v>0</v>
      </c>
    </row>
    <row r="113" ht="14.25" customHeight="1">
      <c r="A113" s="38">
        <v>0.3125</v>
      </c>
      <c r="B113" s="36">
        <v>108.0</v>
      </c>
      <c r="C113" s="36">
        <v>10.1</v>
      </c>
      <c r="D113" s="36">
        <v>1010.0</v>
      </c>
      <c r="E113" s="36">
        <v>836.0</v>
      </c>
      <c r="F113" s="36">
        <v>0.83</v>
      </c>
      <c r="G113" s="36">
        <v>22.0</v>
      </c>
      <c r="H113" s="36">
        <v>1.16</v>
      </c>
      <c r="I113" s="36">
        <v>25.1</v>
      </c>
      <c r="J113" s="36">
        <v>80.4</v>
      </c>
      <c r="K113" s="36">
        <v>98.0</v>
      </c>
      <c r="L113" s="36">
        <v>38.7</v>
      </c>
      <c r="M113" s="36">
        <v>99.0</v>
      </c>
      <c r="N113" s="36">
        <v>42.0</v>
      </c>
      <c r="O113" s="36">
        <v>22.0</v>
      </c>
      <c r="P113" s="36">
        <v>45.0</v>
      </c>
      <c r="Q113" s="36">
        <v>0.39</v>
      </c>
      <c r="R113" s="36">
        <v>1.08</v>
      </c>
      <c r="S113" s="36">
        <v>1.69</v>
      </c>
      <c r="T113" s="36">
        <v>2.77</v>
      </c>
      <c r="U113" s="21">
        <f t="shared" si="1"/>
        <v>2770</v>
      </c>
      <c r="V113" s="21">
        <f t="shared" si="2"/>
        <v>2500</v>
      </c>
    </row>
    <row r="114" ht="14.25" customHeight="1">
      <c r="A114" s="38">
        <v>0.3145833333333333</v>
      </c>
      <c r="B114" s="36">
        <v>109.0</v>
      </c>
      <c r="C114" s="36">
        <v>10.4</v>
      </c>
      <c r="D114" s="36">
        <v>1038.0</v>
      </c>
      <c r="E114" s="36">
        <v>864.0</v>
      </c>
      <c r="F114" s="36">
        <v>0.83</v>
      </c>
      <c r="G114" s="36">
        <v>21.0</v>
      </c>
      <c r="H114" s="36">
        <v>1.22</v>
      </c>
      <c r="I114" s="36">
        <v>25.9</v>
      </c>
      <c r="J114" s="36">
        <v>79.7</v>
      </c>
      <c r="K114" s="36">
        <v>98.0</v>
      </c>
      <c r="L114" s="36">
        <v>38.3</v>
      </c>
      <c r="M114" s="36">
        <v>99.0</v>
      </c>
      <c r="N114" s="36">
        <v>42.0</v>
      </c>
      <c r="O114" s="36">
        <v>21.0</v>
      </c>
      <c r="P114" s="36">
        <v>47.0</v>
      </c>
      <c r="Q114" s="36">
        <v>0.39</v>
      </c>
      <c r="R114" s="36">
        <v>1.1</v>
      </c>
      <c r="S114" s="36">
        <v>1.72</v>
      </c>
      <c r="T114" s="36">
        <v>2.82</v>
      </c>
      <c r="U114" s="21">
        <f t="shared" si="1"/>
        <v>2820</v>
      </c>
      <c r="V114" s="21">
        <f t="shared" si="2"/>
        <v>1600</v>
      </c>
    </row>
    <row r="115" ht="14.25" customHeight="1">
      <c r="A115" s="38">
        <v>0.3159722222222222</v>
      </c>
      <c r="B115" s="36">
        <v>110.0</v>
      </c>
      <c r="C115" s="36">
        <v>10.6</v>
      </c>
      <c r="D115" s="36">
        <v>1065.0</v>
      </c>
      <c r="E115" s="36">
        <v>889.0</v>
      </c>
      <c r="F115" s="36">
        <v>0.83</v>
      </c>
      <c r="G115" s="36">
        <v>22.0</v>
      </c>
      <c r="H115" s="36">
        <v>1.23</v>
      </c>
      <c r="I115" s="36">
        <v>26.5</v>
      </c>
      <c r="J115" s="36">
        <v>79.2</v>
      </c>
      <c r="K115" s="36">
        <v>99.0</v>
      </c>
      <c r="L115" s="36">
        <v>38.0</v>
      </c>
      <c r="M115" s="36">
        <v>99.0</v>
      </c>
      <c r="N115" s="36">
        <v>42.0</v>
      </c>
      <c r="O115" s="36">
        <v>22.0</v>
      </c>
      <c r="P115" s="36">
        <v>48.0</v>
      </c>
      <c r="Q115" s="36">
        <v>0.4</v>
      </c>
      <c r="R115" s="36">
        <v>1.11</v>
      </c>
      <c r="S115" s="36">
        <v>1.67</v>
      </c>
      <c r="T115" s="36">
        <v>2.78</v>
      </c>
      <c r="U115" s="21">
        <f t="shared" si="1"/>
        <v>2780</v>
      </c>
      <c r="V115" s="21">
        <f t="shared" si="2"/>
        <v>900</v>
      </c>
    </row>
    <row r="116" ht="14.25" customHeight="1">
      <c r="A116" s="38">
        <v>0.31805555555555554</v>
      </c>
      <c r="B116" s="36">
        <v>111.0</v>
      </c>
      <c r="C116" s="36">
        <v>11.0</v>
      </c>
      <c r="D116" s="36">
        <v>1098.0</v>
      </c>
      <c r="E116" s="36">
        <v>925.0</v>
      </c>
      <c r="F116" s="36">
        <v>0.84</v>
      </c>
      <c r="G116" s="36">
        <v>22.0</v>
      </c>
      <c r="H116" s="36">
        <v>1.26</v>
      </c>
      <c r="I116" s="36">
        <v>27.6</v>
      </c>
      <c r="J116" s="36">
        <v>78.4</v>
      </c>
      <c r="K116" s="36">
        <v>99.0</v>
      </c>
      <c r="L116" s="36">
        <v>37.6</v>
      </c>
      <c r="M116" s="36">
        <v>100.0</v>
      </c>
      <c r="N116" s="36">
        <v>42.0</v>
      </c>
      <c r="O116" s="36">
        <v>22.0</v>
      </c>
      <c r="P116" s="36">
        <v>49.0</v>
      </c>
      <c r="Q116" s="36">
        <v>0.4</v>
      </c>
      <c r="R116" s="36">
        <v>1.1</v>
      </c>
      <c r="S116" s="36">
        <v>1.65</v>
      </c>
      <c r="T116" s="36">
        <v>2.75</v>
      </c>
      <c r="U116" s="21">
        <f t="shared" si="1"/>
        <v>2750</v>
      </c>
      <c r="V116" s="21">
        <f t="shared" si="2"/>
        <v>2500</v>
      </c>
    </row>
    <row r="117" ht="14.25" customHeight="1">
      <c r="A117" s="38">
        <v>0.32013888888888886</v>
      </c>
      <c r="B117" s="36">
        <v>112.0</v>
      </c>
      <c r="C117" s="36">
        <v>11.0</v>
      </c>
      <c r="D117" s="36">
        <v>1097.0</v>
      </c>
      <c r="E117" s="36">
        <v>933.0</v>
      </c>
      <c r="F117" s="36">
        <v>0.85</v>
      </c>
      <c r="G117" s="36">
        <v>21.0</v>
      </c>
      <c r="H117" s="36">
        <v>1.29</v>
      </c>
      <c r="I117" s="36">
        <v>27.7</v>
      </c>
      <c r="J117" s="36">
        <v>78.3</v>
      </c>
      <c r="K117" s="36">
        <v>100.0</v>
      </c>
      <c r="L117" s="36">
        <v>37.3</v>
      </c>
      <c r="M117" s="36">
        <v>100.0</v>
      </c>
      <c r="N117" s="36">
        <v>42.0</v>
      </c>
      <c r="O117" s="36">
        <v>21.0</v>
      </c>
      <c r="P117" s="36">
        <v>49.0</v>
      </c>
      <c r="Q117" s="36">
        <v>0.38</v>
      </c>
      <c r="R117" s="36">
        <v>1.07</v>
      </c>
      <c r="S117" s="36">
        <v>1.73</v>
      </c>
      <c r="T117" s="36">
        <v>2.8</v>
      </c>
      <c r="U117" s="21">
        <f t="shared" si="1"/>
        <v>2800</v>
      </c>
      <c r="V117" s="21">
        <f t="shared" si="2"/>
        <v>100</v>
      </c>
    </row>
    <row r="118" ht="14.25" customHeight="1">
      <c r="A118" s="38">
        <v>0.32222222222222224</v>
      </c>
      <c r="B118" s="36">
        <v>113.0</v>
      </c>
      <c r="C118" s="36">
        <v>11.1</v>
      </c>
      <c r="D118" s="36">
        <v>1106.0</v>
      </c>
      <c r="E118" s="36">
        <v>946.0</v>
      </c>
      <c r="F118" s="36">
        <v>0.86</v>
      </c>
      <c r="G118" s="36">
        <v>22.0</v>
      </c>
      <c r="H118" s="36">
        <v>1.3</v>
      </c>
      <c r="I118" s="36">
        <v>27.9</v>
      </c>
      <c r="J118" s="36">
        <v>78.1</v>
      </c>
      <c r="K118" s="36">
        <v>100.0</v>
      </c>
      <c r="L118" s="36">
        <v>37.1</v>
      </c>
      <c r="M118" s="36">
        <v>100.0</v>
      </c>
      <c r="N118" s="36">
        <v>42.0</v>
      </c>
      <c r="O118" s="36">
        <v>22.0</v>
      </c>
      <c r="P118" s="36">
        <v>50.0</v>
      </c>
      <c r="Q118" s="36">
        <v>0.4</v>
      </c>
      <c r="R118" s="36">
        <v>1.11</v>
      </c>
      <c r="S118" s="36">
        <v>1.68</v>
      </c>
      <c r="T118" s="36">
        <v>2.79</v>
      </c>
      <c r="U118" s="21">
        <f t="shared" si="1"/>
        <v>2790</v>
      </c>
      <c r="V118" s="21">
        <f t="shared" si="2"/>
        <v>2500</v>
      </c>
    </row>
    <row r="119" ht="14.25" customHeight="1">
      <c r="A119" s="38">
        <v>0.32430555555555557</v>
      </c>
      <c r="B119" s="36">
        <v>114.0</v>
      </c>
      <c r="C119" s="36">
        <v>10.8</v>
      </c>
      <c r="D119" s="36">
        <v>1080.0</v>
      </c>
      <c r="E119" s="36">
        <v>932.0</v>
      </c>
      <c r="F119" s="36">
        <v>0.86</v>
      </c>
      <c r="G119" s="36">
        <v>21.0</v>
      </c>
      <c r="H119" s="36">
        <v>1.31</v>
      </c>
      <c r="I119" s="36">
        <v>27.6</v>
      </c>
      <c r="J119" s="36">
        <v>78.4</v>
      </c>
      <c r="K119" s="36">
        <v>100.0</v>
      </c>
      <c r="L119" s="36">
        <v>36.9</v>
      </c>
      <c r="M119" s="36">
        <v>100.0</v>
      </c>
      <c r="N119" s="36">
        <v>42.0</v>
      </c>
      <c r="O119" s="36">
        <v>21.0</v>
      </c>
      <c r="P119" s="36">
        <v>49.0</v>
      </c>
      <c r="Q119" s="36">
        <v>0.39</v>
      </c>
      <c r="R119" s="36">
        <v>1.11</v>
      </c>
      <c r="S119" s="36">
        <v>1.73</v>
      </c>
      <c r="T119" s="36">
        <v>2.84</v>
      </c>
      <c r="U119" s="21">
        <f t="shared" si="1"/>
        <v>2840</v>
      </c>
      <c r="V119" s="21">
        <f t="shared" si="2"/>
        <v>1600</v>
      </c>
    </row>
    <row r="120" ht="14.25" customHeight="1">
      <c r="A120" s="38">
        <v>0.3263888888888889</v>
      </c>
      <c r="B120" s="36">
        <v>115.0</v>
      </c>
      <c r="C120" s="36">
        <v>11.0</v>
      </c>
      <c r="D120" s="36">
        <v>1096.0</v>
      </c>
      <c r="E120" s="36">
        <v>945.0</v>
      </c>
      <c r="F120" s="36">
        <v>0.86</v>
      </c>
      <c r="G120" s="36">
        <v>21.0</v>
      </c>
      <c r="H120" s="36">
        <v>1.33</v>
      </c>
      <c r="I120" s="36">
        <v>27.8</v>
      </c>
      <c r="J120" s="36">
        <v>78.2</v>
      </c>
      <c r="K120" s="36">
        <v>100.0</v>
      </c>
      <c r="L120" s="36">
        <v>37.2</v>
      </c>
      <c r="M120" s="36">
        <v>100.0</v>
      </c>
      <c r="N120" s="36">
        <v>42.0</v>
      </c>
      <c r="O120" s="36">
        <v>21.0</v>
      </c>
      <c r="P120" s="36">
        <v>49.0</v>
      </c>
      <c r="Q120" s="36">
        <v>0.39</v>
      </c>
      <c r="R120" s="36">
        <v>1.12</v>
      </c>
      <c r="S120" s="36">
        <v>1.75</v>
      </c>
      <c r="T120" s="36">
        <v>2.88</v>
      </c>
      <c r="U120" s="21">
        <f t="shared" si="1"/>
        <v>2880</v>
      </c>
      <c r="V120" s="21">
        <f t="shared" si="2"/>
        <v>900</v>
      </c>
    </row>
    <row r="121" ht="14.25" customHeight="1">
      <c r="A121" s="38">
        <v>0.3284722222222222</v>
      </c>
      <c r="B121" s="36">
        <v>116.0</v>
      </c>
      <c r="C121" s="36">
        <v>11.0</v>
      </c>
      <c r="D121" s="36">
        <v>1099.0</v>
      </c>
      <c r="E121" s="36">
        <v>951.0</v>
      </c>
      <c r="F121" s="36">
        <v>0.87</v>
      </c>
      <c r="G121" s="36">
        <v>21.0</v>
      </c>
      <c r="H121" s="36">
        <v>1.34</v>
      </c>
      <c r="I121" s="36">
        <v>27.7</v>
      </c>
      <c r="J121" s="36">
        <v>78.3</v>
      </c>
      <c r="K121" s="36">
        <v>101.0</v>
      </c>
      <c r="L121" s="36">
        <v>36.6</v>
      </c>
      <c r="M121" s="36">
        <v>99.0</v>
      </c>
      <c r="N121" s="36">
        <v>43.0</v>
      </c>
      <c r="O121" s="36">
        <v>21.0</v>
      </c>
      <c r="P121" s="36">
        <v>49.0</v>
      </c>
      <c r="Q121" s="36">
        <v>0.38</v>
      </c>
      <c r="R121" s="36">
        <v>1.12</v>
      </c>
      <c r="S121" s="36">
        <v>1.79</v>
      </c>
      <c r="T121" s="36">
        <v>2.91</v>
      </c>
      <c r="U121" s="21">
        <f t="shared" si="1"/>
        <v>2910</v>
      </c>
      <c r="V121" s="21">
        <f t="shared" si="2"/>
        <v>6400</v>
      </c>
    </row>
    <row r="122" ht="14.25" customHeight="1">
      <c r="A122" s="38">
        <v>0.33055555555555555</v>
      </c>
      <c r="B122" s="36">
        <v>117.0</v>
      </c>
      <c r="C122" s="36">
        <v>10.8</v>
      </c>
      <c r="D122" s="36">
        <v>1075.0</v>
      </c>
      <c r="E122" s="36">
        <v>932.0</v>
      </c>
      <c r="F122" s="36">
        <v>0.87</v>
      </c>
      <c r="G122" s="36">
        <v>20.0</v>
      </c>
      <c r="H122" s="36">
        <v>1.35</v>
      </c>
      <c r="I122" s="36">
        <v>27.2</v>
      </c>
      <c r="J122" s="36">
        <v>78.7</v>
      </c>
      <c r="K122" s="36">
        <v>101.0</v>
      </c>
      <c r="L122" s="36">
        <v>36.5</v>
      </c>
      <c r="M122" s="36">
        <v>99.0</v>
      </c>
      <c r="N122" s="36">
        <v>43.0</v>
      </c>
      <c r="O122" s="36">
        <v>20.0</v>
      </c>
      <c r="P122" s="36">
        <v>48.0</v>
      </c>
      <c r="Q122" s="36">
        <v>0.38</v>
      </c>
      <c r="R122" s="36">
        <v>1.13</v>
      </c>
      <c r="S122" s="36">
        <v>1.86</v>
      </c>
      <c r="T122" s="36">
        <v>2.99</v>
      </c>
      <c r="U122" s="21">
        <f t="shared" si="1"/>
        <v>2990</v>
      </c>
      <c r="V122" s="21">
        <f t="shared" si="2"/>
        <v>0</v>
      </c>
    </row>
    <row r="123" ht="14.25" customHeight="1">
      <c r="A123" s="38">
        <v>0.33125</v>
      </c>
      <c r="B123" s="36">
        <v>118.0</v>
      </c>
      <c r="C123" s="36">
        <v>10.5</v>
      </c>
      <c r="D123" s="36">
        <v>1050.0</v>
      </c>
      <c r="E123" s="36">
        <v>905.0</v>
      </c>
      <c r="F123" s="36">
        <v>0.86</v>
      </c>
      <c r="G123" s="36">
        <v>20.0</v>
      </c>
      <c r="H123" s="36">
        <v>1.31</v>
      </c>
      <c r="I123" s="36">
        <v>26.2</v>
      </c>
      <c r="J123" s="36">
        <v>79.4</v>
      </c>
      <c r="K123" s="36">
        <v>101.0</v>
      </c>
      <c r="L123" s="36">
        <v>36.4</v>
      </c>
      <c r="M123" s="36">
        <v>98.0</v>
      </c>
      <c r="N123" s="36">
        <v>43.0</v>
      </c>
      <c r="O123" s="36">
        <v>20.0</v>
      </c>
      <c r="P123" s="36">
        <v>47.0</v>
      </c>
      <c r="Q123" s="36">
        <v>0.37</v>
      </c>
      <c r="R123" s="36">
        <v>1.12</v>
      </c>
      <c r="S123" s="36">
        <v>1.87</v>
      </c>
      <c r="T123" s="36">
        <v>2.99</v>
      </c>
      <c r="U123" s="21">
        <f t="shared" si="1"/>
        <v>2990</v>
      </c>
      <c r="V123" s="21">
        <f t="shared" si="2"/>
        <v>32400</v>
      </c>
    </row>
    <row r="124" ht="14.25" customHeight="1">
      <c r="A124" s="38">
        <v>0.3326388888888889</v>
      </c>
      <c r="B124" s="36">
        <v>118.0</v>
      </c>
      <c r="C124" s="36">
        <v>10.4</v>
      </c>
      <c r="D124" s="36">
        <v>1041.0</v>
      </c>
      <c r="E124" s="36">
        <v>886.0</v>
      </c>
      <c r="F124" s="36">
        <v>0.85</v>
      </c>
      <c r="G124" s="36">
        <v>21.0</v>
      </c>
      <c r="H124" s="36">
        <v>1.19</v>
      </c>
      <c r="I124" s="36">
        <v>25.4</v>
      </c>
      <c r="J124" s="36">
        <v>80.1</v>
      </c>
      <c r="K124" s="36">
        <v>101.0</v>
      </c>
      <c r="L124" s="36">
        <v>36.4</v>
      </c>
      <c r="M124" s="36">
        <v>97.0</v>
      </c>
      <c r="N124" s="36">
        <v>44.0</v>
      </c>
      <c r="O124" s="36">
        <v>21.0</v>
      </c>
      <c r="P124" s="36">
        <v>47.0</v>
      </c>
      <c r="Q124" s="36">
        <v>0.37</v>
      </c>
      <c r="R124" s="36">
        <v>1.05</v>
      </c>
      <c r="S124" s="36">
        <v>1.76</v>
      </c>
      <c r="T124" s="36">
        <v>2.81</v>
      </c>
      <c r="U124" s="21">
        <f t="shared" si="1"/>
        <v>2810</v>
      </c>
      <c r="V124" s="21">
        <f t="shared" si="2"/>
        <v>0</v>
      </c>
    </row>
    <row r="125" ht="14.25" customHeight="1">
      <c r="A125" s="38">
        <v>0.3347222222222222</v>
      </c>
      <c r="B125" s="36">
        <v>119.0</v>
      </c>
      <c r="C125" s="36">
        <v>10.4</v>
      </c>
      <c r="D125" s="36">
        <v>1041.0</v>
      </c>
      <c r="E125" s="36">
        <v>886.0</v>
      </c>
      <c r="F125" s="36">
        <v>0.85</v>
      </c>
      <c r="G125" s="36">
        <v>21.0</v>
      </c>
      <c r="H125" s="36">
        <v>1.19</v>
      </c>
      <c r="I125" s="36">
        <v>25.4</v>
      </c>
      <c r="J125" s="36">
        <v>80.1</v>
      </c>
      <c r="K125" s="36">
        <v>101.0</v>
      </c>
      <c r="L125" s="36">
        <v>36.3</v>
      </c>
      <c r="M125" s="36">
        <v>97.0</v>
      </c>
      <c r="N125" s="36">
        <v>44.0</v>
      </c>
      <c r="O125" s="36">
        <v>21.0</v>
      </c>
      <c r="P125" s="36">
        <v>47.0</v>
      </c>
      <c r="Q125" s="36">
        <v>0.37</v>
      </c>
      <c r="R125" s="36">
        <v>1.05</v>
      </c>
      <c r="S125" s="36">
        <v>1.76</v>
      </c>
      <c r="T125" s="36">
        <v>2.81</v>
      </c>
      <c r="U125" s="21">
        <f t="shared" si="1"/>
        <v>2810</v>
      </c>
      <c r="V125" s="21">
        <f t="shared" si="2"/>
        <v>400</v>
      </c>
    </row>
    <row r="126" ht="14.25" customHeight="1">
      <c r="A126" s="38">
        <v>0.3368055555555556</v>
      </c>
      <c r="B126" s="36">
        <v>120.0</v>
      </c>
      <c r="C126" s="36">
        <v>11.0</v>
      </c>
      <c r="D126" s="36">
        <v>1097.0</v>
      </c>
      <c r="E126" s="36">
        <v>925.0</v>
      </c>
      <c r="F126" s="36">
        <v>0.84</v>
      </c>
      <c r="G126" s="36">
        <v>22.0</v>
      </c>
      <c r="H126" s="36">
        <v>1.22</v>
      </c>
      <c r="I126" s="36">
        <v>26.2</v>
      </c>
      <c r="J126" s="36">
        <v>79.5</v>
      </c>
      <c r="K126" s="36">
        <v>102.0</v>
      </c>
      <c r="L126" s="36">
        <v>35.8</v>
      </c>
      <c r="M126" s="36">
        <v>97.0</v>
      </c>
      <c r="N126" s="36">
        <v>44.0</v>
      </c>
      <c r="O126" s="36">
        <v>22.0</v>
      </c>
      <c r="P126" s="36">
        <v>49.0</v>
      </c>
      <c r="Q126" s="36">
        <v>0.39</v>
      </c>
      <c r="R126" s="36">
        <v>1.08</v>
      </c>
      <c r="S126" s="36">
        <v>1.71</v>
      </c>
      <c r="T126" s="36">
        <v>2.79</v>
      </c>
      <c r="U126" s="21">
        <f t="shared" si="1"/>
        <v>2790</v>
      </c>
      <c r="V126" s="21">
        <f t="shared" si="2"/>
        <v>8100</v>
      </c>
    </row>
    <row r="127" ht="14.25" customHeight="1">
      <c r="A127" s="38">
        <v>0.3388888888888889</v>
      </c>
      <c r="B127" s="36">
        <v>121.0</v>
      </c>
      <c r="C127" s="36">
        <v>11.6</v>
      </c>
      <c r="D127" s="36">
        <v>1158.0</v>
      </c>
      <c r="E127" s="36">
        <v>960.0</v>
      </c>
      <c r="F127" s="36">
        <v>0.83</v>
      </c>
      <c r="G127" s="36">
        <v>22.0</v>
      </c>
      <c r="H127" s="36">
        <v>1.21</v>
      </c>
      <c r="I127" s="36">
        <v>27.0</v>
      </c>
      <c r="J127" s="36">
        <v>78.9</v>
      </c>
      <c r="K127" s="36">
        <v>102.0</v>
      </c>
      <c r="L127" s="36">
        <v>35.8</v>
      </c>
      <c r="M127" s="36">
        <v>96.0</v>
      </c>
      <c r="N127" s="36">
        <v>44.0</v>
      </c>
      <c r="O127" s="36">
        <v>22.0</v>
      </c>
      <c r="P127" s="36">
        <v>52.0</v>
      </c>
      <c r="Q127" s="36">
        <v>0.4</v>
      </c>
      <c r="R127" s="36">
        <v>1.09</v>
      </c>
      <c r="S127" s="36">
        <v>1.61</v>
      </c>
      <c r="T127" s="36">
        <v>2.7</v>
      </c>
      <c r="U127" s="21">
        <f t="shared" si="1"/>
        <v>2700</v>
      </c>
      <c r="V127" s="21">
        <f t="shared" si="2"/>
        <v>3600</v>
      </c>
    </row>
    <row r="128" ht="14.25" customHeight="1">
      <c r="A128" s="38">
        <v>0.3402777777777778</v>
      </c>
      <c r="B128" s="36">
        <v>122.0</v>
      </c>
      <c r="C128" s="36">
        <v>11.8</v>
      </c>
      <c r="D128" s="36">
        <v>1181.0</v>
      </c>
      <c r="E128" s="36">
        <v>978.0</v>
      </c>
      <c r="F128" s="36">
        <v>0.83</v>
      </c>
      <c r="G128" s="36">
        <v>23.0</v>
      </c>
      <c r="H128" s="36">
        <v>1.2</v>
      </c>
      <c r="I128" s="36">
        <v>27.4</v>
      </c>
      <c r="J128" s="36">
        <v>78.5</v>
      </c>
      <c r="K128" s="36">
        <v>103.0</v>
      </c>
      <c r="L128" s="36">
        <v>35.1</v>
      </c>
      <c r="M128" s="36">
        <v>96.0</v>
      </c>
      <c r="N128" s="36">
        <v>44.0</v>
      </c>
      <c r="O128" s="36">
        <v>23.0</v>
      </c>
      <c r="P128" s="36">
        <v>53.0</v>
      </c>
      <c r="Q128" s="36">
        <v>0.42</v>
      </c>
      <c r="R128" s="36">
        <v>1.12</v>
      </c>
      <c r="S128" s="36">
        <v>1.52</v>
      </c>
      <c r="T128" s="36">
        <v>2.64</v>
      </c>
      <c r="U128" s="21">
        <f t="shared" si="1"/>
        <v>2640</v>
      </c>
      <c r="V128" s="21">
        <f t="shared" si="2"/>
        <v>102400</v>
      </c>
    </row>
    <row r="129" ht="14.25" customHeight="1">
      <c r="A129" s="38">
        <v>0.34375</v>
      </c>
      <c r="B129" s="36">
        <v>123.0</v>
      </c>
      <c r="C129" s="36">
        <v>11.8</v>
      </c>
      <c r="D129" s="36">
        <v>1176.0</v>
      </c>
      <c r="E129" s="36">
        <v>987.0</v>
      </c>
      <c r="F129" s="36">
        <v>0.84</v>
      </c>
      <c r="G129" s="36">
        <v>20.0</v>
      </c>
      <c r="H129" s="36">
        <v>1.35</v>
      </c>
      <c r="I129" s="36">
        <v>27.3</v>
      </c>
      <c r="J129" s="36">
        <v>78.6</v>
      </c>
      <c r="K129" s="36">
        <v>104.0</v>
      </c>
      <c r="L129" s="36">
        <v>34.5</v>
      </c>
      <c r="M129" s="36">
        <v>95.0</v>
      </c>
      <c r="N129" s="36">
        <v>44.0</v>
      </c>
      <c r="O129" s="36">
        <v>20.0</v>
      </c>
      <c r="P129" s="36">
        <v>53.0</v>
      </c>
      <c r="Q129" s="36">
        <v>0.39</v>
      </c>
      <c r="R129" s="36">
        <v>1.16</v>
      </c>
      <c r="S129" s="36">
        <v>1.81</v>
      </c>
      <c r="T129" s="36">
        <v>2.96</v>
      </c>
      <c r="U129" s="21">
        <f t="shared" si="1"/>
        <v>2960</v>
      </c>
      <c r="V129" s="21">
        <f t="shared" si="2"/>
        <v>12100</v>
      </c>
    </row>
    <row r="130" ht="14.25" customHeight="1">
      <c r="A130" s="38">
        <v>0.3458333333333333</v>
      </c>
      <c r="B130" s="36">
        <v>124.0</v>
      </c>
      <c r="C130" s="36">
        <v>12.3</v>
      </c>
      <c r="D130" s="36">
        <v>1234.0</v>
      </c>
      <c r="E130" s="36">
        <v>1036.0</v>
      </c>
      <c r="F130" s="36">
        <v>0.84</v>
      </c>
      <c r="G130" s="36">
        <v>20.0</v>
      </c>
      <c r="H130" s="36">
        <v>1.46</v>
      </c>
      <c r="I130" s="36">
        <v>28.4</v>
      </c>
      <c r="J130" s="36">
        <v>77.7</v>
      </c>
      <c r="K130" s="36">
        <v>106.0</v>
      </c>
      <c r="L130" s="36">
        <v>33.6</v>
      </c>
      <c r="M130" s="36">
        <v>95.0</v>
      </c>
      <c r="N130" s="36">
        <v>45.0</v>
      </c>
      <c r="O130" s="36">
        <v>20.0</v>
      </c>
      <c r="P130" s="36">
        <v>56.0</v>
      </c>
      <c r="Q130" s="36">
        <v>0.4</v>
      </c>
      <c r="R130" s="36">
        <v>1.23</v>
      </c>
      <c r="S130" s="36">
        <v>1.84</v>
      </c>
      <c r="T130" s="36">
        <v>3.07</v>
      </c>
      <c r="U130" s="21">
        <f t="shared" si="1"/>
        <v>3070</v>
      </c>
      <c r="V130" s="21">
        <f t="shared" si="2"/>
        <v>72900</v>
      </c>
    </row>
    <row r="131" ht="14.25" customHeight="1">
      <c r="A131" s="38">
        <v>0.34791666666666665</v>
      </c>
      <c r="B131" s="36">
        <v>125.0</v>
      </c>
      <c r="C131" s="36">
        <v>13.2</v>
      </c>
      <c r="D131" s="36">
        <v>1316.0</v>
      </c>
      <c r="E131" s="36">
        <v>1097.0</v>
      </c>
      <c r="F131" s="36">
        <v>0.83</v>
      </c>
      <c r="G131" s="36">
        <v>21.0</v>
      </c>
      <c r="H131" s="36">
        <v>1.41</v>
      </c>
      <c r="I131" s="36">
        <v>30.1</v>
      </c>
      <c r="J131" s="36">
        <v>76.4</v>
      </c>
      <c r="K131" s="36">
        <v>106.0</v>
      </c>
      <c r="L131" s="36">
        <v>33.1</v>
      </c>
      <c r="M131" s="36">
        <v>96.0</v>
      </c>
      <c r="N131" s="36">
        <v>44.0</v>
      </c>
      <c r="O131" s="36">
        <v>21.0</v>
      </c>
      <c r="P131" s="36">
        <v>59.0</v>
      </c>
      <c r="Q131" s="36">
        <v>0.44</v>
      </c>
      <c r="R131" s="36">
        <v>1.22</v>
      </c>
      <c r="S131" s="36">
        <v>1.58</v>
      </c>
      <c r="T131" s="36">
        <v>2.8</v>
      </c>
      <c r="U131" s="21">
        <f t="shared" si="1"/>
        <v>2800</v>
      </c>
      <c r="V131" s="21">
        <f t="shared" si="2"/>
        <v>400</v>
      </c>
    </row>
    <row r="132" ht="14.25" customHeight="1">
      <c r="A132" s="38">
        <v>0.35</v>
      </c>
      <c r="B132" s="36">
        <v>126.0</v>
      </c>
      <c r="C132" s="36">
        <v>13.0</v>
      </c>
      <c r="D132" s="36">
        <v>1303.0</v>
      </c>
      <c r="E132" s="36">
        <v>1102.0</v>
      </c>
      <c r="F132" s="36">
        <v>0.85</v>
      </c>
      <c r="G132" s="36">
        <v>21.0</v>
      </c>
      <c r="H132" s="36">
        <v>1.43</v>
      </c>
      <c r="I132" s="36">
        <v>30.5</v>
      </c>
      <c r="J132" s="36">
        <v>76.1</v>
      </c>
      <c r="K132" s="36">
        <v>106.0</v>
      </c>
      <c r="L132" s="36">
        <v>33.1</v>
      </c>
      <c r="M132" s="36">
        <v>97.0</v>
      </c>
      <c r="N132" s="36">
        <v>44.0</v>
      </c>
      <c r="O132" s="36">
        <v>21.0</v>
      </c>
      <c r="P132" s="36">
        <v>59.0</v>
      </c>
      <c r="Q132" s="36">
        <v>0.42</v>
      </c>
      <c r="R132" s="36">
        <v>1.2</v>
      </c>
      <c r="S132" s="36">
        <v>1.62</v>
      </c>
      <c r="T132" s="36">
        <v>2.82</v>
      </c>
      <c r="U132" s="21">
        <f t="shared" si="1"/>
        <v>2820</v>
      </c>
      <c r="V132" s="21">
        <f t="shared" si="2"/>
        <v>100</v>
      </c>
    </row>
    <row r="133" ht="14.25" customHeight="1">
      <c r="A133" s="38">
        <v>0.35208333333333336</v>
      </c>
      <c r="B133" s="36">
        <v>127.0</v>
      </c>
      <c r="C133" s="36">
        <v>12.9</v>
      </c>
      <c r="D133" s="36">
        <v>1290.0</v>
      </c>
      <c r="E133" s="36">
        <v>1108.0</v>
      </c>
      <c r="F133" s="36">
        <v>0.86</v>
      </c>
      <c r="G133" s="36">
        <v>21.0</v>
      </c>
      <c r="H133" s="36">
        <v>1.45</v>
      </c>
      <c r="I133" s="36">
        <v>30.9</v>
      </c>
      <c r="J133" s="36">
        <v>75.8</v>
      </c>
      <c r="K133" s="36">
        <v>105.0</v>
      </c>
      <c r="L133" s="36">
        <v>33.7</v>
      </c>
      <c r="M133" s="36">
        <v>98.0</v>
      </c>
      <c r="N133" s="36">
        <v>44.0</v>
      </c>
      <c r="O133" s="36">
        <v>21.0</v>
      </c>
      <c r="P133" s="36">
        <v>58.0</v>
      </c>
      <c r="Q133" s="36">
        <v>0.44</v>
      </c>
      <c r="R133" s="36">
        <v>1.23</v>
      </c>
      <c r="S133" s="36">
        <v>1.58</v>
      </c>
      <c r="T133" s="36">
        <v>2.81</v>
      </c>
      <c r="U133" s="21">
        <f t="shared" si="1"/>
        <v>2810</v>
      </c>
      <c r="V133" s="21">
        <f t="shared" si="2"/>
        <v>12100</v>
      </c>
    </row>
    <row r="134" ht="14.25" customHeight="1">
      <c r="A134" s="38">
        <v>0.35347222222222224</v>
      </c>
      <c r="B134" s="36">
        <v>128.0</v>
      </c>
      <c r="C134" s="36">
        <v>13.0</v>
      </c>
      <c r="D134" s="36">
        <v>1305.0</v>
      </c>
      <c r="E134" s="36">
        <v>1131.0</v>
      </c>
      <c r="F134" s="36">
        <v>0.87</v>
      </c>
      <c r="G134" s="36">
        <v>21.0</v>
      </c>
      <c r="H134" s="36">
        <v>1.52</v>
      </c>
      <c r="I134" s="36">
        <v>31.3</v>
      </c>
      <c r="J134" s="36">
        <v>75.4</v>
      </c>
      <c r="K134" s="36">
        <v>105.0</v>
      </c>
      <c r="L134" s="36">
        <v>33.8</v>
      </c>
      <c r="M134" s="36">
        <v>98.0</v>
      </c>
      <c r="N134" s="36">
        <v>44.0</v>
      </c>
      <c r="O134" s="36">
        <v>21.0</v>
      </c>
      <c r="P134" s="36">
        <v>59.0</v>
      </c>
      <c r="Q134" s="36">
        <v>0.46</v>
      </c>
      <c r="R134" s="36">
        <v>1.33</v>
      </c>
      <c r="S134" s="36">
        <v>1.59</v>
      </c>
      <c r="T134" s="36">
        <v>2.92</v>
      </c>
      <c r="U134" s="21">
        <f t="shared" si="1"/>
        <v>2920</v>
      </c>
      <c r="V134" s="21">
        <f t="shared" si="2"/>
        <v>900</v>
      </c>
    </row>
    <row r="135" ht="14.25" customHeight="1">
      <c r="A135" s="38">
        <v>0.35555555555555557</v>
      </c>
      <c r="B135" s="36">
        <v>129.0</v>
      </c>
      <c r="C135" s="36">
        <v>13.1</v>
      </c>
      <c r="D135" s="36">
        <v>1309.0</v>
      </c>
      <c r="E135" s="36">
        <v>1151.0</v>
      </c>
      <c r="F135" s="36">
        <v>0.88</v>
      </c>
      <c r="G135" s="36">
        <v>21.0</v>
      </c>
      <c r="H135" s="36">
        <v>1.54</v>
      </c>
      <c r="I135" s="36">
        <v>32.0</v>
      </c>
      <c r="J135" s="36">
        <v>74.9</v>
      </c>
      <c r="K135" s="36">
        <v>105.0</v>
      </c>
      <c r="L135" s="36">
        <v>33.7</v>
      </c>
      <c r="M135" s="36">
        <v>98.0</v>
      </c>
      <c r="N135" s="36">
        <v>44.0</v>
      </c>
      <c r="O135" s="36">
        <v>21.0</v>
      </c>
      <c r="P135" s="36">
        <v>59.0</v>
      </c>
      <c r="Q135" s="36">
        <v>0.45</v>
      </c>
      <c r="R135" s="36">
        <v>1.3</v>
      </c>
      <c r="S135" s="36">
        <v>1.59</v>
      </c>
      <c r="T135" s="36">
        <v>2.89</v>
      </c>
      <c r="U135" s="21">
        <f t="shared" si="1"/>
        <v>2890</v>
      </c>
      <c r="V135" s="21">
        <f t="shared" si="2"/>
        <v>900</v>
      </c>
    </row>
    <row r="136" ht="14.25" customHeight="1">
      <c r="A136" s="38">
        <v>0.3576388888888889</v>
      </c>
      <c r="B136" s="36">
        <v>130.0</v>
      </c>
      <c r="C136" s="36">
        <v>13.1</v>
      </c>
      <c r="D136" s="36">
        <v>1307.0</v>
      </c>
      <c r="E136" s="36">
        <v>1177.0</v>
      </c>
      <c r="F136" s="36">
        <v>0.9</v>
      </c>
      <c r="G136" s="36">
        <v>21.0</v>
      </c>
      <c r="H136" s="36">
        <v>1.59</v>
      </c>
      <c r="I136" s="36">
        <v>33.2</v>
      </c>
      <c r="J136" s="36">
        <v>74.0</v>
      </c>
      <c r="K136" s="36">
        <v>104.0</v>
      </c>
      <c r="L136" s="36">
        <v>34.4</v>
      </c>
      <c r="M136" s="36">
        <v>100.0</v>
      </c>
      <c r="N136" s="36">
        <v>43.0</v>
      </c>
      <c r="O136" s="36">
        <v>21.0</v>
      </c>
      <c r="P136" s="36">
        <v>59.0</v>
      </c>
      <c r="Q136" s="36">
        <v>0.45</v>
      </c>
      <c r="R136" s="36">
        <v>1.29</v>
      </c>
      <c r="S136" s="36">
        <v>1.58</v>
      </c>
      <c r="T136" s="36">
        <v>2.86</v>
      </c>
      <c r="U136" s="21">
        <f t="shared" si="1"/>
        <v>2860</v>
      </c>
      <c r="V136" s="21">
        <f t="shared" si="2"/>
        <v>400</v>
      </c>
    </row>
    <row r="137" ht="14.25" customHeight="1">
      <c r="A137" s="38">
        <v>0.3590277777777778</v>
      </c>
      <c r="B137" s="36">
        <v>131.0</v>
      </c>
      <c r="C137" s="36">
        <v>13.2</v>
      </c>
      <c r="D137" s="36">
        <v>1322.0</v>
      </c>
      <c r="E137" s="36">
        <v>1200.0</v>
      </c>
      <c r="F137" s="36">
        <v>0.91</v>
      </c>
      <c r="G137" s="36">
        <v>21.0</v>
      </c>
      <c r="H137" s="36">
        <v>1.6</v>
      </c>
      <c r="I137" s="36">
        <v>33.8</v>
      </c>
      <c r="J137" s="36">
        <v>73.5</v>
      </c>
      <c r="K137" s="36">
        <v>104.0</v>
      </c>
      <c r="L137" s="36">
        <v>34.7</v>
      </c>
      <c r="M137" s="36">
        <v>100.0</v>
      </c>
      <c r="N137" s="36">
        <v>43.0</v>
      </c>
      <c r="O137" s="36">
        <v>21.0</v>
      </c>
      <c r="P137" s="36">
        <v>60.0</v>
      </c>
      <c r="Q137" s="36">
        <v>0.43</v>
      </c>
      <c r="R137" s="36">
        <v>1.22</v>
      </c>
      <c r="S137" s="36">
        <v>1.61</v>
      </c>
      <c r="T137" s="36">
        <v>2.84</v>
      </c>
      <c r="U137" s="21">
        <f t="shared" si="1"/>
        <v>2840</v>
      </c>
      <c r="V137" s="21">
        <f t="shared" si="2"/>
        <v>2500</v>
      </c>
    </row>
    <row r="138" ht="14.25" customHeight="1">
      <c r="A138" s="38">
        <v>0.3611111111111111</v>
      </c>
      <c r="B138" s="36">
        <v>132.0</v>
      </c>
      <c r="C138" s="36">
        <v>13.0</v>
      </c>
      <c r="D138" s="36">
        <v>1300.0</v>
      </c>
      <c r="E138" s="36">
        <v>1197.0</v>
      </c>
      <c r="F138" s="36">
        <v>0.92</v>
      </c>
      <c r="G138" s="36">
        <v>21.0</v>
      </c>
      <c r="H138" s="36">
        <v>1.59</v>
      </c>
      <c r="I138" s="36">
        <v>34.2</v>
      </c>
      <c r="J138" s="36">
        <v>73.2</v>
      </c>
      <c r="K138" s="36">
        <v>104.0</v>
      </c>
      <c r="L138" s="36">
        <v>34.5</v>
      </c>
      <c r="M138" s="36">
        <v>101.0</v>
      </c>
      <c r="N138" s="36">
        <v>43.0</v>
      </c>
      <c r="O138" s="36">
        <v>21.0</v>
      </c>
      <c r="P138" s="36">
        <v>59.0</v>
      </c>
      <c r="Q138" s="36">
        <v>0.45</v>
      </c>
      <c r="R138" s="36">
        <v>1.25</v>
      </c>
      <c r="S138" s="36">
        <v>1.54</v>
      </c>
      <c r="T138" s="36">
        <v>2.79</v>
      </c>
      <c r="U138" s="21">
        <f t="shared" si="1"/>
        <v>2790</v>
      </c>
      <c r="V138" s="21">
        <f t="shared" si="2"/>
        <v>19600</v>
      </c>
    </row>
    <row r="139" ht="14.25" customHeight="1">
      <c r="A139" s="38">
        <v>0.3625</v>
      </c>
      <c r="B139" s="36">
        <v>132.0</v>
      </c>
      <c r="C139" s="36">
        <v>12.6</v>
      </c>
      <c r="D139" s="36">
        <v>1260.0</v>
      </c>
      <c r="E139" s="36">
        <v>1174.0</v>
      </c>
      <c r="F139" s="36">
        <v>0.93</v>
      </c>
      <c r="G139" s="36">
        <v>23.0</v>
      </c>
      <c r="H139" s="36">
        <v>1.48</v>
      </c>
      <c r="I139" s="36">
        <v>33.6</v>
      </c>
      <c r="J139" s="36">
        <v>73.7</v>
      </c>
      <c r="K139" s="36">
        <v>104.0</v>
      </c>
      <c r="L139" s="36">
        <v>34.5</v>
      </c>
      <c r="M139" s="36">
        <v>102.0</v>
      </c>
      <c r="N139" s="36">
        <v>43.0</v>
      </c>
      <c r="O139" s="36">
        <v>23.0</v>
      </c>
      <c r="P139" s="36">
        <v>57.0</v>
      </c>
      <c r="Q139" s="36">
        <v>0.44</v>
      </c>
      <c r="R139" s="36">
        <v>1.16</v>
      </c>
      <c r="S139" s="36">
        <v>1.49</v>
      </c>
      <c r="T139" s="36">
        <v>2.65</v>
      </c>
      <c r="U139" s="21">
        <f t="shared" si="1"/>
        <v>2650</v>
      </c>
      <c r="V139" s="21">
        <f t="shared" si="2"/>
        <v>2500</v>
      </c>
    </row>
    <row r="140" ht="14.25" customHeight="1">
      <c r="A140" s="38">
        <v>0.3645833333333333</v>
      </c>
      <c r="B140" s="36">
        <v>133.0</v>
      </c>
      <c r="C140" s="36">
        <v>12.7</v>
      </c>
      <c r="D140" s="36">
        <v>1271.0</v>
      </c>
      <c r="E140" s="36">
        <v>1189.0</v>
      </c>
      <c r="F140" s="36">
        <v>0.94</v>
      </c>
      <c r="G140" s="36">
        <v>23.0</v>
      </c>
      <c r="H140" s="36">
        <v>1.47</v>
      </c>
      <c r="I140" s="36">
        <v>33.8</v>
      </c>
      <c r="J140" s="36">
        <v>73.5</v>
      </c>
      <c r="K140" s="36">
        <v>104.0</v>
      </c>
      <c r="L140" s="36">
        <v>34.7</v>
      </c>
      <c r="M140" s="36">
        <v>102.0</v>
      </c>
      <c r="N140" s="36">
        <v>43.0</v>
      </c>
      <c r="O140" s="36">
        <v>23.0</v>
      </c>
      <c r="P140" s="36">
        <v>57.0</v>
      </c>
      <c r="Q140" s="36">
        <v>0.42</v>
      </c>
      <c r="R140" s="36">
        <v>1.1</v>
      </c>
      <c r="S140" s="36">
        <v>1.5</v>
      </c>
      <c r="T140" s="36">
        <v>2.6</v>
      </c>
      <c r="U140" s="21">
        <f t="shared" si="1"/>
        <v>2600</v>
      </c>
      <c r="V140" s="21">
        <f t="shared" si="2"/>
        <v>0</v>
      </c>
    </row>
    <row r="141" ht="14.25" customHeight="1">
      <c r="A141" s="38">
        <v>0.36666666666666664</v>
      </c>
      <c r="B141" s="36">
        <v>134.0</v>
      </c>
      <c r="C141" s="36">
        <v>12.7</v>
      </c>
      <c r="D141" s="36">
        <v>1271.0</v>
      </c>
      <c r="E141" s="36">
        <v>1189.0</v>
      </c>
      <c r="F141" s="36">
        <v>0.94</v>
      </c>
      <c r="G141" s="36">
        <v>23.0</v>
      </c>
      <c r="H141" s="36">
        <v>1.47</v>
      </c>
      <c r="I141" s="36">
        <v>33.8</v>
      </c>
      <c r="J141" s="36">
        <v>73.5</v>
      </c>
      <c r="K141" s="36">
        <v>104.0</v>
      </c>
      <c r="L141" s="36">
        <v>34.6</v>
      </c>
      <c r="M141" s="36">
        <v>102.0</v>
      </c>
      <c r="N141" s="36">
        <v>43.0</v>
      </c>
      <c r="O141" s="36">
        <v>23.0</v>
      </c>
      <c r="P141" s="36">
        <v>57.0</v>
      </c>
      <c r="Q141" s="36">
        <v>0.42</v>
      </c>
      <c r="R141" s="36">
        <v>1.1</v>
      </c>
      <c r="S141" s="36">
        <v>1.5</v>
      </c>
      <c r="T141" s="36">
        <v>2.6</v>
      </c>
      <c r="U141" s="21">
        <f t="shared" si="1"/>
        <v>2600</v>
      </c>
      <c r="V141" s="21">
        <f t="shared" si="2"/>
        <v>400</v>
      </c>
    </row>
    <row r="142" ht="14.25" customHeight="1">
      <c r="A142" s="38">
        <v>0.3680555555555556</v>
      </c>
      <c r="B142" s="36">
        <v>135.0</v>
      </c>
      <c r="C142" s="36">
        <v>12.8</v>
      </c>
      <c r="D142" s="36">
        <v>1278.0</v>
      </c>
      <c r="E142" s="36">
        <v>1195.0</v>
      </c>
      <c r="F142" s="36">
        <v>0.94</v>
      </c>
      <c r="G142" s="36">
        <v>23.0</v>
      </c>
      <c r="H142" s="36">
        <v>1.46</v>
      </c>
      <c r="I142" s="36">
        <v>33.9</v>
      </c>
      <c r="J142" s="36">
        <v>73.5</v>
      </c>
      <c r="K142" s="36">
        <v>105.0</v>
      </c>
      <c r="L142" s="36">
        <v>34.1</v>
      </c>
      <c r="M142" s="36">
        <v>101.0</v>
      </c>
      <c r="N142" s="36">
        <v>43.0</v>
      </c>
      <c r="O142" s="36">
        <v>23.0</v>
      </c>
      <c r="P142" s="36">
        <v>58.0</v>
      </c>
      <c r="Q142" s="36">
        <v>0.43</v>
      </c>
      <c r="R142" s="36">
        <v>1.1</v>
      </c>
      <c r="S142" s="36">
        <v>1.48</v>
      </c>
      <c r="T142" s="36">
        <v>2.58</v>
      </c>
      <c r="U142" s="21">
        <f t="shared" si="1"/>
        <v>2580</v>
      </c>
      <c r="V142" s="21">
        <f t="shared" si="2"/>
        <v>100</v>
      </c>
    </row>
    <row r="143" ht="14.25" customHeight="1">
      <c r="A143" s="38">
        <v>0.3701388888888889</v>
      </c>
      <c r="B143" s="36">
        <v>136.0</v>
      </c>
      <c r="C143" s="36">
        <v>12.9</v>
      </c>
      <c r="D143" s="36">
        <v>1285.0</v>
      </c>
      <c r="E143" s="36">
        <v>1200.0</v>
      </c>
      <c r="F143" s="36">
        <v>0.93</v>
      </c>
      <c r="G143" s="36">
        <v>23.0</v>
      </c>
      <c r="H143" s="36">
        <v>1.45</v>
      </c>
      <c r="I143" s="36">
        <v>33.8</v>
      </c>
      <c r="J143" s="36">
        <v>73.5</v>
      </c>
      <c r="K143" s="36">
        <v>105.0</v>
      </c>
      <c r="L143" s="36">
        <v>34.1</v>
      </c>
      <c r="M143" s="36">
        <v>101.0</v>
      </c>
      <c r="N143" s="36">
        <v>44.0</v>
      </c>
      <c r="O143" s="36">
        <v>23.0</v>
      </c>
      <c r="P143" s="36">
        <v>58.0</v>
      </c>
      <c r="Q143" s="36">
        <v>0.43</v>
      </c>
      <c r="R143" s="36">
        <v>1.11</v>
      </c>
      <c r="S143" s="36">
        <v>1.46</v>
      </c>
      <c r="T143" s="36">
        <v>2.57</v>
      </c>
      <c r="U143" s="21">
        <f t="shared" si="1"/>
        <v>2570</v>
      </c>
      <c r="V143" s="21">
        <f t="shared" si="2"/>
        <v>1600</v>
      </c>
    </row>
    <row r="144" ht="14.25" customHeight="1">
      <c r="A144" s="38">
        <v>0.3715277777777778</v>
      </c>
      <c r="B144" s="36">
        <v>137.0</v>
      </c>
      <c r="C144" s="36">
        <v>13.1</v>
      </c>
      <c r="D144" s="36">
        <v>1308.0</v>
      </c>
      <c r="E144" s="36">
        <v>1215.0</v>
      </c>
      <c r="F144" s="36">
        <v>0.93</v>
      </c>
      <c r="G144" s="36">
        <v>24.0</v>
      </c>
      <c r="H144" s="36">
        <v>1.43</v>
      </c>
      <c r="I144" s="36">
        <v>33.9</v>
      </c>
      <c r="J144" s="36">
        <v>73.4</v>
      </c>
      <c r="K144" s="36">
        <v>105.0</v>
      </c>
      <c r="L144" s="36">
        <v>34.1</v>
      </c>
      <c r="M144" s="36">
        <v>100.0</v>
      </c>
      <c r="N144" s="36">
        <v>44.0</v>
      </c>
      <c r="O144" s="36">
        <v>24.0</v>
      </c>
      <c r="P144" s="36">
        <v>59.0</v>
      </c>
      <c r="Q144" s="36">
        <v>0.44</v>
      </c>
      <c r="R144" s="36">
        <v>1.11</v>
      </c>
      <c r="S144" s="36">
        <v>1.42</v>
      </c>
      <c r="T144" s="36">
        <v>2.53</v>
      </c>
      <c r="U144" s="21">
        <f t="shared" si="1"/>
        <v>2530</v>
      </c>
      <c r="V144" s="21">
        <f t="shared" si="2"/>
        <v>1600</v>
      </c>
    </row>
    <row r="145" ht="14.25" customHeight="1">
      <c r="A145" s="38">
        <v>0.3736111111111111</v>
      </c>
      <c r="B145" s="36">
        <v>138.0</v>
      </c>
      <c r="C145" s="36">
        <v>13.5</v>
      </c>
      <c r="D145" s="36">
        <v>1350.0</v>
      </c>
      <c r="E145" s="36">
        <v>1254.0</v>
      </c>
      <c r="F145" s="36">
        <v>0.93</v>
      </c>
      <c r="G145" s="36">
        <v>23.0</v>
      </c>
      <c r="H145" s="36">
        <v>1.5</v>
      </c>
      <c r="I145" s="36">
        <v>35.1</v>
      </c>
      <c r="J145" s="36">
        <v>72.5</v>
      </c>
      <c r="K145" s="36">
        <v>105.0</v>
      </c>
      <c r="L145" s="36">
        <v>33.7</v>
      </c>
      <c r="M145" s="36">
        <v>100.0</v>
      </c>
      <c r="N145" s="36">
        <v>44.0</v>
      </c>
      <c r="O145" s="36">
        <v>23.0</v>
      </c>
      <c r="P145" s="36">
        <v>61.0</v>
      </c>
      <c r="Q145" s="36">
        <v>0.44</v>
      </c>
      <c r="R145" s="36">
        <v>1.13</v>
      </c>
      <c r="S145" s="36">
        <v>1.44</v>
      </c>
      <c r="T145" s="36">
        <v>2.57</v>
      </c>
      <c r="U145" s="21">
        <f t="shared" si="1"/>
        <v>2570</v>
      </c>
      <c r="V145" s="21">
        <f t="shared" si="2"/>
        <v>0</v>
      </c>
    </row>
    <row r="146" ht="14.25" customHeight="1">
      <c r="A146" s="38">
        <v>0.375</v>
      </c>
      <c r="B146" s="36">
        <v>139.0</v>
      </c>
      <c r="C146" s="36">
        <v>13.7</v>
      </c>
      <c r="D146" s="36">
        <v>1371.0</v>
      </c>
      <c r="E146" s="36">
        <v>1276.0</v>
      </c>
      <c r="F146" s="36">
        <v>0.93</v>
      </c>
      <c r="G146" s="36">
        <v>23.0</v>
      </c>
      <c r="H146" s="36">
        <v>1.51</v>
      </c>
      <c r="I146" s="36">
        <v>35.3</v>
      </c>
      <c r="J146" s="36">
        <v>72.4</v>
      </c>
      <c r="K146" s="36">
        <v>106.0</v>
      </c>
      <c r="L146" s="36">
        <v>33.4</v>
      </c>
      <c r="M146" s="36">
        <v>100.0</v>
      </c>
      <c r="N146" s="36">
        <v>44.0</v>
      </c>
      <c r="O146" s="36">
        <v>23.0</v>
      </c>
      <c r="P146" s="36">
        <v>62.0</v>
      </c>
      <c r="Q146" s="36">
        <v>0.44</v>
      </c>
      <c r="R146" s="36">
        <v>1.14</v>
      </c>
      <c r="S146" s="36">
        <v>1.44</v>
      </c>
      <c r="T146" s="36">
        <v>2.57</v>
      </c>
      <c r="U146" s="21">
        <f t="shared" si="1"/>
        <v>2570</v>
      </c>
      <c r="V146" s="21">
        <f t="shared" si="2"/>
        <v>400</v>
      </c>
    </row>
    <row r="147" ht="14.25" customHeight="1">
      <c r="A147" s="38">
        <v>0.3770833333333333</v>
      </c>
      <c r="B147" s="36">
        <v>140.0</v>
      </c>
      <c r="C147" s="36">
        <v>14.1</v>
      </c>
      <c r="D147" s="36">
        <v>1405.0</v>
      </c>
      <c r="E147" s="36">
        <v>1311.0</v>
      </c>
      <c r="F147" s="36">
        <v>0.93</v>
      </c>
      <c r="G147" s="36">
        <v>24.0</v>
      </c>
      <c r="H147" s="36">
        <v>1.54</v>
      </c>
      <c r="I147" s="36">
        <v>36.4</v>
      </c>
      <c r="J147" s="36">
        <v>71.5</v>
      </c>
      <c r="K147" s="36">
        <v>107.0</v>
      </c>
      <c r="L147" s="36">
        <v>32.6</v>
      </c>
      <c r="M147" s="36">
        <v>100.0</v>
      </c>
      <c r="N147" s="36">
        <v>44.0</v>
      </c>
      <c r="O147" s="36">
        <v>24.0</v>
      </c>
      <c r="P147" s="36">
        <v>63.0</v>
      </c>
      <c r="Q147" s="36">
        <v>0.44</v>
      </c>
      <c r="R147" s="36">
        <v>1.13</v>
      </c>
      <c r="S147" s="36">
        <v>1.42</v>
      </c>
      <c r="T147" s="36">
        <v>2.55</v>
      </c>
      <c r="U147" s="21">
        <f t="shared" si="1"/>
        <v>2550</v>
      </c>
      <c r="V147" s="21">
        <f t="shared" si="2"/>
        <v>4900</v>
      </c>
    </row>
    <row r="148" ht="14.25" customHeight="1">
      <c r="A148" s="38">
        <v>0.3784722222222222</v>
      </c>
      <c r="B148" s="36">
        <v>141.0</v>
      </c>
      <c r="C148" s="36">
        <v>14.2</v>
      </c>
      <c r="D148" s="36">
        <v>1419.0</v>
      </c>
      <c r="E148" s="36">
        <v>1334.0</v>
      </c>
      <c r="F148" s="36">
        <v>0.94</v>
      </c>
      <c r="G148" s="36">
        <v>24.0</v>
      </c>
      <c r="H148" s="36">
        <v>1.54</v>
      </c>
      <c r="I148" s="36">
        <v>37.2</v>
      </c>
      <c r="J148" s="36">
        <v>70.8</v>
      </c>
      <c r="K148" s="36">
        <v>108.0</v>
      </c>
      <c r="L148" s="36">
        <v>32.1</v>
      </c>
      <c r="M148" s="36">
        <v>101.0</v>
      </c>
      <c r="N148" s="36">
        <v>44.0</v>
      </c>
      <c r="O148" s="36">
        <v>24.0</v>
      </c>
      <c r="P148" s="36">
        <v>64.0</v>
      </c>
      <c r="Q148" s="36">
        <v>0.45</v>
      </c>
      <c r="R148" s="36">
        <v>1.1</v>
      </c>
      <c r="S148" s="36">
        <v>1.38</v>
      </c>
      <c r="T148" s="36">
        <v>2.48</v>
      </c>
      <c r="U148" s="21">
        <f t="shared" si="1"/>
        <v>2480</v>
      </c>
      <c r="V148" s="21">
        <f t="shared" si="2"/>
        <v>62500</v>
      </c>
    </row>
    <row r="149" ht="14.25" customHeight="1">
      <c r="A149" s="38">
        <v>0.38125</v>
      </c>
      <c r="B149" s="36">
        <v>142.0</v>
      </c>
      <c r="C149" s="36">
        <v>14.5</v>
      </c>
      <c r="D149" s="36">
        <v>1445.0</v>
      </c>
      <c r="E149" s="36">
        <v>1413.0</v>
      </c>
      <c r="F149" s="36">
        <v>0.98</v>
      </c>
      <c r="G149" s="36">
        <v>22.0</v>
      </c>
      <c r="H149" s="36">
        <v>1.84</v>
      </c>
      <c r="I149" s="36">
        <v>40.3</v>
      </c>
      <c r="J149" s="36">
        <v>68.4</v>
      </c>
      <c r="K149" s="36">
        <v>108.0</v>
      </c>
      <c r="L149" s="36">
        <v>32.0</v>
      </c>
      <c r="M149" s="36">
        <v>102.0</v>
      </c>
      <c r="N149" s="36">
        <v>43.0</v>
      </c>
      <c r="O149" s="36">
        <v>22.0</v>
      </c>
      <c r="P149" s="36">
        <v>65.0</v>
      </c>
      <c r="Q149" s="36">
        <v>0.45</v>
      </c>
      <c r="R149" s="36">
        <v>1.22</v>
      </c>
      <c r="S149" s="36">
        <v>1.52</v>
      </c>
      <c r="T149" s="36">
        <v>2.73</v>
      </c>
      <c r="U149" s="21">
        <f t="shared" si="1"/>
        <v>2730</v>
      </c>
      <c r="V149" s="21">
        <f t="shared" si="2"/>
        <v>1600</v>
      </c>
    </row>
    <row r="150" ht="14.25" customHeight="1">
      <c r="A150" s="38">
        <v>0.38333333333333336</v>
      </c>
      <c r="B150" s="36">
        <v>143.0</v>
      </c>
      <c r="C150" s="36">
        <v>14.4</v>
      </c>
      <c r="D150" s="36">
        <v>1441.0</v>
      </c>
      <c r="E150" s="36">
        <v>1424.0</v>
      </c>
      <c r="F150" s="36">
        <v>0.99</v>
      </c>
      <c r="G150" s="36">
        <v>22.0</v>
      </c>
      <c r="H150" s="36">
        <v>1.82</v>
      </c>
      <c r="I150" s="36">
        <v>40.7</v>
      </c>
      <c r="J150" s="36">
        <v>68.1</v>
      </c>
      <c r="K150" s="36">
        <v>108.0</v>
      </c>
      <c r="L150" s="36">
        <v>31.9</v>
      </c>
      <c r="M150" s="36">
        <v>103.0</v>
      </c>
      <c r="N150" s="36">
        <v>43.0</v>
      </c>
      <c r="O150" s="36">
        <v>22.0</v>
      </c>
      <c r="P150" s="36">
        <v>65.0</v>
      </c>
      <c r="Q150" s="36">
        <v>0.43</v>
      </c>
      <c r="R150" s="36">
        <v>1.17</v>
      </c>
      <c r="S150" s="36">
        <v>1.52</v>
      </c>
      <c r="T150" s="36">
        <v>2.69</v>
      </c>
      <c r="U150" s="21">
        <f t="shared" si="1"/>
        <v>2690</v>
      </c>
      <c r="V150" s="21">
        <f t="shared" si="2"/>
        <v>3600</v>
      </c>
    </row>
    <row r="151" ht="14.25" customHeight="1">
      <c r="A151" s="38">
        <v>0.38472222222222224</v>
      </c>
      <c r="B151" s="36">
        <v>143.0</v>
      </c>
      <c r="C151" s="36">
        <v>14.3</v>
      </c>
      <c r="D151" s="36">
        <v>1429.0</v>
      </c>
      <c r="E151" s="36">
        <v>1425.0</v>
      </c>
      <c r="F151" s="36">
        <v>1.0</v>
      </c>
      <c r="G151" s="36">
        <v>23.0</v>
      </c>
      <c r="H151" s="36">
        <v>1.79</v>
      </c>
      <c r="I151" s="36">
        <v>40.9</v>
      </c>
      <c r="J151" s="36">
        <v>67.9</v>
      </c>
      <c r="K151" s="36">
        <v>109.0</v>
      </c>
      <c r="L151" s="36">
        <v>31.6</v>
      </c>
      <c r="M151" s="36">
        <v>103.0</v>
      </c>
      <c r="N151" s="36">
        <v>43.0</v>
      </c>
      <c r="O151" s="36">
        <v>23.0</v>
      </c>
      <c r="P151" s="36">
        <v>64.0</v>
      </c>
      <c r="Q151" s="36">
        <v>0.43</v>
      </c>
      <c r="R151" s="36">
        <v>1.12</v>
      </c>
      <c r="S151" s="36">
        <v>1.51</v>
      </c>
      <c r="T151" s="36">
        <v>2.63</v>
      </c>
      <c r="U151" s="21">
        <f t="shared" si="1"/>
        <v>2630</v>
      </c>
      <c r="V151" s="21">
        <f t="shared" si="2"/>
        <v>4900</v>
      </c>
    </row>
    <row r="152" ht="14.25" customHeight="1">
      <c r="A152" s="38">
        <v>0.3861111111111111</v>
      </c>
      <c r="B152" s="36">
        <v>144.0</v>
      </c>
      <c r="C152" s="36">
        <v>14.2</v>
      </c>
      <c r="D152" s="36">
        <v>1417.0</v>
      </c>
      <c r="E152" s="36">
        <v>1424.0</v>
      </c>
      <c r="F152" s="36">
        <v>1.01</v>
      </c>
      <c r="G152" s="36">
        <v>23.0</v>
      </c>
      <c r="H152" s="36">
        <v>1.74</v>
      </c>
      <c r="I152" s="36">
        <v>40.9</v>
      </c>
      <c r="J152" s="36">
        <v>68.0</v>
      </c>
      <c r="K152" s="36">
        <v>109.0</v>
      </c>
      <c r="L152" s="36">
        <v>31.3</v>
      </c>
      <c r="M152" s="36">
        <v>103.0</v>
      </c>
      <c r="N152" s="36">
        <v>43.0</v>
      </c>
      <c r="O152" s="36">
        <v>23.0</v>
      </c>
      <c r="P152" s="36">
        <v>64.0</v>
      </c>
      <c r="Q152" s="36">
        <v>0.43</v>
      </c>
      <c r="R152" s="36">
        <v>1.09</v>
      </c>
      <c r="S152" s="36">
        <v>1.47</v>
      </c>
      <c r="T152" s="36">
        <v>2.56</v>
      </c>
      <c r="U152" s="21">
        <f t="shared" si="1"/>
        <v>2560</v>
      </c>
      <c r="V152" s="21">
        <f t="shared" si="2"/>
        <v>100</v>
      </c>
    </row>
    <row r="153" ht="14.25" customHeight="1">
      <c r="A153" s="38">
        <v>0.3875</v>
      </c>
      <c r="B153" s="36">
        <v>145.0</v>
      </c>
      <c r="C153" s="36">
        <v>14.3</v>
      </c>
      <c r="D153" s="36">
        <v>1434.0</v>
      </c>
      <c r="E153" s="36">
        <v>1436.0</v>
      </c>
      <c r="F153" s="36">
        <v>1.0</v>
      </c>
      <c r="G153" s="36">
        <v>24.0</v>
      </c>
      <c r="H153" s="36">
        <v>1.75</v>
      </c>
      <c r="I153" s="36">
        <v>41.2</v>
      </c>
      <c r="J153" s="36">
        <v>67.7</v>
      </c>
      <c r="K153" s="36">
        <v>110.0</v>
      </c>
      <c r="L153" s="36">
        <v>30.9</v>
      </c>
      <c r="M153" s="36">
        <v>103.0</v>
      </c>
      <c r="N153" s="36">
        <v>43.0</v>
      </c>
      <c r="O153" s="36">
        <v>24.0</v>
      </c>
      <c r="P153" s="36">
        <v>65.0</v>
      </c>
      <c r="Q153" s="36">
        <v>0.43</v>
      </c>
      <c r="R153" s="36">
        <v>1.11</v>
      </c>
      <c r="S153" s="36">
        <v>1.44</v>
      </c>
      <c r="T153" s="36">
        <v>2.55</v>
      </c>
      <c r="U153" s="21">
        <f t="shared" si="1"/>
        <v>2550</v>
      </c>
      <c r="V153" s="21">
        <f t="shared" si="2"/>
        <v>84100</v>
      </c>
    </row>
    <row r="154" ht="14.25" customHeight="1">
      <c r="A154" s="38">
        <v>0.3888888888888889</v>
      </c>
      <c r="B154" s="36">
        <v>146.0</v>
      </c>
      <c r="C154" s="36">
        <v>14.3</v>
      </c>
      <c r="D154" s="36">
        <v>1428.0</v>
      </c>
      <c r="E154" s="36">
        <v>1385.0</v>
      </c>
      <c r="F154" s="36">
        <v>0.97</v>
      </c>
      <c r="G154" s="36">
        <v>27.0</v>
      </c>
      <c r="H154" s="36">
        <v>1.46</v>
      </c>
      <c r="I154" s="36">
        <v>38.9</v>
      </c>
      <c r="J154" s="36">
        <v>69.6</v>
      </c>
      <c r="K154" s="36">
        <v>110.0</v>
      </c>
      <c r="L154" s="36">
        <v>30.9</v>
      </c>
      <c r="M154" s="36">
        <v>102.0</v>
      </c>
      <c r="N154" s="36">
        <v>44.0</v>
      </c>
      <c r="O154" s="36">
        <v>27.0</v>
      </c>
      <c r="P154" s="36">
        <v>64.0</v>
      </c>
      <c r="Q154" s="36">
        <v>0.43</v>
      </c>
      <c r="R154" s="36">
        <v>0.97</v>
      </c>
      <c r="S154" s="36">
        <v>1.29</v>
      </c>
      <c r="T154" s="36">
        <v>2.26</v>
      </c>
      <c r="U154" s="21">
        <f t="shared" si="1"/>
        <v>2260</v>
      </c>
      <c r="V154" s="21">
        <f t="shared" si="2"/>
        <v>100</v>
      </c>
    </row>
    <row r="155" ht="14.25" customHeight="1">
      <c r="A155" s="38">
        <v>0.3909722222222222</v>
      </c>
      <c r="B155" s="36">
        <v>146.0</v>
      </c>
      <c r="C155" s="36">
        <v>14.3</v>
      </c>
      <c r="D155" s="36">
        <v>1432.0</v>
      </c>
      <c r="E155" s="36">
        <v>1389.0</v>
      </c>
      <c r="F155" s="36">
        <v>0.97</v>
      </c>
      <c r="G155" s="36">
        <v>26.0</v>
      </c>
      <c r="H155" s="36">
        <v>1.46</v>
      </c>
      <c r="I155" s="36">
        <v>38.5</v>
      </c>
      <c r="J155" s="36">
        <v>69.8</v>
      </c>
      <c r="K155" s="36">
        <v>110.0</v>
      </c>
      <c r="L155" s="36">
        <v>30.9</v>
      </c>
      <c r="M155" s="36">
        <v>102.0</v>
      </c>
      <c r="N155" s="36">
        <v>44.0</v>
      </c>
      <c r="O155" s="36">
        <v>26.0</v>
      </c>
      <c r="P155" s="36">
        <v>64.0</v>
      </c>
      <c r="Q155" s="36">
        <v>0.42</v>
      </c>
      <c r="R155" s="36">
        <v>0.96</v>
      </c>
      <c r="S155" s="36">
        <v>1.31</v>
      </c>
      <c r="T155" s="36">
        <v>2.27</v>
      </c>
      <c r="U155" s="21">
        <f t="shared" si="1"/>
        <v>2270</v>
      </c>
      <c r="V155" s="21">
        <f t="shared" si="2"/>
        <v>900</v>
      </c>
    </row>
    <row r="156" ht="14.25" customHeight="1">
      <c r="A156" s="38">
        <v>0.3923611111111111</v>
      </c>
      <c r="B156" s="36">
        <v>147.0</v>
      </c>
      <c r="C156" s="36">
        <v>14.2</v>
      </c>
      <c r="D156" s="36">
        <v>1419.0</v>
      </c>
      <c r="E156" s="36">
        <v>1373.0</v>
      </c>
      <c r="F156" s="36">
        <v>0.97</v>
      </c>
      <c r="G156" s="36">
        <v>27.0</v>
      </c>
      <c r="H156" s="36">
        <v>1.42</v>
      </c>
      <c r="I156" s="36">
        <v>38.0</v>
      </c>
      <c r="J156" s="36">
        <v>70.2</v>
      </c>
      <c r="K156" s="36">
        <v>110.0</v>
      </c>
      <c r="L156" s="36">
        <v>30.8</v>
      </c>
      <c r="M156" s="36">
        <v>102.0</v>
      </c>
      <c r="N156" s="36">
        <v>44.0</v>
      </c>
      <c r="O156" s="36">
        <v>27.0</v>
      </c>
      <c r="P156" s="36">
        <v>64.0</v>
      </c>
      <c r="Q156" s="36">
        <v>0.42</v>
      </c>
      <c r="R156" s="36">
        <v>0.94</v>
      </c>
      <c r="S156" s="36">
        <v>1.3</v>
      </c>
      <c r="T156" s="36">
        <v>2.24</v>
      </c>
      <c r="U156" s="21">
        <f t="shared" si="1"/>
        <v>2240</v>
      </c>
      <c r="V156" s="21">
        <f t="shared" si="2"/>
        <v>4900</v>
      </c>
    </row>
    <row r="157" ht="14.25" customHeight="1">
      <c r="A157" s="38">
        <v>0.39444444444444443</v>
      </c>
      <c r="B157" s="36">
        <v>148.0</v>
      </c>
      <c r="C157" s="36">
        <v>14.5</v>
      </c>
      <c r="D157" s="36">
        <v>1450.0</v>
      </c>
      <c r="E157" s="36">
        <v>1401.0</v>
      </c>
      <c r="F157" s="36">
        <v>0.97</v>
      </c>
      <c r="G157" s="36">
        <v>26.0</v>
      </c>
      <c r="H157" s="36">
        <v>1.48</v>
      </c>
      <c r="I157" s="36">
        <v>38.4</v>
      </c>
      <c r="J157" s="36">
        <v>69.9</v>
      </c>
      <c r="K157" s="36">
        <v>111.0</v>
      </c>
      <c r="L157" s="36">
        <v>30.5</v>
      </c>
      <c r="M157" s="36">
        <v>102.0</v>
      </c>
      <c r="N157" s="36">
        <v>44.0</v>
      </c>
      <c r="O157" s="36">
        <v>26.0</v>
      </c>
      <c r="P157" s="36">
        <v>65.0</v>
      </c>
      <c r="Q157" s="36">
        <v>0.42</v>
      </c>
      <c r="R157" s="36">
        <v>0.98</v>
      </c>
      <c r="S157" s="36">
        <v>1.34</v>
      </c>
      <c r="T157" s="36">
        <v>2.31</v>
      </c>
      <c r="U157" s="21">
        <f t="shared" si="1"/>
        <v>2310</v>
      </c>
      <c r="V157" s="21">
        <f t="shared" si="2"/>
        <v>900</v>
      </c>
    </row>
    <row r="158" ht="14.25" customHeight="1">
      <c r="A158" s="38">
        <v>0.3958333333333333</v>
      </c>
      <c r="B158" s="36">
        <v>149.0</v>
      </c>
      <c r="C158" s="36">
        <v>14.6</v>
      </c>
      <c r="D158" s="36">
        <v>1465.0</v>
      </c>
      <c r="E158" s="36">
        <v>1409.0</v>
      </c>
      <c r="F158" s="36">
        <v>0.96</v>
      </c>
      <c r="G158" s="36">
        <v>26.0</v>
      </c>
      <c r="H158" s="36">
        <v>1.5</v>
      </c>
      <c r="I158" s="36">
        <v>38.3</v>
      </c>
      <c r="J158" s="36">
        <v>70.0</v>
      </c>
      <c r="K158" s="36">
        <v>110.0</v>
      </c>
      <c r="L158" s="36">
        <v>30.6</v>
      </c>
      <c r="M158" s="36">
        <v>101.0</v>
      </c>
      <c r="N158" s="36">
        <v>45.0</v>
      </c>
      <c r="O158" s="36">
        <v>26.0</v>
      </c>
      <c r="P158" s="36">
        <v>66.0</v>
      </c>
      <c r="Q158" s="36">
        <v>0.42</v>
      </c>
      <c r="R158" s="36">
        <v>0.99</v>
      </c>
      <c r="S158" s="36">
        <v>1.35</v>
      </c>
      <c r="T158" s="36">
        <v>2.34</v>
      </c>
      <c r="U158" s="21">
        <f t="shared" si="1"/>
        <v>2340</v>
      </c>
      <c r="V158" s="21">
        <f t="shared" si="2"/>
        <v>900</v>
      </c>
    </row>
    <row r="159" ht="14.25" customHeight="1">
      <c r="A159" s="38">
        <v>0.3972222222222222</v>
      </c>
      <c r="B159" s="36">
        <v>150.0</v>
      </c>
      <c r="C159" s="36">
        <v>14.8</v>
      </c>
      <c r="D159" s="36">
        <v>1476.0</v>
      </c>
      <c r="E159" s="36">
        <v>1424.0</v>
      </c>
      <c r="F159" s="36">
        <v>0.96</v>
      </c>
      <c r="G159" s="36">
        <v>25.0</v>
      </c>
      <c r="H159" s="36">
        <v>1.53</v>
      </c>
      <c r="I159" s="36">
        <v>38.8</v>
      </c>
      <c r="J159" s="36">
        <v>69.6</v>
      </c>
      <c r="K159" s="36">
        <v>110.0</v>
      </c>
      <c r="L159" s="36">
        <v>30.8</v>
      </c>
      <c r="M159" s="36">
        <v>101.0</v>
      </c>
      <c r="N159" s="36">
        <v>44.0</v>
      </c>
      <c r="O159" s="36">
        <v>25.0</v>
      </c>
      <c r="P159" s="36">
        <v>66.0</v>
      </c>
      <c r="Q159" s="36">
        <v>0.42</v>
      </c>
      <c r="R159" s="36">
        <v>1.01</v>
      </c>
      <c r="S159" s="36">
        <v>1.36</v>
      </c>
      <c r="T159" s="36">
        <v>2.37</v>
      </c>
      <c r="U159" s="21">
        <f t="shared" si="1"/>
        <v>2370</v>
      </c>
      <c r="V159" s="21">
        <f t="shared" si="2"/>
        <v>400</v>
      </c>
    </row>
    <row r="160" ht="14.25" customHeight="1">
      <c r="A160" s="38">
        <v>0.3993055555555556</v>
      </c>
      <c r="B160" s="36">
        <v>150.0</v>
      </c>
      <c r="C160" s="36">
        <v>15.0</v>
      </c>
      <c r="D160" s="36">
        <v>1497.0</v>
      </c>
      <c r="E160" s="36">
        <v>1449.0</v>
      </c>
      <c r="F160" s="36">
        <v>0.97</v>
      </c>
      <c r="G160" s="36">
        <v>25.0</v>
      </c>
      <c r="H160" s="36">
        <v>1.57</v>
      </c>
      <c r="I160" s="36">
        <v>39.4</v>
      </c>
      <c r="J160" s="36">
        <v>69.1</v>
      </c>
      <c r="K160" s="36">
        <v>110.0</v>
      </c>
      <c r="L160" s="36">
        <v>31.0</v>
      </c>
      <c r="M160" s="36">
        <v>102.0</v>
      </c>
      <c r="N160" s="36">
        <v>44.0</v>
      </c>
      <c r="O160" s="36">
        <v>25.0</v>
      </c>
      <c r="P160" s="36">
        <v>67.0</v>
      </c>
      <c r="Q160" s="36">
        <v>0.43</v>
      </c>
      <c r="R160" s="36">
        <v>1.03</v>
      </c>
      <c r="S160" s="36">
        <v>1.36</v>
      </c>
      <c r="T160" s="36">
        <v>2.39</v>
      </c>
      <c r="U160" s="21">
        <f t="shared" si="1"/>
        <v>2390</v>
      </c>
      <c r="V160" s="21">
        <f t="shared" si="2"/>
        <v>2500</v>
      </c>
    </row>
    <row r="161" ht="14.25" customHeight="1">
      <c r="A161" s="38">
        <v>0.40069444444444446</v>
      </c>
      <c r="B161" s="36">
        <v>151.0</v>
      </c>
      <c r="C161" s="36">
        <v>15.2</v>
      </c>
      <c r="D161" s="36">
        <v>1519.0</v>
      </c>
      <c r="E161" s="36">
        <v>1484.0</v>
      </c>
      <c r="F161" s="36">
        <v>0.98</v>
      </c>
      <c r="G161" s="36">
        <v>26.0</v>
      </c>
      <c r="H161" s="36">
        <v>1.59</v>
      </c>
      <c r="I161" s="36">
        <v>40.8</v>
      </c>
      <c r="J161" s="36">
        <v>68.1</v>
      </c>
      <c r="K161" s="36">
        <v>110.0</v>
      </c>
      <c r="L161" s="36">
        <v>30.8</v>
      </c>
      <c r="M161" s="36">
        <v>102.0</v>
      </c>
      <c r="N161" s="36">
        <v>44.0</v>
      </c>
      <c r="O161" s="36">
        <v>26.0</v>
      </c>
      <c r="P161" s="36">
        <v>68.0</v>
      </c>
      <c r="Q161" s="36">
        <v>0.43</v>
      </c>
      <c r="R161" s="36">
        <v>1.01</v>
      </c>
      <c r="S161" s="36">
        <v>1.33</v>
      </c>
      <c r="T161" s="36">
        <v>2.34</v>
      </c>
      <c r="U161" s="21">
        <f t="shared" si="1"/>
        <v>2340</v>
      </c>
      <c r="V161" s="21">
        <f t="shared" si="2"/>
        <v>2500</v>
      </c>
    </row>
    <row r="162" ht="14.25" customHeight="1">
      <c r="A162" s="38">
        <v>0.40208333333333335</v>
      </c>
      <c r="B162" s="36">
        <v>152.0</v>
      </c>
      <c r="C162" s="36">
        <v>15.4</v>
      </c>
      <c r="D162" s="36">
        <v>1537.0</v>
      </c>
      <c r="E162" s="36">
        <v>1513.0</v>
      </c>
      <c r="F162" s="36">
        <v>0.98</v>
      </c>
      <c r="G162" s="36">
        <v>26.0</v>
      </c>
      <c r="H162" s="36">
        <v>1.59</v>
      </c>
      <c r="I162" s="36">
        <v>41.6</v>
      </c>
      <c r="J162" s="36">
        <v>67.4</v>
      </c>
      <c r="K162" s="36">
        <v>110.0</v>
      </c>
      <c r="L162" s="36">
        <v>30.6</v>
      </c>
      <c r="M162" s="36">
        <v>103.0</v>
      </c>
      <c r="N162" s="36">
        <v>44.0</v>
      </c>
      <c r="O162" s="36">
        <v>26.0</v>
      </c>
      <c r="P162" s="36">
        <v>69.0</v>
      </c>
      <c r="Q162" s="36">
        <v>0.43</v>
      </c>
      <c r="R162" s="36">
        <v>0.99</v>
      </c>
      <c r="S162" s="36">
        <v>1.3</v>
      </c>
      <c r="T162" s="36">
        <v>2.29</v>
      </c>
      <c r="U162" s="21">
        <f t="shared" si="1"/>
        <v>2290</v>
      </c>
      <c r="V162" s="21">
        <f t="shared" si="2"/>
        <v>900</v>
      </c>
    </row>
    <row r="163" ht="14.25" customHeight="1">
      <c r="A163" s="38">
        <v>0.40347222222222223</v>
      </c>
      <c r="B163" s="36">
        <v>153.0</v>
      </c>
      <c r="C163" s="36">
        <v>15.5</v>
      </c>
      <c r="D163" s="36">
        <v>1554.0</v>
      </c>
      <c r="E163" s="36">
        <v>1549.0</v>
      </c>
      <c r="F163" s="36">
        <v>1.0</v>
      </c>
      <c r="G163" s="36">
        <v>26.0</v>
      </c>
      <c r="H163" s="36">
        <v>1.65</v>
      </c>
      <c r="I163" s="36">
        <v>42.8</v>
      </c>
      <c r="J163" s="36">
        <v>66.5</v>
      </c>
      <c r="K163" s="36">
        <v>111.0</v>
      </c>
      <c r="L163" s="36">
        <v>30.0</v>
      </c>
      <c r="M163" s="36">
        <v>103.0</v>
      </c>
      <c r="N163" s="36">
        <v>44.0</v>
      </c>
      <c r="O163" s="36">
        <v>26.0</v>
      </c>
      <c r="P163" s="36">
        <v>70.0</v>
      </c>
      <c r="Q163" s="36">
        <v>0.43</v>
      </c>
      <c r="R163" s="36">
        <v>0.99</v>
      </c>
      <c r="S163" s="36">
        <v>1.33</v>
      </c>
      <c r="T163" s="36">
        <v>2.32</v>
      </c>
      <c r="U163" s="21">
        <f t="shared" si="1"/>
        <v>2320</v>
      </c>
      <c r="V163" s="21">
        <f t="shared" si="2"/>
        <v>400</v>
      </c>
    </row>
    <row r="164" ht="14.25" customHeight="1">
      <c r="A164" s="38">
        <v>0.40555555555555556</v>
      </c>
      <c r="B164" s="36">
        <v>153.0</v>
      </c>
      <c r="C164" s="36">
        <v>16.0</v>
      </c>
      <c r="D164" s="36">
        <v>1602.0</v>
      </c>
      <c r="E164" s="36">
        <v>1601.0</v>
      </c>
      <c r="F164" s="36">
        <v>1.0</v>
      </c>
      <c r="G164" s="36">
        <v>26.0</v>
      </c>
      <c r="H164" s="36">
        <v>1.7</v>
      </c>
      <c r="I164" s="36">
        <v>44.4</v>
      </c>
      <c r="J164" s="36">
        <v>65.2</v>
      </c>
      <c r="K164" s="36">
        <v>111.0</v>
      </c>
      <c r="L164" s="36">
        <v>30.3</v>
      </c>
      <c r="M164" s="36">
        <v>104.0</v>
      </c>
      <c r="N164" s="36">
        <v>43.0</v>
      </c>
      <c r="O164" s="36">
        <v>26.0</v>
      </c>
      <c r="P164" s="36">
        <v>72.0</v>
      </c>
      <c r="Q164" s="36">
        <v>0.43</v>
      </c>
      <c r="R164" s="36">
        <v>1.0</v>
      </c>
      <c r="S164" s="36">
        <v>1.3</v>
      </c>
      <c r="T164" s="36">
        <v>2.3</v>
      </c>
      <c r="U164" s="21">
        <f t="shared" si="1"/>
        <v>2300</v>
      </c>
      <c r="V164" s="21">
        <f t="shared" si="2"/>
        <v>1600</v>
      </c>
    </row>
    <row r="165" ht="14.25" customHeight="1">
      <c r="A165" s="38">
        <v>0.4076388888888889</v>
      </c>
      <c r="B165" s="36">
        <v>154.0</v>
      </c>
      <c r="C165" s="36">
        <v>16.0</v>
      </c>
      <c r="D165" s="36">
        <v>1604.0</v>
      </c>
      <c r="E165" s="36">
        <v>1622.0</v>
      </c>
      <c r="F165" s="36">
        <v>1.01</v>
      </c>
      <c r="G165" s="36">
        <v>26.0</v>
      </c>
      <c r="H165" s="36">
        <v>1.76</v>
      </c>
      <c r="I165" s="36">
        <v>45.0</v>
      </c>
      <c r="J165" s="36">
        <v>64.7</v>
      </c>
      <c r="K165" s="36">
        <v>113.0</v>
      </c>
      <c r="L165" s="36">
        <v>29.1</v>
      </c>
      <c r="M165" s="36">
        <v>104.0</v>
      </c>
      <c r="N165" s="36">
        <v>44.0</v>
      </c>
      <c r="O165" s="36">
        <v>26.0</v>
      </c>
      <c r="P165" s="36">
        <v>72.0</v>
      </c>
      <c r="Q165" s="36">
        <v>0.43</v>
      </c>
      <c r="R165" s="36">
        <v>1.01</v>
      </c>
      <c r="S165" s="36">
        <v>1.34</v>
      </c>
      <c r="T165" s="36">
        <v>2.34</v>
      </c>
      <c r="U165" s="21">
        <f t="shared" si="1"/>
        <v>2340</v>
      </c>
    </row>
    <row r="166" ht="14.25" customHeight="1">
      <c r="A166" s="36" t="s">
        <v>80</v>
      </c>
      <c r="U166" s="21">
        <f t="shared" si="1"/>
        <v>0</v>
      </c>
    </row>
    <row r="167" ht="14.25" customHeight="1">
      <c r="A167" s="38">
        <v>0.40902777777777777</v>
      </c>
      <c r="B167" s="36">
        <v>155.0</v>
      </c>
      <c r="C167" s="36">
        <v>15.7</v>
      </c>
      <c r="D167" s="36">
        <v>1574.0</v>
      </c>
      <c r="E167" s="36">
        <v>1616.0</v>
      </c>
      <c r="F167" s="36">
        <v>1.03</v>
      </c>
      <c r="G167" s="36">
        <v>26.0</v>
      </c>
      <c r="H167" s="36">
        <v>1.74</v>
      </c>
      <c r="I167" s="36">
        <v>45.1</v>
      </c>
      <c r="J167" s="36">
        <v>64.7</v>
      </c>
      <c r="K167" s="36">
        <v>113.0</v>
      </c>
      <c r="L167" s="36">
        <v>29.2</v>
      </c>
      <c r="M167" s="36">
        <v>104.0</v>
      </c>
      <c r="N167" s="36">
        <v>43.0</v>
      </c>
      <c r="O167" s="36">
        <v>26.0</v>
      </c>
      <c r="P167" s="36">
        <v>71.0</v>
      </c>
      <c r="Q167" s="36">
        <v>0.43</v>
      </c>
      <c r="R167" s="36">
        <v>0.99</v>
      </c>
      <c r="S167" s="36">
        <v>1.32</v>
      </c>
      <c r="T167" s="36">
        <v>2.31</v>
      </c>
      <c r="U167" s="21">
        <f t="shared" si="1"/>
        <v>2310</v>
      </c>
      <c r="V167" s="21">
        <f t="shared" ref="V167:V198" si="3">(U167-U168)^2</f>
        <v>1600</v>
      </c>
      <c r="W167" s="21">
        <f>SQRT(AVERAGE(V167:V199))</f>
        <v>71.28687244</v>
      </c>
    </row>
    <row r="168" ht="14.25" customHeight="1">
      <c r="A168" s="38">
        <v>0.41041666666666665</v>
      </c>
      <c r="B168" s="36">
        <v>156.0</v>
      </c>
      <c r="C168" s="36">
        <v>15.7</v>
      </c>
      <c r="D168" s="36">
        <v>1568.0</v>
      </c>
      <c r="E168" s="36">
        <v>1631.0</v>
      </c>
      <c r="F168" s="36">
        <v>1.04</v>
      </c>
      <c r="G168" s="36">
        <v>26.0</v>
      </c>
      <c r="H168" s="36">
        <v>1.73</v>
      </c>
      <c r="I168" s="36">
        <v>45.7</v>
      </c>
      <c r="J168" s="36">
        <v>64.2</v>
      </c>
      <c r="K168" s="36">
        <v>113.0</v>
      </c>
      <c r="L168" s="36">
        <v>28.8</v>
      </c>
      <c r="M168" s="36">
        <v>105.0</v>
      </c>
      <c r="N168" s="36">
        <v>43.0</v>
      </c>
      <c r="O168" s="36">
        <v>26.0</v>
      </c>
      <c r="P168" s="36">
        <v>71.0</v>
      </c>
      <c r="Q168" s="36">
        <v>0.43</v>
      </c>
      <c r="R168" s="36">
        <v>0.97</v>
      </c>
      <c r="S168" s="36">
        <v>1.3</v>
      </c>
      <c r="T168" s="36">
        <v>2.27</v>
      </c>
      <c r="U168" s="21">
        <f t="shared" si="1"/>
        <v>2270</v>
      </c>
      <c r="V168" s="21">
        <f t="shared" si="3"/>
        <v>0</v>
      </c>
    </row>
    <row r="169" ht="14.25" customHeight="1">
      <c r="A169" s="38">
        <v>0.41180555555555554</v>
      </c>
      <c r="B169" s="36">
        <v>156.0</v>
      </c>
      <c r="C169" s="36">
        <v>15.8</v>
      </c>
      <c r="D169" s="36">
        <v>1584.0</v>
      </c>
      <c r="E169" s="36">
        <v>1661.0</v>
      </c>
      <c r="F169" s="36">
        <v>1.05</v>
      </c>
      <c r="G169" s="36">
        <v>26.0</v>
      </c>
      <c r="H169" s="36">
        <v>1.76</v>
      </c>
      <c r="I169" s="36">
        <v>46.4</v>
      </c>
      <c r="J169" s="36">
        <v>63.6</v>
      </c>
      <c r="K169" s="36">
        <v>114.0</v>
      </c>
      <c r="L169" s="36">
        <v>28.3</v>
      </c>
      <c r="M169" s="36">
        <v>105.0</v>
      </c>
      <c r="N169" s="36">
        <v>43.0</v>
      </c>
      <c r="O169" s="36">
        <v>26.0</v>
      </c>
      <c r="P169" s="36">
        <v>71.0</v>
      </c>
      <c r="Q169" s="36">
        <v>0.43</v>
      </c>
      <c r="R169" s="36">
        <v>0.97</v>
      </c>
      <c r="S169" s="36">
        <v>1.31</v>
      </c>
      <c r="T169" s="36">
        <v>2.27</v>
      </c>
      <c r="U169" s="21">
        <f t="shared" si="1"/>
        <v>2270</v>
      </c>
      <c r="V169" s="21">
        <f t="shared" si="3"/>
        <v>400</v>
      </c>
    </row>
    <row r="170" ht="14.25" customHeight="1">
      <c r="A170" s="38">
        <v>0.4131944444444444</v>
      </c>
      <c r="B170" s="36">
        <v>157.0</v>
      </c>
      <c r="C170" s="36">
        <v>15.9</v>
      </c>
      <c r="D170" s="36">
        <v>1585.0</v>
      </c>
      <c r="E170" s="36">
        <v>1672.0</v>
      </c>
      <c r="F170" s="36">
        <v>1.05</v>
      </c>
      <c r="G170" s="36">
        <v>27.0</v>
      </c>
      <c r="H170" s="36">
        <v>1.75</v>
      </c>
      <c r="I170" s="36">
        <v>46.8</v>
      </c>
      <c r="J170" s="36">
        <v>63.3</v>
      </c>
      <c r="K170" s="36">
        <v>114.0</v>
      </c>
      <c r="L170" s="36">
        <v>28.3</v>
      </c>
      <c r="M170" s="36">
        <v>105.0</v>
      </c>
      <c r="N170" s="36">
        <v>43.0</v>
      </c>
      <c r="O170" s="36">
        <v>27.0</v>
      </c>
      <c r="P170" s="36">
        <v>71.0</v>
      </c>
      <c r="Q170" s="36">
        <v>0.43</v>
      </c>
      <c r="R170" s="36">
        <v>0.97</v>
      </c>
      <c r="S170" s="36">
        <v>1.27</v>
      </c>
      <c r="T170" s="36">
        <v>2.25</v>
      </c>
      <c r="U170" s="21">
        <f t="shared" si="1"/>
        <v>2250</v>
      </c>
      <c r="V170" s="21">
        <f t="shared" si="3"/>
        <v>6400</v>
      </c>
    </row>
    <row r="171" ht="14.25" customHeight="1">
      <c r="A171" s="38">
        <v>0.41458333333333336</v>
      </c>
      <c r="B171" s="36">
        <v>158.0</v>
      </c>
      <c r="C171" s="36">
        <v>16.3</v>
      </c>
      <c r="D171" s="36">
        <v>1628.0</v>
      </c>
      <c r="E171" s="36">
        <v>1719.0</v>
      </c>
      <c r="F171" s="36">
        <v>1.06</v>
      </c>
      <c r="G171" s="36">
        <v>28.0</v>
      </c>
      <c r="H171" s="36">
        <v>1.75</v>
      </c>
      <c r="I171" s="36">
        <v>48.3</v>
      </c>
      <c r="J171" s="36">
        <v>62.1</v>
      </c>
      <c r="K171" s="36">
        <v>114.0</v>
      </c>
      <c r="L171" s="36">
        <v>28.2</v>
      </c>
      <c r="M171" s="36">
        <v>105.0</v>
      </c>
      <c r="N171" s="36">
        <v>43.0</v>
      </c>
      <c r="O171" s="36">
        <v>28.0</v>
      </c>
      <c r="P171" s="36">
        <v>73.0</v>
      </c>
      <c r="Q171" s="36">
        <v>0.44</v>
      </c>
      <c r="R171" s="36">
        <v>0.95</v>
      </c>
      <c r="S171" s="36">
        <v>1.22</v>
      </c>
      <c r="T171" s="36">
        <v>2.17</v>
      </c>
      <c r="U171" s="21">
        <f t="shared" si="1"/>
        <v>2170</v>
      </c>
      <c r="V171" s="21">
        <f t="shared" si="3"/>
        <v>100</v>
      </c>
    </row>
    <row r="172" ht="14.25" customHeight="1">
      <c r="A172" s="38">
        <v>0.4166666666666667</v>
      </c>
      <c r="B172" s="36">
        <v>159.0</v>
      </c>
      <c r="C172" s="36">
        <v>15.9</v>
      </c>
      <c r="D172" s="36">
        <v>1591.0</v>
      </c>
      <c r="E172" s="36">
        <v>1677.0</v>
      </c>
      <c r="F172" s="36">
        <v>1.05</v>
      </c>
      <c r="G172" s="36">
        <v>28.0</v>
      </c>
      <c r="H172" s="36">
        <v>1.69</v>
      </c>
      <c r="I172" s="36">
        <v>46.8</v>
      </c>
      <c r="J172" s="36">
        <v>63.3</v>
      </c>
      <c r="K172" s="36">
        <v>114.0</v>
      </c>
      <c r="L172" s="36">
        <v>28.0</v>
      </c>
      <c r="M172" s="36">
        <v>105.0</v>
      </c>
      <c r="N172" s="36">
        <v>43.0</v>
      </c>
      <c r="O172" s="36">
        <v>28.0</v>
      </c>
      <c r="P172" s="36">
        <v>72.0</v>
      </c>
      <c r="Q172" s="36">
        <v>0.43</v>
      </c>
      <c r="R172" s="36">
        <v>0.94</v>
      </c>
      <c r="S172" s="36">
        <v>1.22</v>
      </c>
      <c r="T172" s="36">
        <v>2.16</v>
      </c>
      <c r="U172" s="21">
        <f t="shared" si="1"/>
        <v>2160</v>
      </c>
      <c r="V172" s="21">
        <f t="shared" si="3"/>
        <v>900</v>
      </c>
    </row>
    <row r="173" ht="14.25" customHeight="1">
      <c r="A173" s="38">
        <v>0.41805555555555557</v>
      </c>
      <c r="B173" s="36">
        <v>159.0</v>
      </c>
      <c r="C173" s="36">
        <v>16.1</v>
      </c>
      <c r="D173" s="36">
        <v>1607.0</v>
      </c>
      <c r="E173" s="36">
        <v>1677.0</v>
      </c>
      <c r="F173" s="36">
        <v>1.04</v>
      </c>
      <c r="G173" s="36">
        <v>27.0</v>
      </c>
      <c r="H173" s="36">
        <v>1.7</v>
      </c>
      <c r="I173" s="36">
        <v>46.5</v>
      </c>
      <c r="J173" s="36">
        <v>63.6</v>
      </c>
      <c r="K173" s="36">
        <v>115.0</v>
      </c>
      <c r="L173" s="36">
        <v>27.7</v>
      </c>
      <c r="M173" s="36">
        <v>105.0</v>
      </c>
      <c r="N173" s="36">
        <v>44.0</v>
      </c>
      <c r="O173" s="36">
        <v>27.0</v>
      </c>
      <c r="P173" s="36">
        <v>72.0</v>
      </c>
      <c r="Q173" s="36">
        <v>0.45</v>
      </c>
      <c r="R173" s="36">
        <v>0.99</v>
      </c>
      <c r="S173" s="36">
        <v>1.2</v>
      </c>
      <c r="T173" s="36">
        <v>2.19</v>
      </c>
      <c r="U173" s="21">
        <f t="shared" si="1"/>
        <v>2190</v>
      </c>
      <c r="V173" s="21">
        <f t="shared" si="3"/>
        <v>3600</v>
      </c>
    </row>
    <row r="174" ht="14.25" customHeight="1">
      <c r="A174" s="38">
        <v>0.4201388888888889</v>
      </c>
      <c r="B174" s="36">
        <v>160.0</v>
      </c>
      <c r="C174" s="36">
        <v>16.4</v>
      </c>
      <c r="D174" s="36">
        <v>1635.0</v>
      </c>
      <c r="E174" s="36">
        <v>1699.0</v>
      </c>
      <c r="F174" s="36">
        <v>1.04</v>
      </c>
      <c r="G174" s="36">
        <v>27.0</v>
      </c>
      <c r="H174" s="36">
        <v>1.75</v>
      </c>
      <c r="I174" s="36">
        <v>46.5</v>
      </c>
      <c r="J174" s="36">
        <v>63.5</v>
      </c>
      <c r="K174" s="36">
        <v>115.0</v>
      </c>
      <c r="L174" s="36">
        <v>27.9</v>
      </c>
      <c r="M174" s="36">
        <v>104.0</v>
      </c>
      <c r="N174" s="36">
        <v>44.0</v>
      </c>
      <c r="O174" s="36">
        <v>27.0</v>
      </c>
      <c r="P174" s="36">
        <v>74.0</v>
      </c>
      <c r="Q174" s="36">
        <v>0.44</v>
      </c>
      <c r="R174" s="36">
        <v>0.99</v>
      </c>
      <c r="S174" s="36">
        <v>1.26</v>
      </c>
      <c r="T174" s="36">
        <v>2.25</v>
      </c>
      <c r="U174" s="21">
        <f t="shared" si="1"/>
        <v>2250</v>
      </c>
      <c r="V174" s="21">
        <f t="shared" si="3"/>
        <v>100</v>
      </c>
    </row>
    <row r="175" ht="14.25" customHeight="1">
      <c r="A175" s="38">
        <v>0.4222222222222222</v>
      </c>
      <c r="B175" s="36">
        <v>161.0</v>
      </c>
      <c r="C175" s="36">
        <v>16.7</v>
      </c>
      <c r="D175" s="36">
        <v>1671.0</v>
      </c>
      <c r="E175" s="36">
        <v>1739.0</v>
      </c>
      <c r="F175" s="36">
        <v>1.04</v>
      </c>
      <c r="G175" s="36">
        <v>27.0</v>
      </c>
      <c r="H175" s="36">
        <v>1.81</v>
      </c>
      <c r="I175" s="36">
        <v>47.9</v>
      </c>
      <c r="J175" s="36">
        <v>62.4</v>
      </c>
      <c r="K175" s="36">
        <v>116.0</v>
      </c>
      <c r="L175" s="36">
        <v>27.0</v>
      </c>
      <c r="M175" s="36">
        <v>104.0</v>
      </c>
      <c r="N175" s="36">
        <v>44.0</v>
      </c>
      <c r="O175" s="36">
        <v>27.0</v>
      </c>
      <c r="P175" s="36">
        <v>75.0</v>
      </c>
      <c r="Q175" s="36">
        <v>0.45</v>
      </c>
      <c r="R175" s="36">
        <v>1.01</v>
      </c>
      <c r="S175" s="36">
        <v>1.25</v>
      </c>
      <c r="T175" s="36">
        <v>2.26</v>
      </c>
      <c r="U175" s="21">
        <f t="shared" si="1"/>
        <v>2260</v>
      </c>
      <c r="V175" s="21">
        <f t="shared" si="3"/>
        <v>6400</v>
      </c>
    </row>
    <row r="176" ht="14.25" customHeight="1">
      <c r="A176" s="38">
        <v>0.4236111111111111</v>
      </c>
      <c r="B176" s="36">
        <v>162.0</v>
      </c>
      <c r="C176" s="36">
        <v>16.7</v>
      </c>
      <c r="D176" s="36">
        <v>1666.0</v>
      </c>
      <c r="E176" s="36">
        <v>1737.0</v>
      </c>
      <c r="F176" s="36">
        <v>1.04</v>
      </c>
      <c r="G176" s="36">
        <v>27.0</v>
      </c>
      <c r="H176" s="36">
        <v>1.84</v>
      </c>
      <c r="I176" s="36">
        <v>47.4</v>
      </c>
      <c r="J176" s="36">
        <v>62.9</v>
      </c>
      <c r="K176" s="36">
        <v>116.0</v>
      </c>
      <c r="L176" s="36">
        <v>27.0</v>
      </c>
      <c r="M176" s="36">
        <v>104.0</v>
      </c>
      <c r="N176" s="36">
        <v>44.0</v>
      </c>
      <c r="O176" s="36">
        <v>26.0</v>
      </c>
      <c r="P176" s="36">
        <v>75.0</v>
      </c>
      <c r="Q176" s="36">
        <v>0.46</v>
      </c>
      <c r="R176" s="36">
        <v>1.07</v>
      </c>
      <c r="S176" s="36">
        <v>1.27</v>
      </c>
      <c r="T176" s="36">
        <v>2.34</v>
      </c>
      <c r="U176" s="21">
        <f t="shared" si="1"/>
        <v>2340</v>
      </c>
      <c r="V176" s="21">
        <f t="shared" si="3"/>
        <v>2500</v>
      </c>
    </row>
    <row r="177" ht="14.25" customHeight="1">
      <c r="A177" s="38">
        <v>0.425</v>
      </c>
      <c r="B177" s="36">
        <v>163.0</v>
      </c>
      <c r="C177" s="36">
        <v>16.9</v>
      </c>
      <c r="D177" s="36">
        <v>1694.0</v>
      </c>
      <c r="E177" s="36">
        <v>1773.0</v>
      </c>
      <c r="F177" s="36">
        <v>1.05</v>
      </c>
      <c r="G177" s="36">
        <v>27.0</v>
      </c>
      <c r="H177" s="36">
        <v>1.92</v>
      </c>
      <c r="I177" s="36">
        <v>48.4</v>
      </c>
      <c r="J177" s="36">
        <v>62.1</v>
      </c>
      <c r="K177" s="36">
        <v>116.0</v>
      </c>
      <c r="L177" s="36">
        <v>26.7</v>
      </c>
      <c r="M177" s="36">
        <v>104.0</v>
      </c>
      <c r="N177" s="36">
        <v>44.0</v>
      </c>
      <c r="O177" s="36">
        <v>25.0</v>
      </c>
      <c r="P177" s="36">
        <v>76.0</v>
      </c>
      <c r="Q177" s="36">
        <v>0.45</v>
      </c>
      <c r="R177" s="36">
        <v>1.08</v>
      </c>
      <c r="S177" s="36">
        <v>1.31</v>
      </c>
      <c r="T177" s="36">
        <v>2.39</v>
      </c>
      <c r="U177" s="21">
        <f t="shared" si="1"/>
        <v>2390</v>
      </c>
      <c r="V177" s="21">
        <f t="shared" si="3"/>
        <v>28900</v>
      </c>
    </row>
    <row r="178" ht="14.25" customHeight="1">
      <c r="A178" s="38">
        <v>0.4270833333333333</v>
      </c>
      <c r="B178" s="36">
        <v>163.0</v>
      </c>
      <c r="C178" s="36">
        <v>17.2</v>
      </c>
      <c r="D178" s="36">
        <v>1724.0</v>
      </c>
      <c r="E178" s="36">
        <v>1812.0</v>
      </c>
      <c r="F178" s="36">
        <v>1.05</v>
      </c>
      <c r="G178" s="36">
        <v>27.0</v>
      </c>
      <c r="H178" s="36">
        <v>2.09</v>
      </c>
      <c r="I178" s="36">
        <v>49.1</v>
      </c>
      <c r="J178" s="36">
        <v>61.5</v>
      </c>
      <c r="K178" s="36">
        <v>117.0</v>
      </c>
      <c r="L178" s="36">
        <v>26.5</v>
      </c>
      <c r="M178" s="36">
        <v>104.0</v>
      </c>
      <c r="N178" s="36">
        <v>44.0</v>
      </c>
      <c r="O178" s="36">
        <v>23.0</v>
      </c>
      <c r="P178" s="36">
        <v>78.0</v>
      </c>
      <c r="Q178" s="36">
        <v>0.46</v>
      </c>
      <c r="R178" s="36">
        <v>1.17</v>
      </c>
      <c r="S178" s="36">
        <v>1.39</v>
      </c>
      <c r="T178" s="36">
        <v>2.56</v>
      </c>
      <c r="U178" s="21">
        <f t="shared" si="1"/>
        <v>2560</v>
      </c>
      <c r="V178" s="21">
        <f t="shared" si="3"/>
        <v>400</v>
      </c>
    </row>
    <row r="179" ht="14.25" customHeight="1">
      <c r="A179" s="38">
        <v>0.4284722222222222</v>
      </c>
      <c r="B179" s="36">
        <v>164.0</v>
      </c>
      <c r="C179" s="36">
        <v>17.5</v>
      </c>
      <c r="D179" s="36">
        <v>1748.0</v>
      </c>
      <c r="E179" s="36">
        <v>1856.0</v>
      </c>
      <c r="F179" s="36">
        <v>1.06</v>
      </c>
      <c r="G179" s="36">
        <v>27.0</v>
      </c>
      <c r="H179" s="36">
        <v>2.15</v>
      </c>
      <c r="I179" s="36">
        <v>50.8</v>
      </c>
      <c r="J179" s="36">
        <v>60.2</v>
      </c>
      <c r="K179" s="36">
        <v>117.0</v>
      </c>
      <c r="L179" s="36">
        <v>26.5</v>
      </c>
      <c r="M179" s="36">
        <v>104.0</v>
      </c>
      <c r="N179" s="36">
        <v>44.0</v>
      </c>
      <c r="O179" s="36">
        <v>24.0</v>
      </c>
      <c r="P179" s="36">
        <v>79.0</v>
      </c>
      <c r="Q179" s="36">
        <v>0.45</v>
      </c>
      <c r="R179" s="36">
        <v>1.14</v>
      </c>
      <c r="S179" s="36">
        <v>1.4</v>
      </c>
      <c r="T179" s="36">
        <v>2.54</v>
      </c>
      <c r="U179" s="21">
        <f t="shared" si="1"/>
        <v>2540</v>
      </c>
      <c r="V179" s="21">
        <f t="shared" si="3"/>
        <v>2500</v>
      </c>
    </row>
    <row r="180" ht="14.25" customHeight="1">
      <c r="A180" s="38">
        <v>0.42986111111111114</v>
      </c>
      <c r="B180" s="36">
        <v>165.0</v>
      </c>
      <c r="C180" s="36">
        <v>17.6</v>
      </c>
      <c r="D180" s="36">
        <v>1759.0</v>
      </c>
      <c r="E180" s="36">
        <v>1877.0</v>
      </c>
      <c r="F180" s="36">
        <v>1.07</v>
      </c>
      <c r="G180" s="36">
        <v>27.0</v>
      </c>
      <c r="H180" s="36">
        <v>2.15</v>
      </c>
      <c r="I180" s="36">
        <v>51.7</v>
      </c>
      <c r="J180" s="36">
        <v>59.5</v>
      </c>
      <c r="K180" s="36">
        <v>117.0</v>
      </c>
      <c r="L180" s="36">
        <v>26.3</v>
      </c>
      <c r="M180" s="36">
        <v>105.0</v>
      </c>
      <c r="N180" s="36">
        <v>44.0</v>
      </c>
      <c r="O180" s="36">
        <v>24.0</v>
      </c>
      <c r="P180" s="36">
        <v>79.0</v>
      </c>
      <c r="Q180" s="36">
        <v>0.44</v>
      </c>
      <c r="R180" s="36">
        <v>1.11</v>
      </c>
      <c r="S180" s="36">
        <v>1.38</v>
      </c>
      <c r="T180" s="36">
        <v>2.49</v>
      </c>
      <c r="U180" s="21">
        <f t="shared" si="1"/>
        <v>2490</v>
      </c>
      <c r="V180" s="21">
        <f t="shared" si="3"/>
        <v>6400</v>
      </c>
    </row>
    <row r="181" ht="14.25" customHeight="1">
      <c r="A181" s="38">
        <v>0.43125</v>
      </c>
      <c r="B181" s="36">
        <v>166.0</v>
      </c>
      <c r="C181" s="36">
        <v>17.8</v>
      </c>
      <c r="D181" s="36">
        <v>1779.0</v>
      </c>
      <c r="E181" s="36">
        <v>1919.0</v>
      </c>
      <c r="F181" s="36">
        <v>1.08</v>
      </c>
      <c r="G181" s="36">
        <v>27.0</v>
      </c>
      <c r="H181" s="36">
        <v>2.15</v>
      </c>
      <c r="I181" s="36">
        <v>53.5</v>
      </c>
      <c r="J181" s="36">
        <v>58.1</v>
      </c>
      <c r="K181" s="36">
        <v>117.0</v>
      </c>
      <c r="L181" s="36">
        <v>26.3</v>
      </c>
      <c r="M181" s="36">
        <v>106.0</v>
      </c>
      <c r="N181" s="36">
        <v>43.0</v>
      </c>
      <c r="O181" s="36">
        <v>25.0</v>
      </c>
      <c r="P181" s="36">
        <v>80.0</v>
      </c>
      <c r="Q181" s="36">
        <v>0.46</v>
      </c>
      <c r="R181" s="36">
        <v>1.11</v>
      </c>
      <c r="S181" s="36">
        <v>1.3</v>
      </c>
      <c r="T181" s="36">
        <v>2.41</v>
      </c>
      <c r="U181" s="21">
        <f t="shared" si="1"/>
        <v>2410</v>
      </c>
      <c r="V181" s="21">
        <f t="shared" si="3"/>
        <v>25600</v>
      </c>
    </row>
    <row r="182" ht="14.25" customHeight="1">
      <c r="A182" s="38">
        <v>0.4326388888888889</v>
      </c>
      <c r="B182" s="36">
        <v>166.0</v>
      </c>
      <c r="C182" s="36">
        <v>17.6</v>
      </c>
      <c r="D182" s="36">
        <v>1758.0</v>
      </c>
      <c r="E182" s="36">
        <v>1910.0</v>
      </c>
      <c r="F182" s="36">
        <v>1.09</v>
      </c>
      <c r="G182" s="36">
        <v>27.0</v>
      </c>
      <c r="H182" s="36">
        <v>2.0</v>
      </c>
      <c r="I182" s="36">
        <v>53.4</v>
      </c>
      <c r="J182" s="36">
        <v>58.2</v>
      </c>
      <c r="K182" s="36">
        <v>118.0</v>
      </c>
      <c r="L182" s="36">
        <v>25.7</v>
      </c>
      <c r="M182" s="36">
        <v>106.0</v>
      </c>
      <c r="N182" s="36">
        <v>43.0</v>
      </c>
      <c r="O182" s="36">
        <v>27.0</v>
      </c>
      <c r="P182" s="36">
        <v>79.0</v>
      </c>
      <c r="Q182" s="36">
        <v>0.45</v>
      </c>
      <c r="R182" s="36">
        <v>1.02</v>
      </c>
      <c r="S182" s="36">
        <v>1.23</v>
      </c>
      <c r="T182" s="36">
        <v>2.25</v>
      </c>
      <c r="U182" s="21">
        <f t="shared" si="1"/>
        <v>2250</v>
      </c>
      <c r="V182" s="21">
        <f t="shared" si="3"/>
        <v>100</v>
      </c>
    </row>
    <row r="183" ht="14.25" customHeight="1">
      <c r="A183" s="38">
        <v>0.43472222222222223</v>
      </c>
      <c r="B183" s="36">
        <v>167.0</v>
      </c>
      <c r="C183" s="36">
        <v>17.9</v>
      </c>
      <c r="D183" s="36">
        <v>1787.0</v>
      </c>
      <c r="E183" s="36">
        <v>1945.0</v>
      </c>
      <c r="F183" s="36">
        <v>1.09</v>
      </c>
      <c r="G183" s="36">
        <v>27.0</v>
      </c>
      <c r="H183" s="36">
        <v>2.03</v>
      </c>
      <c r="I183" s="36">
        <v>54.6</v>
      </c>
      <c r="J183" s="36">
        <v>57.2</v>
      </c>
      <c r="K183" s="36">
        <v>118.0</v>
      </c>
      <c r="L183" s="36">
        <v>25.6</v>
      </c>
      <c r="M183" s="36">
        <v>106.0</v>
      </c>
      <c r="N183" s="36">
        <v>43.0</v>
      </c>
      <c r="O183" s="36">
        <v>27.0</v>
      </c>
      <c r="P183" s="36">
        <v>80.0</v>
      </c>
      <c r="Q183" s="36">
        <v>0.45</v>
      </c>
      <c r="R183" s="36">
        <v>1.01</v>
      </c>
      <c r="S183" s="36">
        <v>1.23</v>
      </c>
      <c r="T183" s="36">
        <v>2.24</v>
      </c>
      <c r="U183" s="21">
        <f t="shared" si="1"/>
        <v>2240</v>
      </c>
      <c r="V183" s="21">
        <f t="shared" si="3"/>
        <v>1600</v>
      </c>
    </row>
    <row r="184" ht="14.25" customHeight="1">
      <c r="A184" s="38">
        <v>0.4361111111111111</v>
      </c>
      <c r="B184" s="36">
        <v>168.0</v>
      </c>
      <c r="C184" s="36">
        <v>18.2</v>
      </c>
      <c r="D184" s="36">
        <v>1818.0</v>
      </c>
      <c r="E184" s="36">
        <v>1983.0</v>
      </c>
      <c r="F184" s="36">
        <v>1.09</v>
      </c>
      <c r="G184" s="36">
        <v>27.0</v>
      </c>
      <c r="H184" s="36">
        <v>2.04</v>
      </c>
      <c r="I184" s="36">
        <v>55.8</v>
      </c>
      <c r="J184" s="36">
        <v>56.3</v>
      </c>
      <c r="K184" s="36">
        <v>118.0</v>
      </c>
      <c r="L184" s="36">
        <v>25.6</v>
      </c>
      <c r="M184" s="36">
        <v>107.0</v>
      </c>
      <c r="N184" s="36">
        <v>43.0</v>
      </c>
      <c r="O184" s="36">
        <v>27.0</v>
      </c>
      <c r="P184" s="36">
        <v>82.0</v>
      </c>
      <c r="Q184" s="36">
        <v>0.45</v>
      </c>
      <c r="R184" s="36">
        <v>0.98</v>
      </c>
      <c r="S184" s="36">
        <v>1.21</v>
      </c>
      <c r="T184" s="36">
        <v>2.2</v>
      </c>
      <c r="U184" s="21">
        <f t="shared" si="1"/>
        <v>2200</v>
      </c>
      <c r="V184" s="21">
        <f t="shared" si="3"/>
        <v>900</v>
      </c>
    </row>
    <row r="185" ht="14.25" customHeight="1">
      <c r="A185" s="38">
        <v>0.4375</v>
      </c>
      <c r="B185" s="36">
        <v>169.0</v>
      </c>
      <c r="C185" s="36">
        <v>18.0</v>
      </c>
      <c r="D185" s="36">
        <v>1805.0</v>
      </c>
      <c r="E185" s="36">
        <v>1978.0</v>
      </c>
      <c r="F185" s="36">
        <v>1.1</v>
      </c>
      <c r="G185" s="36">
        <v>27.0</v>
      </c>
      <c r="H185" s="36">
        <v>2.08</v>
      </c>
      <c r="I185" s="36">
        <v>55.9</v>
      </c>
      <c r="J185" s="36">
        <v>56.2</v>
      </c>
      <c r="K185" s="36">
        <v>118.0</v>
      </c>
      <c r="L185" s="36">
        <v>25.6</v>
      </c>
      <c r="M185" s="36">
        <v>107.0</v>
      </c>
      <c r="N185" s="36">
        <v>43.0</v>
      </c>
      <c r="O185" s="36">
        <v>27.0</v>
      </c>
      <c r="P185" s="36">
        <v>81.0</v>
      </c>
      <c r="Q185" s="36">
        <v>0.45</v>
      </c>
      <c r="R185" s="36">
        <v>1.0</v>
      </c>
      <c r="S185" s="36">
        <v>1.23</v>
      </c>
      <c r="T185" s="36">
        <v>2.23</v>
      </c>
      <c r="U185" s="21">
        <f t="shared" si="1"/>
        <v>2230</v>
      </c>
      <c r="V185" s="21">
        <f t="shared" si="3"/>
        <v>1600</v>
      </c>
    </row>
    <row r="186" ht="14.25" customHeight="1">
      <c r="A186" s="38">
        <v>0.4388888888888889</v>
      </c>
      <c r="B186" s="36">
        <v>169.0</v>
      </c>
      <c r="C186" s="36">
        <v>18.3</v>
      </c>
      <c r="D186" s="36">
        <v>1830.0</v>
      </c>
      <c r="E186" s="36">
        <v>2006.0</v>
      </c>
      <c r="F186" s="36">
        <v>1.1</v>
      </c>
      <c r="G186" s="36">
        <v>27.0</v>
      </c>
      <c r="H186" s="36">
        <v>2.08</v>
      </c>
      <c r="I186" s="36">
        <v>56.9</v>
      </c>
      <c r="J186" s="36">
        <v>55.4</v>
      </c>
      <c r="K186" s="36">
        <v>119.0</v>
      </c>
      <c r="L186" s="36">
        <v>25.4</v>
      </c>
      <c r="M186" s="36">
        <v>107.0</v>
      </c>
      <c r="N186" s="36">
        <v>43.0</v>
      </c>
      <c r="O186" s="36">
        <v>27.0</v>
      </c>
      <c r="P186" s="36">
        <v>82.0</v>
      </c>
      <c r="Q186" s="36">
        <v>0.45</v>
      </c>
      <c r="R186" s="36">
        <v>0.98</v>
      </c>
      <c r="S186" s="36">
        <v>1.21</v>
      </c>
      <c r="T186" s="36">
        <v>2.19</v>
      </c>
      <c r="U186" s="21">
        <f t="shared" si="1"/>
        <v>2190</v>
      </c>
      <c r="V186" s="21">
        <f t="shared" si="3"/>
        <v>0</v>
      </c>
    </row>
    <row r="187" ht="14.25" customHeight="1">
      <c r="A187" s="38">
        <v>0.44027777777777777</v>
      </c>
      <c r="B187" s="36">
        <v>170.0</v>
      </c>
      <c r="C187" s="36">
        <v>18.4</v>
      </c>
      <c r="D187" s="36">
        <v>1842.0</v>
      </c>
      <c r="E187" s="36">
        <v>2025.0</v>
      </c>
      <c r="F187" s="36">
        <v>1.1</v>
      </c>
      <c r="G187" s="36">
        <v>27.0</v>
      </c>
      <c r="H187" s="36">
        <v>2.11</v>
      </c>
      <c r="I187" s="36">
        <v>57.7</v>
      </c>
      <c r="J187" s="36">
        <v>54.8</v>
      </c>
      <c r="K187" s="36">
        <v>119.0</v>
      </c>
      <c r="L187" s="36">
        <v>25.4</v>
      </c>
      <c r="M187" s="36">
        <v>107.0</v>
      </c>
      <c r="N187" s="36">
        <v>42.0</v>
      </c>
      <c r="O187" s="36">
        <v>27.0</v>
      </c>
      <c r="P187" s="36">
        <v>83.0</v>
      </c>
      <c r="Q187" s="36">
        <v>0.44</v>
      </c>
      <c r="R187" s="36">
        <v>0.97</v>
      </c>
      <c r="S187" s="36">
        <v>1.22</v>
      </c>
      <c r="T187" s="36">
        <v>2.19</v>
      </c>
      <c r="U187" s="21">
        <f t="shared" si="1"/>
        <v>2190</v>
      </c>
      <c r="V187" s="21">
        <f t="shared" si="3"/>
        <v>0</v>
      </c>
    </row>
    <row r="188" ht="14.25" customHeight="1">
      <c r="A188" s="38">
        <v>0.4423611111111111</v>
      </c>
      <c r="B188" s="36">
        <v>171.0</v>
      </c>
      <c r="C188" s="36">
        <v>18.4</v>
      </c>
      <c r="D188" s="36">
        <v>1837.0</v>
      </c>
      <c r="E188" s="36">
        <v>2030.0</v>
      </c>
      <c r="F188" s="36">
        <v>1.1</v>
      </c>
      <c r="G188" s="36">
        <v>27.0</v>
      </c>
      <c r="H188" s="36">
        <v>2.1</v>
      </c>
      <c r="I188" s="36">
        <v>57.7</v>
      </c>
      <c r="J188" s="36">
        <v>54.8</v>
      </c>
      <c r="K188" s="36">
        <v>119.0</v>
      </c>
      <c r="L188" s="36">
        <v>25.4</v>
      </c>
      <c r="M188" s="36">
        <v>107.0</v>
      </c>
      <c r="N188" s="36">
        <v>42.0</v>
      </c>
      <c r="O188" s="36">
        <v>27.0</v>
      </c>
      <c r="P188" s="36">
        <v>83.0</v>
      </c>
      <c r="Q188" s="36">
        <v>0.44</v>
      </c>
      <c r="R188" s="36">
        <v>0.97</v>
      </c>
      <c r="S188" s="36">
        <v>1.22</v>
      </c>
      <c r="T188" s="36">
        <v>2.19</v>
      </c>
      <c r="U188" s="21">
        <f t="shared" si="1"/>
        <v>2190</v>
      </c>
      <c r="V188" s="21">
        <f t="shared" si="3"/>
        <v>400</v>
      </c>
    </row>
    <row r="189" ht="14.25" customHeight="1">
      <c r="A189" s="38">
        <v>0.44375</v>
      </c>
      <c r="B189" s="36">
        <v>171.0</v>
      </c>
      <c r="C189" s="36">
        <v>18.5</v>
      </c>
      <c r="D189" s="36">
        <v>1850.0</v>
      </c>
      <c r="E189" s="36">
        <v>2040.0</v>
      </c>
      <c r="F189" s="36">
        <v>1.1</v>
      </c>
      <c r="G189" s="36">
        <v>28.0</v>
      </c>
      <c r="H189" s="36">
        <v>2.1</v>
      </c>
      <c r="I189" s="36">
        <v>58.0</v>
      </c>
      <c r="J189" s="36">
        <v>54.6</v>
      </c>
      <c r="K189" s="36">
        <v>119.0</v>
      </c>
      <c r="L189" s="36">
        <v>25.4</v>
      </c>
      <c r="M189" s="36">
        <v>107.0</v>
      </c>
      <c r="N189" s="36">
        <v>43.0</v>
      </c>
      <c r="O189" s="36">
        <v>28.0</v>
      </c>
      <c r="P189" s="36">
        <v>83.0</v>
      </c>
      <c r="Q189" s="36">
        <v>0.44</v>
      </c>
      <c r="R189" s="36">
        <v>0.96</v>
      </c>
      <c r="S189" s="36">
        <v>1.22</v>
      </c>
      <c r="T189" s="36">
        <v>2.17</v>
      </c>
      <c r="U189" s="21">
        <f t="shared" si="1"/>
        <v>2170</v>
      </c>
      <c r="V189" s="21">
        <f t="shared" si="3"/>
        <v>0</v>
      </c>
    </row>
    <row r="190" ht="14.25" customHeight="1">
      <c r="A190" s="38">
        <v>0.44513888888888886</v>
      </c>
      <c r="B190" s="36">
        <v>172.0</v>
      </c>
      <c r="C190" s="36">
        <v>18.5</v>
      </c>
      <c r="D190" s="36">
        <v>1847.0</v>
      </c>
      <c r="E190" s="36">
        <v>2048.0</v>
      </c>
      <c r="F190" s="36">
        <v>1.11</v>
      </c>
      <c r="G190" s="36">
        <v>28.0</v>
      </c>
      <c r="H190" s="36">
        <v>2.1</v>
      </c>
      <c r="I190" s="36">
        <v>58.1</v>
      </c>
      <c r="J190" s="36">
        <v>54.4</v>
      </c>
      <c r="K190" s="36">
        <v>119.0</v>
      </c>
      <c r="L190" s="36">
        <v>25.4</v>
      </c>
      <c r="M190" s="36">
        <v>107.0</v>
      </c>
      <c r="N190" s="36">
        <v>43.0</v>
      </c>
      <c r="O190" s="36">
        <v>28.0</v>
      </c>
      <c r="P190" s="36">
        <v>83.0</v>
      </c>
      <c r="Q190" s="36">
        <v>0.44</v>
      </c>
      <c r="R190" s="36">
        <v>0.95</v>
      </c>
      <c r="S190" s="36">
        <v>1.22</v>
      </c>
      <c r="T190" s="36">
        <v>2.17</v>
      </c>
      <c r="U190" s="21">
        <f t="shared" si="1"/>
        <v>2170</v>
      </c>
      <c r="V190" s="21">
        <f t="shared" si="3"/>
        <v>100</v>
      </c>
    </row>
    <row r="191" ht="14.25" customHeight="1">
      <c r="A191" s="38">
        <v>0.4465277777777778</v>
      </c>
      <c r="B191" s="36">
        <v>173.0</v>
      </c>
      <c r="C191" s="36">
        <v>18.4</v>
      </c>
      <c r="D191" s="36">
        <v>1844.0</v>
      </c>
      <c r="E191" s="36">
        <v>2060.0</v>
      </c>
      <c r="F191" s="36">
        <v>1.12</v>
      </c>
      <c r="G191" s="36">
        <v>27.0</v>
      </c>
      <c r="H191" s="36">
        <v>2.13</v>
      </c>
      <c r="I191" s="36">
        <v>58.6</v>
      </c>
      <c r="J191" s="36">
        <v>54.1</v>
      </c>
      <c r="K191" s="36">
        <v>118.0</v>
      </c>
      <c r="L191" s="36">
        <v>25.6</v>
      </c>
      <c r="M191" s="36">
        <v>108.0</v>
      </c>
      <c r="N191" s="36">
        <v>43.0</v>
      </c>
      <c r="O191" s="36">
        <v>27.0</v>
      </c>
      <c r="P191" s="36">
        <v>83.0</v>
      </c>
      <c r="Q191" s="36">
        <v>0.44</v>
      </c>
      <c r="R191" s="36">
        <v>0.95</v>
      </c>
      <c r="S191" s="36">
        <v>1.23</v>
      </c>
      <c r="T191" s="36">
        <v>2.18</v>
      </c>
      <c r="U191" s="21">
        <f t="shared" si="1"/>
        <v>2180</v>
      </c>
      <c r="V191" s="21">
        <f t="shared" si="3"/>
        <v>2500</v>
      </c>
    </row>
    <row r="192" ht="14.25" customHeight="1">
      <c r="A192" s="38">
        <v>0.4479166666666667</v>
      </c>
      <c r="B192" s="36">
        <v>174.0</v>
      </c>
      <c r="C192" s="36">
        <v>18.6</v>
      </c>
      <c r="D192" s="36">
        <v>1859.0</v>
      </c>
      <c r="E192" s="36">
        <v>2088.0</v>
      </c>
      <c r="F192" s="36">
        <v>1.12</v>
      </c>
      <c r="G192" s="36">
        <v>28.0</v>
      </c>
      <c r="H192" s="36">
        <v>2.1</v>
      </c>
      <c r="I192" s="36">
        <v>59.3</v>
      </c>
      <c r="J192" s="36">
        <v>53.5</v>
      </c>
      <c r="K192" s="36">
        <v>119.0</v>
      </c>
      <c r="L192" s="36">
        <v>25.0</v>
      </c>
      <c r="M192" s="36">
        <v>108.0</v>
      </c>
      <c r="N192" s="36">
        <v>42.0</v>
      </c>
      <c r="O192" s="36">
        <v>28.0</v>
      </c>
      <c r="P192" s="36">
        <v>84.0</v>
      </c>
      <c r="Q192" s="36">
        <v>0.44</v>
      </c>
      <c r="R192" s="36">
        <v>0.94</v>
      </c>
      <c r="S192" s="36">
        <v>1.19</v>
      </c>
      <c r="T192" s="36">
        <v>2.13</v>
      </c>
      <c r="U192" s="21">
        <f t="shared" si="1"/>
        <v>2130</v>
      </c>
      <c r="V192" s="21">
        <f t="shared" si="3"/>
        <v>0</v>
      </c>
    </row>
    <row r="193" ht="14.25" customHeight="1">
      <c r="A193" s="38">
        <v>0.44930555555555557</v>
      </c>
      <c r="B193" s="36">
        <v>174.0</v>
      </c>
      <c r="C193" s="36">
        <v>18.6</v>
      </c>
      <c r="D193" s="36">
        <v>1860.0</v>
      </c>
      <c r="E193" s="36">
        <v>2072.0</v>
      </c>
      <c r="F193" s="36">
        <v>1.11</v>
      </c>
      <c r="G193" s="36">
        <v>28.0</v>
      </c>
      <c r="H193" s="36">
        <v>2.08</v>
      </c>
      <c r="I193" s="36">
        <v>58.4</v>
      </c>
      <c r="J193" s="36">
        <v>54.2</v>
      </c>
      <c r="K193" s="36">
        <v>119.0</v>
      </c>
      <c r="L193" s="36">
        <v>25.0</v>
      </c>
      <c r="M193" s="36">
        <v>108.0</v>
      </c>
      <c r="N193" s="36">
        <v>43.0</v>
      </c>
      <c r="O193" s="36">
        <v>28.0</v>
      </c>
      <c r="P193" s="36">
        <v>84.0</v>
      </c>
      <c r="Q193" s="36">
        <v>0.44</v>
      </c>
      <c r="R193" s="36">
        <v>0.94</v>
      </c>
      <c r="S193" s="36">
        <v>1.2</v>
      </c>
      <c r="T193" s="36">
        <v>2.13</v>
      </c>
      <c r="U193" s="21">
        <f t="shared" si="1"/>
        <v>2130</v>
      </c>
      <c r="V193" s="21">
        <f t="shared" si="3"/>
        <v>100</v>
      </c>
    </row>
    <row r="194" ht="14.25" customHeight="1">
      <c r="A194" s="38">
        <v>0.45069444444444445</v>
      </c>
      <c r="B194" s="36">
        <v>175.0</v>
      </c>
      <c r="C194" s="36">
        <v>18.8</v>
      </c>
      <c r="D194" s="36">
        <v>1880.0</v>
      </c>
      <c r="E194" s="36">
        <v>2095.0</v>
      </c>
      <c r="F194" s="36">
        <v>1.11</v>
      </c>
      <c r="G194" s="36">
        <v>28.0</v>
      </c>
      <c r="H194" s="36">
        <v>2.1</v>
      </c>
      <c r="I194" s="36">
        <v>59.0</v>
      </c>
      <c r="J194" s="36">
        <v>53.8</v>
      </c>
      <c r="K194" s="36">
        <v>119.0</v>
      </c>
      <c r="L194" s="36">
        <v>25.0</v>
      </c>
      <c r="M194" s="36">
        <v>107.0</v>
      </c>
      <c r="N194" s="36">
        <v>43.0</v>
      </c>
      <c r="O194" s="36">
        <v>28.0</v>
      </c>
      <c r="P194" s="36">
        <v>85.0</v>
      </c>
      <c r="Q194" s="36">
        <v>0.46</v>
      </c>
      <c r="R194" s="36">
        <v>0.98</v>
      </c>
      <c r="S194" s="36">
        <v>1.16</v>
      </c>
      <c r="T194" s="36">
        <v>2.14</v>
      </c>
      <c r="U194" s="21">
        <f t="shared" si="1"/>
        <v>2140</v>
      </c>
      <c r="V194" s="21">
        <f t="shared" si="3"/>
        <v>0</v>
      </c>
    </row>
    <row r="195" ht="14.25" customHeight="1">
      <c r="A195" s="38">
        <v>0.4527777777777778</v>
      </c>
      <c r="B195" s="36">
        <v>176.0</v>
      </c>
      <c r="C195" s="36">
        <v>18.8</v>
      </c>
      <c r="D195" s="36">
        <v>1880.0</v>
      </c>
      <c r="E195" s="36">
        <v>2095.0</v>
      </c>
      <c r="F195" s="36">
        <v>1.11</v>
      </c>
      <c r="G195" s="36">
        <v>28.0</v>
      </c>
      <c r="H195" s="36">
        <v>2.1</v>
      </c>
      <c r="I195" s="36">
        <v>59.0</v>
      </c>
      <c r="J195" s="36">
        <v>53.8</v>
      </c>
      <c r="K195" s="36">
        <v>120.0</v>
      </c>
      <c r="L195" s="36">
        <v>24.7</v>
      </c>
      <c r="M195" s="36">
        <v>107.0</v>
      </c>
      <c r="N195" s="36">
        <v>43.0</v>
      </c>
      <c r="O195" s="36">
        <v>28.0</v>
      </c>
      <c r="P195" s="36">
        <v>85.0</v>
      </c>
      <c r="Q195" s="36">
        <v>0.46</v>
      </c>
      <c r="R195" s="36">
        <v>0.98</v>
      </c>
      <c r="S195" s="36">
        <v>1.16</v>
      </c>
      <c r="T195" s="36">
        <v>2.14</v>
      </c>
      <c r="U195" s="21">
        <f t="shared" si="1"/>
        <v>2140</v>
      </c>
      <c r="V195" s="21">
        <f t="shared" si="3"/>
        <v>100</v>
      </c>
    </row>
    <row r="196" ht="14.25" customHeight="1">
      <c r="A196" s="38">
        <v>0.45416666666666666</v>
      </c>
      <c r="B196" s="36">
        <v>176.0</v>
      </c>
      <c r="C196" s="36">
        <v>19.0</v>
      </c>
      <c r="D196" s="36">
        <v>1901.0</v>
      </c>
      <c r="E196" s="36">
        <v>2115.0</v>
      </c>
      <c r="F196" s="36">
        <v>1.11</v>
      </c>
      <c r="G196" s="36">
        <v>28.0</v>
      </c>
      <c r="H196" s="36">
        <v>2.12</v>
      </c>
      <c r="I196" s="36">
        <v>59.8</v>
      </c>
      <c r="J196" s="36">
        <v>53.1</v>
      </c>
      <c r="K196" s="36">
        <v>121.0</v>
      </c>
      <c r="L196" s="36">
        <v>23.8</v>
      </c>
      <c r="M196" s="36">
        <v>108.0</v>
      </c>
      <c r="N196" s="36">
        <v>42.0</v>
      </c>
      <c r="O196" s="36">
        <v>28.0</v>
      </c>
      <c r="P196" s="36">
        <v>86.0</v>
      </c>
      <c r="Q196" s="36">
        <v>0.46</v>
      </c>
      <c r="R196" s="36">
        <v>0.99</v>
      </c>
      <c r="S196" s="36">
        <v>1.14</v>
      </c>
      <c r="T196" s="36">
        <v>2.13</v>
      </c>
      <c r="U196" s="21">
        <f t="shared" si="1"/>
        <v>2130</v>
      </c>
      <c r="V196" s="21">
        <f t="shared" si="3"/>
        <v>1600</v>
      </c>
    </row>
    <row r="197" ht="14.25" customHeight="1">
      <c r="A197" s="38">
        <v>0.45555555555555555</v>
      </c>
      <c r="B197" s="36">
        <v>177.0</v>
      </c>
      <c r="C197" s="36">
        <v>18.8</v>
      </c>
      <c r="D197" s="36">
        <v>1875.0</v>
      </c>
      <c r="E197" s="36">
        <v>2090.0</v>
      </c>
      <c r="F197" s="36">
        <v>1.11</v>
      </c>
      <c r="G197" s="36">
        <v>28.0</v>
      </c>
      <c r="H197" s="36">
        <v>2.14</v>
      </c>
      <c r="I197" s="36">
        <v>59.3</v>
      </c>
      <c r="J197" s="36">
        <v>53.6</v>
      </c>
      <c r="K197" s="36">
        <v>122.0</v>
      </c>
      <c r="L197" s="36">
        <v>23.2</v>
      </c>
      <c r="M197" s="36">
        <v>108.0</v>
      </c>
      <c r="N197" s="36">
        <v>42.0</v>
      </c>
      <c r="O197" s="36">
        <v>28.0</v>
      </c>
      <c r="P197" s="36">
        <v>84.0</v>
      </c>
      <c r="Q197" s="36">
        <v>0.47</v>
      </c>
      <c r="R197" s="36">
        <v>1.02</v>
      </c>
      <c r="S197" s="36">
        <v>1.14</v>
      </c>
      <c r="T197" s="36">
        <v>2.17</v>
      </c>
      <c r="U197" s="21">
        <f t="shared" si="1"/>
        <v>2170</v>
      </c>
      <c r="V197" s="21">
        <f t="shared" si="3"/>
        <v>400</v>
      </c>
    </row>
    <row r="198" ht="14.25" customHeight="1">
      <c r="A198" s="38">
        <v>0.4576388888888889</v>
      </c>
      <c r="B198" s="36">
        <v>178.0</v>
      </c>
      <c r="C198" s="36">
        <v>18.9</v>
      </c>
      <c r="D198" s="36">
        <v>1885.0</v>
      </c>
      <c r="E198" s="36">
        <v>2085.0</v>
      </c>
      <c r="F198" s="36">
        <v>1.11</v>
      </c>
      <c r="G198" s="36">
        <v>30.0</v>
      </c>
      <c r="H198" s="36">
        <v>2.12</v>
      </c>
      <c r="I198" s="36">
        <v>58.2</v>
      </c>
      <c r="J198" s="36">
        <v>54.4</v>
      </c>
      <c r="K198" s="36">
        <v>122.0</v>
      </c>
      <c r="L198" s="36">
        <v>23.2</v>
      </c>
      <c r="M198" s="36">
        <v>107.0</v>
      </c>
      <c r="N198" s="36">
        <v>43.0</v>
      </c>
      <c r="O198" s="36">
        <v>27.0</v>
      </c>
      <c r="P198" s="36">
        <v>85.0</v>
      </c>
      <c r="Q198" s="36">
        <v>0.48</v>
      </c>
      <c r="R198" s="36">
        <v>1.04</v>
      </c>
      <c r="S198" s="36">
        <v>1.15</v>
      </c>
      <c r="T198" s="36">
        <v>2.19</v>
      </c>
      <c r="U198" s="21">
        <f t="shared" si="1"/>
        <v>2190</v>
      </c>
      <c r="V198" s="21">
        <f t="shared" si="3"/>
        <v>67600</v>
      </c>
    </row>
    <row r="199" ht="14.25" customHeight="1">
      <c r="A199" s="38">
        <v>0.4597222222222222</v>
      </c>
      <c r="B199" s="36">
        <v>179.0</v>
      </c>
      <c r="C199" s="36">
        <v>19.2</v>
      </c>
      <c r="D199" s="36">
        <v>1917.0</v>
      </c>
      <c r="E199" s="36">
        <v>2131.0</v>
      </c>
      <c r="F199" s="36">
        <v>1.11</v>
      </c>
      <c r="G199" s="36">
        <v>30.0</v>
      </c>
      <c r="H199" s="36">
        <v>2.4</v>
      </c>
      <c r="I199" s="36">
        <v>58.7</v>
      </c>
      <c r="J199" s="36">
        <v>54.0</v>
      </c>
      <c r="K199" s="36">
        <v>122.0</v>
      </c>
      <c r="L199" s="36">
        <v>23.0</v>
      </c>
      <c r="M199" s="36">
        <v>106.0</v>
      </c>
      <c r="N199" s="36">
        <v>44.0</v>
      </c>
      <c r="O199" s="36">
        <v>25.0</v>
      </c>
      <c r="P199" s="36">
        <v>86.0</v>
      </c>
      <c r="Q199" s="36">
        <v>0.48</v>
      </c>
      <c r="R199" s="36">
        <v>1.17</v>
      </c>
      <c r="S199" s="36">
        <v>1.28</v>
      </c>
      <c r="T199" s="36">
        <v>2.45</v>
      </c>
      <c r="U199" s="21">
        <f t="shared" si="1"/>
        <v>2450</v>
      </c>
      <c r="V199" s="21">
        <f>(U199-U201)^2</f>
        <v>4900</v>
      </c>
    </row>
    <row r="200" ht="14.25" customHeight="1">
      <c r="A200" s="36" t="s">
        <v>81</v>
      </c>
      <c r="U200" s="21">
        <f t="shared" si="1"/>
        <v>0</v>
      </c>
    </row>
    <row r="201" ht="14.25" customHeight="1">
      <c r="A201" s="38">
        <v>0.46111111111111114</v>
      </c>
      <c r="B201" s="36">
        <v>180.0</v>
      </c>
      <c r="C201" s="36">
        <v>19.3</v>
      </c>
      <c r="D201" s="36">
        <v>1931.0</v>
      </c>
      <c r="E201" s="36">
        <v>2138.0</v>
      </c>
      <c r="F201" s="36">
        <v>1.11</v>
      </c>
      <c r="G201" s="36">
        <v>30.0</v>
      </c>
      <c r="H201" s="36">
        <v>2.34</v>
      </c>
      <c r="I201" s="36">
        <v>58.9</v>
      </c>
      <c r="J201" s="36">
        <v>53.8</v>
      </c>
      <c r="K201" s="36">
        <v>122.0</v>
      </c>
      <c r="L201" s="36">
        <v>23.0</v>
      </c>
      <c r="M201" s="36">
        <v>106.0</v>
      </c>
      <c r="N201" s="36">
        <v>44.0</v>
      </c>
      <c r="O201" s="36">
        <v>25.0</v>
      </c>
      <c r="P201" s="36">
        <v>87.0</v>
      </c>
      <c r="Q201" s="36">
        <v>0.48</v>
      </c>
      <c r="R201" s="36">
        <v>1.15</v>
      </c>
      <c r="S201" s="36">
        <v>1.23</v>
      </c>
      <c r="T201" s="36">
        <v>2.38</v>
      </c>
      <c r="U201" s="21">
        <f t="shared" si="1"/>
        <v>2380</v>
      </c>
      <c r="V201" s="21">
        <f t="shared" ref="V201:V208" si="4">(U201-U202)^2</f>
        <v>900</v>
      </c>
      <c r="W201" s="21">
        <f>SQRT(AVERAGE(V201:V215))</f>
        <v>83.79396501</v>
      </c>
    </row>
    <row r="202" ht="14.25" customHeight="1">
      <c r="A202" s="38">
        <v>0.4625</v>
      </c>
      <c r="B202" s="36">
        <v>180.0</v>
      </c>
      <c r="C202" s="36">
        <v>19.6</v>
      </c>
      <c r="D202" s="36">
        <v>1956.0</v>
      </c>
      <c r="E202" s="36">
        <v>2163.0</v>
      </c>
      <c r="F202" s="36">
        <v>1.11</v>
      </c>
      <c r="G202" s="36">
        <v>30.0</v>
      </c>
      <c r="H202" s="36">
        <v>2.33</v>
      </c>
      <c r="I202" s="36">
        <v>59.3</v>
      </c>
      <c r="J202" s="36">
        <v>53.5</v>
      </c>
      <c r="K202" s="36">
        <v>123.0</v>
      </c>
      <c r="L202" s="36">
        <v>22.9</v>
      </c>
      <c r="M202" s="36">
        <v>106.0</v>
      </c>
      <c r="N202" s="36">
        <v>44.0</v>
      </c>
      <c r="O202" s="36">
        <v>25.0</v>
      </c>
      <c r="P202" s="36">
        <v>88.0</v>
      </c>
      <c r="Q202" s="36">
        <v>0.47</v>
      </c>
      <c r="R202" s="36">
        <v>1.11</v>
      </c>
      <c r="S202" s="36">
        <v>1.25</v>
      </c>
      <c r="T202" s="36">
        <v>2.35</v>
      </c>
      <c r="U202" s="21">
        <f t="shared" si="1"/>
        <v>2350</v>
      </c>
      <c r="V202" s="21">
        <f t="shared" si="4"/>
        <v>10000</v>
      </c>
    </row>
    <row r="203" ht="14.25" customHeight="1">
      <c r="A203" s="38">
        <v>0.4638888888888889</v>
      </c>
      <c r="B203" s="36">
        <v>181.0</v>
      </c>
      <c r="C203" s="36">
        <v>20.2</v>
      </c>
      <c r="D203" s="36">
        <v>2021.0</v>
      </c>
      <c r="E203" s="36">
        <v>2218.0</v>
      </c>
      <c r="F203" s="36">
        <v>1.1</v>
      </c>
      <c r="G203" s="36">
        <v>30.0</v>
      </c>
      <c r="H203" s="36">
        <v>2.28</v>
      </c>
      <c r="I203" s="36">
        <v>60.6</v>
      </c>
      <c r="J203" s="36">
        <v>52.5</v>
      </c>
      <c r="K203" s="36">
        <v>123.0</v>
      </c>
      <c r="L203" s="36">
        <v>22.7</v>
      </c>
      <c r="M203" s="36">
        <v>106.0</v>
      </c>
      <c r="N203" s="36">
        <v>44.0</v>
      </c>
      <c r="O203" s="36">
        <v>27.0</v>
      </c>
      <c r="P203" s="36">
        <v>91.0</v>
      </c>
      <c r="Q203" s="36">
        <v>0.47</v>
      </c>
      <c r="R203" s="36">
        <v>1.07</v>
      </c>
      <c r="S203" s="36">
        <v>1.19</v>
      </c>
      <c r="T203" s="36">
        <v>2.25</v>
      </c>
      <c r="U203" s="21">
        <f t="shared" si="1"/>
        <v>2250</v>
      </c>
      <c r="V203" s="21">
        <f t="shared" si="4"/>
        <v>100</v>
      </c>
    </row>
    <row r="204" ht="14.25" customHeight="1">
      <c r="A204" s="38">
        <v>0.4652777777777778</v>
      </c>
      <c r="B204" s="36">
        <v>182.0</v>
      </c>
      <c r="C204" s="36">
        <v>20.3</v>
      </c>
      <c r="D204" s="36">
        <v>2029.0</v>
      </c>
      <c r="E204" s="36">
        <v>2220.0</v>
      </c>
      <c r="F204" s="36">
        <v>1.09</v>
      </c>
      <c r="G204" s="36">
        <v>30.0</v>
      </c>
      <c r="H204" s="36">
        <v>2.27</v>
      </c>
      <c r="I204" s="36">
        <v>60.8</v>
      </c>
      <c r="J204" s="36">
        <v>52.3</v>
      </c>
      <c r="K204" s="36">
        <v>123.0</v>
      </c>
      <c r="L204" s="36">
        <v>22.4</v>
      </c>
      <c r="M204" s="36">
        <v>106.0</v>
      </c>
      <c r="N204" s="36">
        <v>44.0</v>
      </c>
      <c r="O204" s="36">
        <v>27.0</v>
      </c>
      <c r="P204" s="36">
        <v>91.0</v>
      </c>
      <c r="Q204" s="36">
        <v>0.47</v>
      </c>
      <c r="R204" s="36">
        <v>1.05</v>
      </c>
      <c r="S204" s="36">
        <v>1.18</v>
      </c>
      <c r="T204" s="36">
        <v>2.24</v>
      </c>
      <c r="U204" s="21">
        <f t="shared" si="1"/>
        <v>2240</v>
      </c>
      <c r="V204" s="21">
        <f t="shared" si="4"/>
        <v>100</v>
      </c>
    </row>
    <row r="205" ht="14.25" customHeight="1">
      <c r="A205" s="38">
        <v>0.4666666666666667</v>
      </c>
      <c r="B205" s="36">
        <v>182.0</v>
      </c>
      <c r="C205" s="36">
        <v>20.7</v>
      </c>
      <c r="D205" s="36">
        <v>2075.0</v>
      </c>
      <c r="E205" s="36">
        <v>2282.0</v>
      </c>
      <c r="F205" s="36">
        <v>1.1</v>
      </c>
      <c r="G205" s="36">
        <v>32.0</v>
      </c>
      <c r="H205" s="36">
        <v>2.35</v>
      </c>
      <c r="I205" s="36">
        <v>62.7</v>
      </c>
      <c r="J205" s="36">
        <v>50.9</v>
      </c>
      <c r="K205" s="36">
        <v>124.0</v>
      </c>
      <c r="L205" s="36">
        <v>21.7</v>
      </c>
      <c r="M205" s="36">
        <v>106.0</v>
      </c>
      <c r="N205" s="36">
        <v>44.0</v>
      </c>
      <c r="O205" s="36">
        <v>27.0</v>
      </c>
      <c r="P205" s="36">
        <v>93.0</v>
      </c>
      <c r="Q205" s="36">
        <v>0.47</v>
      </c>
      <c r="R205" s="36">
        <v>1.05</v>
      </c>
      <c r="S205" s="36">
        <v>1.2</v>
      </c>
      <c r="T205" s="36">
        <v>2.25</v>
      </c>
      <c r="U205" s="21">
        <f t="shared" si="1"/>
        <v>2250</v>
      </c>
      <c r="V205" s="21">
        <f t="shared" si="4"/>
        <v>900</v>
      </c>
    </row>
    <row r="206" ht="14.25" customHeight="1">
      <c r="A206" s="38">
        <v>0.46805555555555556</v>
      </c>
      <c r="B206" s="36">
        <v>183.0</v>
      </c>
      <c r="C206" s="36">
        <v>20.8</v>
      </c>
      <c r="D206" s="36">
        <v>2078.0</v>
      </c>
      <c r="E206" s="36">
        <v>2315.0</v>
      </c>
      <c r="F206" s="36">
        <v>1.11</v>
      </c>
      <c r="G206" s="36">
        <v>31.0</v>
      </c>
      <c r="H206" s="36">
        <v>2.39</v>
      </c>
      <c r="I206" s="36">
        <v>64.7</v>
      </c>
      <c r="J206" s="36">
        <v>49.3</v>
      </c>
      <c r="K206" s="36">
        <v>124.0</v>
      </c>
      <c r="L206" s="36">
        <v>22.0</v>
      </c>
      <c r="M206" s="36">
        <v>107.0</v>
      </c>
      <c r="N206" s="36">
        <v>43.0</v>
      </c>
      <c r="O206" s="36">
        <v>27.0</v>
      </c>
      <c r="P206" s="36">
        <v>94.0</v>
      </c>
      <c r="Q206" s="36">
        <v>0.46</v>
      </c>
      <c r="R206" s="36">
        <v>1.02</v>
      </c>
      <c r="S206" s="36">
        <v>1.2</v>
      </c>
      <c r="T206" s="36">
        <v>2.22</v>
      </c>
      <c r="U206" s="21">
        <f t="shared" si="1"/>
        <v>2220</v>
      </c>
      <c r="V206" s="21">
        <f t="shared" si="4"/>
        <v>84100</v>
      </c>
    </row>
    <row r="207" ht="14.25" customHeight="1">
      <c r="A207" s="38">
        <v>0.46875</v>
      </c>
      <c r="B207" s="36">
        <v>184.0</v>
      </c>
      <c r="C207" s="36">
        <v>21.1</v>
      </c>
      <c r="D207" s="36">
        <v>2109.0</v>
      </c>
      <c r="E207" s="36">
        <v>2348.0</v>
      </c>
      <c r="F207" s="36">
        <v>1.11</v>
      </c>
      <c r="G207" s="36">
        <v>31.0</v>
      </c>
      <c r="H207" s="36">
        <v>2.15</v>
      </c>
      <c r="I207" s="36">
        <v>66.8</v>
      </c>
      <c r="J207" s="36">
        <v>47.7</v>
      </c>
      <c r="K207" s="36">
        <v>125.0</v>
      </c>
      <c r="L207" s="36">
        <v>21.5</v>
      </c>
      <c r="M207" s="36">
        <v>108.0</v>
      </c>
      <c r="N207" s="36">
        <v>42.0</v>
      </c>
      <c r="O207" s="36">
        <v>31.0</v>
      </c>
      <c r="P207" s="36">
        <v>95.0</v>
      </c>
      <c r="Q207" s="36">
        <v>0.46</v>
      </c>
      <c r="R207" s="36">
        <v>0.88</v>
      </c>
      <c r="S207" s="36">
        <v>1.05</v>
      </c>
      <c r="T207" s="36">
        <v>1.93</v>
      </c>
      <c r="U207" s="21">
        <f t="shared" si="1"/>
        <v>1930</v>
      </c>
      <c r="V207" s="21">
        <f t="shared" si="4"/>
        <v>400</v>
      </c>
    </row>
    <row r="208" ht="14.25" customHeight="1">
      <c r="A208" s="38">
        <v>0.4701388888888889</v>
      </c>
      <c r="B208" s="36">
        <v>184.0</v>
      </c>
      <c r="C208" s="36">
        <v>21.3</v>
      </c>
      <c r="D208" s="36">
        <v>2126.0</v>
      </c>
      <c r="E208" s="36">
        <v>2392.0</v>
      </c>
      <c r="F208" s="36">
        <v>1.13</v>
      </c>
      <c r="G208" s="36">
        <v>31.0</v>
      </c>
      <c r="H208" s="36">
        <v>2.23</v>
      </c>
      <c r="I208" s="36">
        <v>68.3</v>
      </c>
      <c r="J208" s="36">
        <v>46.5</v>
      </c>
      <c r="K208" s="36">
        <v>125.0</v>
      </c>
      <c r="L208" s="36">
        <v>21.2</v>
      </c>
      <c r="M208" s="36">
        <v>108.0</v>
      </c>
      <c r="N208" s="36">
        <v>42.0</v>
      </c>
      <c r="O208" s="36">
        <v>31.0</v>
      </c>
      <c r="P208" s="36">
        <v>96.0</v>
      </c>
      <c r="Q208" s="36">
        <v>0.45</v>
      </c>
      <c r="R208" s="36">
        <v>0.89</v>
      </c>
      <c r="S208" s="36">
        <v>1.07</v>
      </c>
      <c r="T208" s="36">
        <v>1.95</v>
      </c>
      <c r="U208" s="21">
        <f t="shared" si="1"/>
        <v>1950</v>
      </c>
      <c r="V208" s="21">
        <f t="shared" si="4"/>
        <v>0</v>
      </c>
    </row>
    <row r="209" ht="14.25" customHeight="1">
      <c r="A209" s="38">
        <v>0.47152777777777777</v>
      </c>
      <c r="B209" s="36">
        <v>185.0</v>
      </c>
      <c r="C209" s="36">
        <v>21.3</v>
      </c>
      <c r="D209" s="36">
        <v>2131.0</v>
      </c>
      <c r="E209" s="36">
        <v>2415.0</v>
      </c>
      <c r="F209" s="36">
        <v>1.13</v>
      </c>
      <c r="G209" s="36">
        <v>31.0</v>
      </c>
      <c r="H209" s="36">
        <v>2.26</v>
      </c>
      <c r="I209" s="36">
        <v>69.6</v>
      </c>
      <c r="J209" s="36">
        <v>45.5</v>
      </c>
      <c r="K209" s="36">
        <v>126.0</v>
      </c>
      <c r="L209" s="36">
        <v>20.7</v>
      </c>
      <c r="M209" s="36">
        <v>109.0</v>
      </c>
      <c r="N209" s="36">
        <v>42.0</v>
      </c>
      <c r="O209" s="36">
        <v>31.0</v>
      </c>
      <c r="P209" s="36">
        <v>96.0</v>
      </c>
      <c r="Q209" s="36">
        <v>0.45</v>
      </c>
      <c r="R209" s="36">
        <v>0.88</v>
      </c>
      <c r="S209" s="36">
        <v>1.07</v>
      </c>
      <c r="T209" s="36">
        <v>1.95</v>
      </c>
      <c r="U209" s="21">
        <f t="shared" si="1"/>
        <v>1950</v>
      </c>
      <c r="V209" s="8">
        <v>0.0</v>
      </c>
    </row>
    <row r="210" ht="14.25" customHeight="1">
      <c r="A210" s="36" t="s">
        <v>82</v>
      </c>
      <c r="U210" s="21">
        <f t="shared" si="1"/>
        <v>0</v>
      </c>
    </row>
    <row r="211" ht="14.25" customHeight="1">
      <c r="A211" s="38">
        <v>0.47291666666666665</v>
      </c>
      <c r="B211" s="36">
        <v>186.0</v>
      </c>
      <c r="C211" s="36">
        <v>21.5</v>
      </c>
      <c r="D211" s="36">
        <v>2151.0</v>
      </c>
      <c r="E211" s="36">
        <v>2450.0</v>
      </c>
      <c r="F211" s="36">
        <v>1.14</v>
      </c>
      <c r="G211" s="36">
        <v>31.0</v>
      </c>
      <c r="H211" s="36">
        <v>2.26</v>
      </c>
      <c r="I211" s="36">
        <v>70.8</v>
      </c>
      <c r="J211" s="36">
        <v>44.5</v>
      </c>
      <c r="K211" s="36">
        <v>126.0</v>
      </c>
      <c r="L211" s="36">
        <v>20.7</v>
      </c>
      <c r="M211" s="36">
        <v>109.0</v>
      </c>
      <c r="N211" s="36">
        <v>42.0</v>
      </c>
      <c r="O211" s="36">
        <v>31.0</v>
      </c>
      <c r="P211" s="36">
        <v>97.0</v>
      </c>
      <c r="Q211" s="36">
        <v>0.46</v>
      </c>
      <c r="R211" s="36">
        <v>0.87</v>
      </c>
      <c r="S211" s="36">
        <v>1.04</v>
      </c>
      <c r="T211" s="36">
        <v>1.92</v>
      </c>
      <c r="U211" s="21">
        <f t="shared" si="1"/>
        <v>1920</v>
      </c>
      <c r="V211" s="21">
        <f t="shared" ref="V211:V214" si="5">(U211-U212)^2</f>
        <v>900</v>
      </c>
    </row>
    <row r="212" ht="14.25" customHeight="1">
      <c r="A212" s="38">
        <v>0.47430555555555554</v>
      </c>
      <c r="B212" s="36">
        <v>186.0</v>
      </c>
      <c r="C212" s="36">
        <v>21.3</v>
      </c>
      <c r="D212" s="36">
        <v>2132.0</v>
      </c>
      <c r="E212" s="36">
        <v>2453.0</v>
      </c>
      <c r="F212" s="36">
        <v>1.15</v>
      </c>
      <c r="G212" s="36">
        <v>32.0</v>
      </c>
      <c r="H212" s="36">
        <v>2.25</v>
      </c>
      <c r="I212" s="36">
        <v>71.5</v>
      </c>
      <c r="J212" s="36">
        <v>44.0</v>
      </c>
      <c r="K212" s="36">
        <v>128.0</v>
      </c>
      <c r="L212" s="36">
        <v>19.7</v>
      </c>
      <c r="M212" s="36">
        <v>109.0</v>
      </c>
      <c r="N212" s="36">
        <v>42.0</v>
      </c>
      <c r="O212" s="36">
        <v>32.0</v>
      </c>
      <c r="P212" s="36">
        <v>96.0</v>
      </c>
      <c r="Q212" s="36">
        <v>0.45</v>
      </c>
      <c r="R212" s="36">
        <v>0.86</v>
      </c>
      <c r="S212" s="36">
        <v>1.03</v>
      </c>
      <c r="T212" s="36">
        <v>1.89</v>
      </c>
      <c r="U212" s="21">
        <f t="shared" si="1"/>
        <v>1890</v>
      </c>
      <c r="V212" s="21">
        <f t="shared" si="5"/>
        <v>900</v>
      </c>
    </row>
    <row r="213" ht="14.25" customHeight="1">
      <c r="A213" s="38">
        <v>0.4756944444444444</v>
      </c>
      <c r="B213" s="36">
        <v>187.0</v>
      </c>
      <c r="C213" s="36">
        <v>21.3</v>
      </c>
      <c r="D213" s="36">
        <v>2127.0</v>
      </c>
      <c r="E213" s="36">
        <v>2458.0</v>
      </c>
      <c r="F213" s="36">
        <v>1.16</v>
      </c>
      <c r="G213" s="36">
        <v>32.0</v>
      </c>
      <c r="H213" s="36">
        <v>2.21</v>
      </c>
      <c r="I213" s="36">
        <v>71.5</v>
      </c>
      <c r="J213" s="36">
        <v>44.0</v>
      </c>
      <c r="K213" s="36">
        <v>129.0</v>
      </c>
      <c r="L213" s="36">
        <v>18.7</v>
      </c>
      <c r="M213" s="36">
        <v>110.0</v>
      </c>
      <c r="N213" s="36">
        <v>42.0</v>
      </c>
      <c r="O213" s="36">
        <v>32.0</v>
      </c>
      <c r="P213" s="36">
        <v>96.0</v>
      </c>
      <c r="Q213" s="36">
        <v>0.47</v>
      </c>
      <c r="R213" s="36">
        <v>0.86</v>
      </c>
      <c r="S213" s="36">
        <v>0.99</v>
      </c>
      <c r="T213" s="36">
        <v>1.86</v>
      </c>
      <c r="U213" s="21">
        <f t="shared" si="1"/>
        <v>1860</v>
      </c>
      <c r="V213" s="21">
        <f t="shared" si="5"/>
        <v>0</v>
      </c>
    </row>
    <row r="214" ht="14.25" customHeight="1">
      <c r="A214" s="38">
        <v>0.47708333333333336</v>
      </c>
      <c r="B214" s="36">
        <v>187.0</v>
      </c>
      <c r="C214" s="36">
        <v>21.4</v>
      </c>
      <c r="D214" s="36">
        <v>2136.0</v>
      </c>
      <c r="E214" s="36">
        <v>2473.0</v>
      </c>
      <c r="F214" s="36">
        <v>1.16</v>
      </c>
      <c r="G214" s="36">
        <v>32.0</v>
      </c>
      <c r="H214" s="36">
        <v>2.23</v>
      </c>
      <c r="I214" s="36">
        <v>71.9</v>
      </c>
      <c r="J214" s="36">
        <v>43.7</v>
      </c>
      <c r="K214" s="36">
        <v>129.0</v>
      </c>
      <c r="L214" s="36">
        <v>18.9</v>
      </c>
      <c r="M214" s="36">
        <v>110.0</v>
      </c>
      <c r="N214" s="36">
        <v>42.0</v>
      </c>
      <c r="O214" s="36">
        <v>32.0</v>
      </c>
      <c r="P214" s="36">
        <v>96.0</v>
      </c>
      <c r="Q214" s="36">
        <v>0.46</v>
      </c>
      <c r="R214" s="36">
        <v>0.86</v>
      </c>
      <c r="S214" s="36">
        <v>1.0</v>
      </c>
      <c r="T214" s="36">
        <v>1.86</v>
      </c>
      <c r="U214" s="21">
        <f t="shared" si="1"/>
        <v>1860</v>
      </c>
      <c r="V214" s="21">
        <f t="shared" si="5"/>
        <v>0</v>
      </c>
    </row>
    <row r="215" ht="14.25" customHeight="1">
      <c r="A215" s="38">
        <v>0.47847222222222224</v>
      </c>
      <c r="B215" s="36">
        <v>25.0</v>
      </c>
      <c r="C215" s="36">
        <v>21.4</v>
      </c>
      <c r="D215" s="36">
        <v>2136.0</v>
      </c>
      <c r="E215" s="36">
        <v>2473.0</v>
      </c>
      <c r="F215" s="36">
        <v>1.16</v>
      </c>
      <c r="G215" s="36">
        <v>32.0</v>
      </c>
      <c r="H215" s="36">
        <v>2.23</v>
      </c>
      <c r="I215" s="36">
        <v>71.9</v>
      </c>
      <c r="J215" s="36">
        <v>43.7</v>
      </c>
      <c r="K215" s="36">
        <v>129.0</v>
      </c>
      <c r="L215" s="36">
        <v>18.9</v>
      </c>
      <c r="M215" s="36">
        <v>110.0</v>
      </c>
      <c r="N215" s="36">
        <v>42.0</v>
      </c>
      <c r="O215" s="36">
        <v>32.0</v>
      </c>
      <c r="P215" s="36">
        <v>96.0</v>
      </c>
      <c r="Q215" s="36">
        <v>0.46</v>
      </c>
      <c r="R215" s="36">
        <v>0.86</v>
      </c>
      <c r="S215" s="36">
        <v>1.0</v>
      </c>
      <c r="T215" s="36">
        <v>1.86</v>
      </c>
      <c r="U215" s="21">
        <f t="shared" si="1"/>
        <v>1860</v>
      </c>
      <c r="V215" s="8">
        <v>0.0</v>
      </c>
    </row>
    <row r="216" ht="14.25" customHeight="1"/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>
      <c r="A333" s="38"/>
    </row>
    <row r="334" ht="14.25" customHeight="1">
      <c r="A334" s="38"/>
    </row>
    <row r="335" ht="14.25" customHeight="1">
      <c r="A335" s="38"/>
    </row>
    <row r="336" ht="14.25" customHeight="1">
      <c r="A336" s="38"/>
    </row>
    <row r="337" ht="14.25" customHeight="1">
      <c r="A337" s="38"/>
    </row>
    <row r="338" ht="14.25" customHeight="1">
      <c r="A338" s="38"/>
    </row>
    <row r="339" ht="14.25" customHeight="1">
      <c r="A339" s="38"/>
    </row>
    <row r="340" ht="14.25" customHeight="1">
      <c r="A340" s="38"/>
    </row>
    <row r="341" ht="14.25" customHeight="1">
      <c r="A341" s="38"/>
    </row>
    <row r="342" ht="14.25" customHeight="1">
      <c r="A342" s="38"/>
    </row>
    <row r="343" ht="14.25" customHeight="1">
      <c r="A343" s="38"/>
    </row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25" width="6.63"/>
    <col customWidth="1" min="26" max="26" width="7.75"/>
    <col customWidth="1" min="27" max="27" width="11.88"/>
    <col customWidth="1" min="28" max="49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  <c r="U3" s="8" t="s">
        <v>92</v>
      </c>
      <c r="V3" s="8" t="s">
        <v>85</v>
      </c>
      <c r="W3" s="8" t="s">
        <v>52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</row>
    <row r="5" ht="14.25" customHeight="1">
      <c r="A5" s="36" t="s">
        <v>87</v>
      </c>
    </row>
    <row r="6" ht="14.25" customHeight="1">
      <c r="A6" s="38">
        <v>0.11944444444444445</v>
      </c>
      <c r="B6" s="36">
        <v>0.0</v>
      </c>
      <c r="C6" s="36">
        <v>4.0</v>
      </c>
      <c r="D6" s="36">
        <v>221.0</v>
      </c>
      <c r="E6" s="36">
        <v>244.0</v>
      </c>
      <c r="F6" s="36">
        <v>1.11</v>
      </c>
      <c r="G6" s="36">
        <v>11.0</v>
      </c>
      <c r="H6" s="36">
        <v>0.69</v>
      </c>
      <c r="I6" s="36">
        <v>7.5</v>
      </c>
      <c r="J6" s="36">
        <v>95.3</v>
      </c>
      <c r="K6" s="36">
        <v>79.0</v>
      </c>
      <c r="L6" s="36">
        <v>61.1</v>
      </c>
      <c r="M6" s="36">
        <v>94.0</v>
      </c>
      <c r="N6" s="36">
        <v>40.0</v>
      </c>
      <c r="O6" s="36">
        <v>11.0</v>
      </c>
      <c r="P6" s="36">
        <v>9.0</v>
      </c>
      <c r="Q6" s="36">
        <v>0.34</v>
      </c>
      <c r="R6" s="36">
        <v>1.88</v>
      </c>
      <c r="S6" s="36">
        <v>3.65</v>
      </c>
      <c r="T6" s="36">
        <v>5.54</v>
      </c>
      <c r="U6" s="21">
        <f t="shared" ref="U6:U143" si="1">1000*T6</f>
        <v>5540</v>
      </c>
      <c r="V6" s="21">
        <f t="shared" ref="V6:V71" si="2">(U6-U7)^2</f>
        <v>96100</v>
      </c>
      <c r="W6" s="21">
        <f>SQRT(AVERAGE(V6:V71))</f>
        <v>406.5673003</v>
      </c>
    </row>
    <row r="7" ht="14.25" customHeight="1">
      <c r="A7" s="38">
        <v>0.12291666666666666</v>
      </c>
      <c r="B7" s="36">
        <v>0.0</v>
      </c>
      <c r="C7" s="36">
        <v>4.2</v>
      </c>
      <c r="D7" s="36">
        <v>233.0</v>
      </c>
      <c r="E7" s="36">
        <v>249.0</v>
      </c>
      <c r="F7" s="36">
        <v>1.07</v>
      </c>
      <c r="G7" s="36">
        <v>11.0</v>
      </c>
      <c r="H7" s="36">
        <v>0.66</v>
      </c>
      <c r="I7" s="36">
        <v>7.6</v>
      </c>
      <c r="J7" s="36">
        <v>95.2</v>
      </c>
      <c r="K7" s="36">
        <v>78.0</v>
      </c>
      <c r="L7" s="36">
        <v>61.4</v>
      </c>
      <c r="M7" s="36">
        <v>93.0</v>
      </c>
      <c r="N7" s="36">
        <v>40.0</v>
      </c>
      <c r="O7" s="36">
        <v>11.0</v>
      </c>
      <c r="P7" s="36">
        <v>10.0</v>
      </c>
      <c r="Q7" s="36">
        <v>0.34</v>
      </c>
      <c r="R7" s="36">
        <v>1.8</v>
      </c>
      <c r="S7" s="36">
        <v>3.43</v>
      </c>
      <c r="T7" s="36">
        <v>5.23</v>
      </c>
      <c r="U7" s="21">
        <f t="shared" si="1"/>
        <v>5230</v>
      </c>
      <c r="V7" s="21">
        <f t="shared" si="2"/>
        <v>44100</v>
      </c>
    </row>
    <row r="8" ht="14.25" customHeight="1">
      <c r="A8" s="38">
        <v>0.12569444444444444</v>
      </c>
      <c r="B8" s="36">
        <v>0.0</v>
      </c>
      <c r="C8" s="36">
        <v>4.3</v>
      </c>
      <c r="D8" s="36">
        <v>239.0</v>
      </c>
      <c r="E8" s="36">
        <v>251.0</v>
      </c>
      <c r="F8" s="36">
        <v>1.05</v>
      </c>
      <c r="G8" s="36">
        <v>12.0</v>
      </c>
      <c r="H8" s="36">
        <v>0.65</v>
      </c>
      <c r="I8" s="36">
        <v>7.8</v>
      </c>
      <c r="J8" s="36">
        <v>95.1</v>
      </c>
      <c r="K8" s="36">
        <v>79.0</v>
      </c>
      <c r="L8" s="36">
        <v>61.2</v>
      </c>
      <c r="M8" s="36">
        <v>93.0</v>
      </c>
      <c r="N8" s="36">
        <v>40.0</v>
      </c>
      <c r="O8" s="36">
        <v>12.0</v>
      </c>
      <c r="P8" s="36">
        <v>10.0</v>
      </c>
      <c r="Q8" s="36">
        <v>0.34</v>
      </c>
      <c r="R8" s="36">
        <v>1.69</v>
      </c>
      <c r="S8" s="36">
        <v>3.32</v>
      </c>
      <c r="T8" s="36">
        <v>5.02</v>
      </c>
      <c r="U8" s="21">
        <f t="shared" si="1"/>
        <v>5020</v>
      </c>
      <c r="V8" s="21">
        <f t="shared" si="2"/>
        <v>144400</v>
      </c>
    </row>
    <row r="9" ht="14.25" customHeight="1">
      <c r="A9" s="38">
        <v>0.1284722222222222</v>
      </c>
      <c r="B9" s="36">
        <v>0.0</v>
      </c>
      <c r="C9" s="36">
        <v>4.8</v>
      </c>
      <c r="D9" s="36">
        <v>263.0</v>
      </c>
      <c r="E9" s="36">
        <v>272.0</v>
      </c>
      <c r="F9" s="36">
        <v>1.03</v>
      </c>
      <c r="G9" s="36">
        <v>13.0</v>
      </c>
      <c r="H9" s="36">
        <v>0.65</v>
      </c>
      <c r="I9" s="36">
        <v>8.4</v>
      </c>
      <c r="J9" s="36">
        <v>94.7</v>
      </c>
      <c r="K9" s="36">
        <v>80.0</v>
      </c>
      <c r="L9" s="36">
        <v>60.8</v>
      </c>
      <c r="M9" s="36">
        <v>92.0</v>
      </c>
      <c r="N9" s="36">
        <v>40.0</v>
      </c>
      <c r="O9" s="36">
        <v>13.0</v>
      </c>
      <c r="P9" s="36">
        <v>11.0</v>
      </c>
      <c r="Q9" s="36">
        <v>0.33</v>
      </c>
      <c r="R9" s="36">
        <v>1.52</v>
      </c>
      <c r="S9" s="36">
        <v>3.12</v>
      </c>
      <c r="T9" s="36">
        <v>4.64</v>
      </c>
      <c r="U9" s="21">
        <f t="shared" si="1"/>
        <v>4640</v>
      </c>
      <c r="V9" s="21">
        <f t="shared" si="2"/>
        <v>48400</v>
      </c>
    </row>
    <row r="10" ht="14.25" customHeight="1">
      <c r="A10" s="38">
        <v>0.13194444444444445</v>
      </c>
      <c r="B10" s="36">
        <v>0.0</v>
      </c>
      <c r="C10" s="36">
        <v>5.0</v>
      </c>
      <c r="D10" s="36">
        <v>275.0</v>
      </c>
      <c r="E10" s="36">
        <v>280.0</v>
      </c>
      <c r="F10" s="36">
        <v>1.02</v>
      </c>
      <c r="G10" s="36">
        <v>14.0</v>
      </c>
      <c r="H10" s="36">
        <v>0.64</v>
      </c>
      <c r="I10" s="36">
        <v>8.7</v>
      </c>
      <c r="J10" s="36">
        <v>94.5</v>
      </c>
      <c r="K10" s="36">
        <v>81.0</v>
      </c>
      <c r="L10" s="36">
        <v>59.9</v>
      </c>
      <c r="M10" s="36">
        <v>92.0</v>
      </c>
      <c r="N10" s="36">
        <v>40.0</v>
      </c>
      <c r="O10" s="36">
        <v>14.0</v>
      </c>
      <c r="P10" s="36">
        <v>11.0</v>
      </c>
      <c r="Q10" s="36">
        <v>0.33</v>
      </c>
      <c r="R10" s="36">
        <v>1.45</v>
      </c>
      <c r="S10" s="36">
        <v>2.97</v>
      </c>
      <c r="T10" s="36">
        <v>4.42</v>
      </c>
      <c r="U10" s="21">
        <f t="shared" si="1"/>
        <v>4420</v>
      </c>
      <c r="V10" s="21">
        <f t="shared" si="2"/>
        <v>0</v>
      </c>
    </row>
    <row r="11" ht="14.25" customHeight="1">
      <c r="A11" s="38">
        <v>0.13472222222222222</v>
      </c>
      <c r="B11" s="36">
        <v>0.0</v>
      </c>
      <c r="C11" s="36">
        <v>5.0</v>
      </c>
      <c r="D11" s="36">
        <v>275.0</v>
      </c>
      <c r="E11" s="36">
        <v>280.0</v>
      </c>
      <c r="F11" s="36">
        <v>1.02</v>
      </c>
      <c r="G11" s="36">
        <v>14.0</v>
      </c>
      <c r="H11" s="36">
        <v>0.64</v>
      </c>
      <c r="I11" s="36">
        <v>8.7</v>
      </c>
      <c r="J11" s="36">
        <v>94.5</v>
      </c>
      <c r="K11" s="36">
        <v>81.0</v>
      </c>
      <c r="L11" s="36">
        <v>59.9</v>
      </c>
      <c r="M11" s="36">
        <v>92.0</v>
      </c>
      <c r="N11" s="36">
        <v>40.0</v>
      </c>
      <c r="O11" s="36">
        <v>14.0</v>
      </c>
      <c r="P11" s="36">
        <v>11.0</v>
      </c>
      <c r="Q11" s="36">
        <v>0.33</v>
      </c>
      <c r="R11" s="36">
        <v>1.45</v>
      </c>
      <c r="S11" s="36">
        <v>2.97</v>
      </c>
      <c r="T11" s="36">
        <v>4.42</v>
      </c>
      <c r="U11" s="21">
        <f t="shared" si="1"/>
        <v>4420</v>
      </c>
      <c r="V11" s="21">
        <f t="shared" si="2"/>
        <v>8100</v>
      </c>
    </row>
    <row r="12" ht="14.25" customHeight="1">
      <c r="A12" s="38">
        <v>0.13680555555555557</v>
      </c>
      <c r="B12" s="36">
        <v>0.0</v>
      </c>
      <c r="C12" s="36">
        <v>5.5</v>
      </c>
      <c r="D12" s="36">
        <v>304.0</v>
      </c>
      <c r="E12" s="36">
        <v>311.0</v>
      </c>
      <c r="F12" s="36">
        <v>1.02</v>
      </c>
      <c r="G12" s="36">
        <v>13.0</v>
      </c>
      <c r="H12" s="36">
        <v>0.71</v>
      </c>
      <c r="I12" s="36">
        <v>9.5</v>
      </c>
      <c r="J12" s="36">
        <v>94.0</v>
      </c>
      <c r="K12" s="36">
        <v>85.0</v>
      </c>
      <c r="L12" s="36">
        <v>58.2</v>
      </c>
      <c r="M12" s="36">
        <v>92.0</v>
      </c>
      <c r="N12" s="36">
        <v>40.0</v>
      </c>
      <c r="O12" s="36">
        <v>13.0</v>
      </c>
      <c r="P12" s="36">
        <v>12.0</v>
      </c>
      <c r="Q12" s="36">
        <v>0.33</v>
      </c>
      <c r="R12" s="36">
        <v>1.5</v>
      </c>
      <c r="S12" s="36">
        <v>3.01</v>
      </c>
      <c r="T12" s="36">
        <v>4.51</v>
      </c>
      <c r="U12" s="21">
        <f t="shared" si="1"/>
        <v>4510</v>
      </c>
      <c r="V12" s="21">
        <f t="shared" si="2"/>
        <v>900</v>
      </c>
    </row>
    <row r="13" ht="14.25" customHeight="1">
      <c r="A13" s="38">
        <v>0.13958333333333334</v>
      </c>
      <c r="B13" s="36">
        <v>0.0</v>
      </c>
      <c r="C13" s="36">
        <v>5.7</v>
      </c>
      <c r="D13" s="36">
        <v>314.0</v>
      </c>
      <c r="E13" s="36">
        <v>312.0</v>
      </c>
      <c r="F13" s="36">
        <v>0.99</v>
      </c>
      <c r="G13" s="36">
        <v>13.0</v>
      </c>
      <c r="H13" s="36">
        <v>0.7</v>
      </c>
      <c r="I13" s="36">
        <v>9.4</v>
      </c>
      <c r="J13" s="36">
        <v>94.1</v>
      </c>
      <c r="K13" s="36">
        <v>87.0</v>
      </c>
      <c r="L13" s="36">
        <v>56.9</v>
      </c>
      <c r="M13" s="36">
        <v>91.0</v>
      </c>
      <c r="N13" s="36">
        <v>40.0</v>
      </c>
      <c r="O13" s="36">
        <v>13.0</v>
      </c>
      <c r="P13" s="36">
        <v>13.0</v>
      </c>
      <c r="Q13" s="36">
        <v>0.33</v>
      </c>
      <c r="R13" s="36">
        <v>1.47</v>
      </c>
      <c r="S13" s="36">
        <v>3.02</v>
      </c>
      <c r="T13" s="36">
        <v>4.48</v>
      </c>
      <c r="U13" s="21">
        <f t="shared" si="1"/>
        <v>4480</v>
      </c>
      <c r="V13" s="21">
        <f t="shared" si="2"/>
        <v>864900</v>
      </c>
    </row>
    <row r="14" ht="14.25" customHeight="1">
      <c r="A14" s="38">
        <v>0.14583333333333334</v>
      </c>
      <c r="B14" s="36">
        <v>0.0</v>
      </c>
      <c r="C14" s="36">
        <v>5.5</v>
      </c>
      <c r="D14" s="36">
        <v>303.0</v>
      </c>
      <c r="E14" s="36">
        <v>288.0</v>
      </c>
      <c r="F14" s="36">
        <v>0.95</v>
      </c>
      <c r="G14" s="36">
        <v>11.0</v>
      </c>
      <c r="H14" s="36">
        <v>0.77</v>
      </c>
      <c r="I14" s="36">
        <v>8.6</v>
      </c>
      <c r="J14" s="36">
        <v>94.6</v>
      </c>
      <c r="K14" s="36">
        <v>89.0</v>
      </c>
      <c r="L14" s="36">
        <v>56.0</v>
      </c>
      <c r="M14" s="36">
        <v>89.0</v>
      </c>
      <c r="N14" s="36">
        <v>41.0</v>
      </c>
      <c r="O14" s="36">
        <v>11.0</v>
      </c>
      <c r="P14" s="36">
        <v>12.0</v>
      </c>
      <c r="Q14" s="36">
        <v>0.35</v>
      </c>
      <c r="R14" s="36">
        <v>1.9</v>
      </c>
      <c r="S14" s="36">
        <v>3.5</v>
      </c>
      <c r="T14" s="36">
        <v>5.41</v>
      </c>
      <c r="U14" s="21">
        <f t="shared" si="1"/>
        <v>5410</v>
      </c>
      <c r="V14" s="21">
        <f t="shared" si="2"/>
        <v>12100</v>
      </c>
    </row>
    <row r="15" ht="14.25" customHeight="1">
      <c r="A15" s="38">
        <v>0.14930555555555555</v>
      </c>
      <c r="B15" s="36">
        <v>0.0</v>
      </c>
      <c r="C15" s="36">
        <v>6.3</v>
      </c>
      <c r="D15" s="36">
        <v>347.0</v>
      </c>
      <c r="E15" s="36">
        <v>321.0</v>
      </c>
      <c r="F15" s="36">
        <v>0.93</v>
      </c>
      <c r="G15" s="36">
        <v>11.0</v>
      </c>
      <c r="H15" s="36">
        <v>0.85</v>
      </c>
      <c r="I15" s="36">
        <v>9.2</v>
      </c>
      <c r="J15" s="36">
        <v>94.2</v>
      </c>
      <c r="K15" s="36">
        <v>92.0</v>
      </c>
      <c r="L15" s="36">
        <v>54.9</v>
      </c>
      <c r="M15" s="36">
        <v>87.0</v>
      </c>
      <c r="N15" s="36">
        <v>41.0</v>
      </c>
      <c r="O15" s="36">
        <v>11.0</v>
      </c>
      <c r="P15" s="36">
        <v>14.0</v>
      </c>
      <c r="Q15" s="36">
        <v>0.36</v>
      </c>
      <c r="R15" s="36">
        <v>1.99</v>
      </c>
      <c r="S15" s="36">
        <v>3.53</v>
      </c>
      <c r="T15" s="36">
        <v>5.52</v>
      </c>
      <c r="U15" s="21">
        <f t="shared" si="1"/>
        <v>5520</v>
      </c>
      <c r="V15" s="21">
        <f t="shared" si="2"/>
        <v>36100</v>
      </c>
    </row>
    <row r="16" ht="14.25" customHeight="1">
      <c r="A16" s="38">
        <v>0.1527777777777778</v>
      </c>
      <c r="B16" s="36">
        <v>0.0</v>
      </c>
      <c r="C16" s="36">
        <v>6.7</v>
      </c>
      <c r="D16" s="36">
        <v>368.0</v>
      </c>
      <c r="E16" s="36">
        <v>337.0</v>
      </c>
      <c r="F16" s="36">
        <v>0.92</v>
      </c>
      <c r="G16" s="36">
        <v>11.0</v>
      </c>
      <c r="H16" s="36">
        <v>0.85</v>
      </c>
      <c r="I16" s="36">
        <v>9.5</v>
      </c>
      <c r="J16" s="36">
        <v>94.0</v>
      </c>
      <c r="K16" s="36">
        <v>92.0</v>
      </c>
      <c r="L16" s="36">
        <v>54.6</v>
      </c>
      <c r="M16" s="36">
        <v>87.0</v>
      </c>
      <c r="N16" s="36">
        <v>42.0</v>
      </c>
      <c r="O16" s="36">
        <v>11.0</v>
      </c>
      <c r="P16" s="36">
        <v>15.0</v>
      </c>
      <c r="Q16" s="36">
        <v>0.35</v>
      </c>
      <c r="R16" s="36">
        <v>1.89</v>
      </c>
      <c r="S16" s="36">
        <v>3.45</v>
      </c>
      <c r="T16" s="36">
        <v>5.33</v>
      </c>
      <c r="U16" s="21">
        <f t="shared" si="1"/>
        <v>5330</v>
      </c>
      <c r="V16" s="21">
        <f t="shared" si="2"/>
        <v>6400</v>
      </c>
    </row>
    <row r="17" ht="14.25" customHeight="1">
      <c r="A17" s="38">
        <v>0.15625</v>
      </c>
      <c r="B17" s="36">
        <v>0.0</v>
      </c>
      <c r="C17" s="36">
        <v>7.4</v>
      </c>
      <c r="D17" s="36">
        <v>409.0</v>
      </c>
      <c r="E17" s="36">
        <v>366.0</v>
      </c>
      <c r="F17" s="36">
        <v>0.89</v>
      </c>
      <c r="G17" s="36">
        <v>11.0</v>
      </c>
      <c r="H17" s="36">
        <v>0.89</v>
      </c>
      <c r="I17" s="36">
        <v>10.2</v>
      </c>
      <c r="J17" s="36">
        <v>93.6</v>
      </c>
      <c r="K17" s="36">
        <v>93.0</v>
      </c>
      <c r="L17" s="36">
        <v>54.3</v>
      </c>
      <c r="M17" s="36">
        <v>85.0</v>
      </c>
      <c r="N17" s="36">
        <v>42.0</v>
      </c>
      <c r="O17" s="36">
        <v>11.0</v>
      </c>
      <c r="P17" s="36">
        <v>17.0</v>
      </c>
      <c r="Q17" s="36">
        <v>0.35</v>
      </c>
      <c r="R17" s="36">
        <v>1.83</v>
      </c>
      <c r="S17" s="36">
        <v>3.42</v>
      </c>
      <c r="T17" s="36">
        <v>5.25</v>
      </c>
      <c r="U17" s="21">
        <f t="shared" si="1"/>
        <v>5250</v>
      </c>
      <c r="V17" s="21">
        <f t="shared" si="2"/>
        <v>592900</v>
      </c>
    </row>
    <row r="18" ht="14.25" customHeight="1">
      <c r="A18" s="38">
        <v>0.1597222222222222</v>
      </c>
      <c r="B18" s="36">
        <v>0.0</v>
      </c>
      <c r="C18" s="36">
        <v>8.7</v>
      </c>
      <c r="D18" s="36">
        <v>478.0</v>
      </c>
      <c r="E18" s="36">
        <v>427.0</v>
      </c>
      <c r="F18" s="36">
        <v>0.89</v>
      </c>
      <c r="G18" s="36">
        <v>13.0</v>
      </c>
      <c r="H18" s="36">
        <v>0.87</v>
      </c>
      <c r="I18" s="36">
        <v>11.6</v>
      </c>
      <c r="J18" s="36">
        <v>92.7</v>
      </c>
      <c r="K18" s="36">
        <v>92.0</v>
      </c>
      <c r="L18" s="36">
        <v>54.7</v>
      </c>
      <c r="M18" s="36">
        <v>86.0</v>
      </c>
      <c r="N18" s="36">
        <v>42.0</v>
      </c>
      <c r="O18" s="36">
        <v>13.0</v>
      </c>
      <c r="P18" s="36">
        <v>20.0</v>
      </c>
      <c r="Q18" s="36">
        <v>0.35</v>
      </c>
      <c r="R18" s="36">
        <v>1.58</v>
      </c>
      <c r="S18" s="36">
        <v>2.91</v>
      </c>
      <c r="T18" s="36">
        <v>4.48</v>
      </c>
      <c r="U18" s="21">
        <f t="shared" si="1"/>
        <v>4480</v>
      </c>
      <c r="V18" s="21">
        <f t="shared" si="2"/>
        <v>547600</v>
      </c>
    </row>
    <row r="19" ht="14.25" customHeight="1">
      <c r="A19" s="38">
        <v>0.1638888888888889</v>
      </c>
      <c r="B19" s="36">
        <v>0.0</v>
      </c>
      <c r="C19" s="36">
        <v>8.1</v>
      </c>
      <c r="D19" s="36">
        <v>446.0</v>
      </c>
      <c r="E19" s="36">
        <v>396.0</v>
      </c>
      <c r="F19" s="36">
        <v>0.89</v>
      </c>
      <c r="G19" s="36">
        <v>11.0</v>
      </c>
      <c r="H19" s="36">
        <v>0.93</v>
      </c>
      <c r="I19" s="36">
        <v>10.7</v>
      </c>
      <c r="J19" s="36">
        <v>93.2</v>
      </c>
      <c r="K19" s="36">
        <v>92.0</v>
      </c>
      <c r="L19" s="36">
        <v>54.6</v>
      </c>
      <c r="M19" s="36">
        <v>85.0</v>
      </c>
      <c r="N19" s="36">
        <v>42.0</v>
      </c>
      <c r="O19" s="36">
        <v>11.0</v>
      </c>
      <c r="P19" s="36">
        <v>18.0</v>
      </c>
      <c r="Q19" s="36">
        <v>0.38</v>
      </c>
      <c r="R19" s="36">
        <v>1.97</v>
      </c>
      <c r="S19" s="36">
        <v>3.25</v>
      </c>
      <c r="T19" s="36">
        <v>5.22</v>
      </c>
      <c r="U19" s="21">
        <f t="shared" si="1"/>
        <v>5220</v>
      </c>
      <c r="V19" s="21">
        <f t="shared" si="2"/>
        <v>1600</v>
      </c>
    </row>
    <row r="20" ht="14.25" customHeight="1">
      <c r="A20" s="38">
        <v>0.1673611111111111</v>
      </c>
      <c r="B20" s="36">
        <v>0.0</v>
      </c>
      <c r="C20" s="36">
        <v>8.6</v>
      </c>
      <c r="D20" s="36">
        <v>473.0</v>
      </c>
      <c r="E20" s="36">
        <v>416.0</v>
      </c>
      <c r="F20" s="36">
        <v>0.88</v>
      </c>
      <c r="G20" s="36">
        <v>11.0</v>
      </c>
      <c r="H20" s="36">
        <v>0.98</v>
      </c>
      <c r="I20" s="36">
        <v>11.2</v>
      </c>
      <c r="J20" s="36">
        <v>93.0</v>
      </c>
      <c r="K20" s="36">
        <v>93.0</v>
      </c>
      <c r="L20" s="36">
        <v>54.4</v>
      </c>
      <c r="M20" s="36">
        <v>85.0</v>
      </c>
      <c r="N20" s="36">
        <v>42.0</v>
      </c>
      <c r="O20" s="36">
        <v>11.0</v>
      </c>
      <c r="P20" s="36">
        <v>19.0</v>
      </c>
      <c r="Q20" s="36">
        <v>0.37</v>
      </c>
      <c r="R20" s="36">
        <v>1.97</v>
      </c>
      <c r="S20" s="36">
        <v>3.29</v>
      </c>
      <c r="T20" s="36">
        <v>5.26</v>
      </c>
      <c r="U20" s="21">
        <f t="shared" si="1"/>
        <v>5260</v>
      </c>
      <c r="V20" s="21">
        <f t="shared" si="2"/>
        <v>14400</v>
      </c>
    </row>
    <row r="21" ht="14.25" customHeight="1">
      <c r="A21" s="38">
        <v>0.17152777777777778</v>
      </c>
      <c r="B21" s="36">
        <v>0.0</v>
      </c>
      <c r="C21" s="36">
        <v>8.8</v>
      </c>
      <c r="D21" s="36">
        <v>482.0</v>
      </c>
      <c r="E21" s="36">
        <v>421.0</v>
      </c>
      <c r="F21" s="36">
        <v>0.87</v>
      </c>
      <c r="G21" s="36">
        <v>12.0</v>
      </c>
      <c r="H21" s="36">
        <v>0.97</v>
      </c>
      <c r="I21" s="36">
        <v>11.3</v>
      </c>
      <c r="J21" s="36">
        <v>92.9</v>
      </c>
      <c r="K21" s="36">
        <v>92.0</v>
      </c>
      <c r="L21" s="36">
        <v>54.5</v>
      </c>
      <c r="M21" s="36">
        <v>84.0</v>
      </c>
      <c r="N21" s="36">
        <v>42.0</v>
      </c>
      <c r="O21" s="36">
        <v>12.0</v>
      </c>
      <c r="P21" s="36">
        <v>20.0</v>
      </c>
      <c r="Q21" s="36">
        <v>0.36</v>
      </c>
      <c r="R21" s="36">
        <v>1.85</v>
      </c>
      <c r="S21" s="36">
        <v>3.29</v>
      </c>
      <c r="T21" s="36">
        <v>5.14</v>
      </c>
      <c r="U21" s="21">
        <f t="shared" si="1"/>
        <v>5140</v>
      </c>
      <c r="V21" s="21">
        <f t="shared" si="2"/>
        <v>400</v>
      </c>
    </row>
    <row r="22" ht="14.25" customHeight="1">
      <c r="A22" s="38">
        <v>0.175</v>
      </c>
      <c r="B22" s="36">
        <v>0.0</v>
      </c>
      <c r="C22" s="36">
        <v>9.0</v>
      </c>
      <c r="D22" s="36">
        <v>496.0</v>
      </c>
      <c r="E22" s="36">
        <v>431.0</v>
      </c>
      <c r="F22" s="36">
        <v>0.87</v>
      </c>
      <c r="G22" s="36">
        <v>12.0</v>
      </c>
      <c r="H22" s="36">
        <v>0.99</v>
      </c>
      <c r="I22" s="36">
        <v>11.5</v>
      </c>
      <c r="J22" s="36">
        <v>92.8</v>
      </c>
      <c r="K22" s="36">
        <v>93.0</v>
      </c>
      <c r="L22" s="36">
        <v>54.0</v>
      </c>
      <c r="M22" s="36">
        <v>84.0</v>
      </c>
      <c r="N22" s="36">
        <v>43.0</v>
      </c>
      <c r="O22" s="36">
        <v>12.0</v>
      </c>
      <c r="P22" s="36">
        <v>20.0</v>
      </c>
      <c r="Q22" s="36">
        <v>0.35</v>
      </c>
      <c r="R22" s="36">
        <v>1.82</v>
      </c>
      <c r="S22" s="36">
        <v>3.34</v>
      </c>
      <c r="T22" s="36">
        <v>5.16</v>
      </c>
      <c r="U22" s="21">
        <f t="shared" si="1"/>
        <v>5160</v>
      </c>
      <c r="V22" s="21">
        <f t="shared" si="2"/>
        <v>6400</v>
      </c>
    </row>
    <row r="23" ht="14.25" customHeight="1">
      <c r="A23" s="38">
        <v>0.17847222222222223</v>
      </c>
      <c r="B23" s="36">
        <v>0.0</v>
      </c>
      <c r="C23" s="36">
        <v>9.2</v>
      </c>
      <c r="D23" s="36">
        <v>503.0</v>
      </c>
      <c r="E23" s="36">
        <v>437.0</v>
      </c>
      <c r="F23" s="36">
        <v>0.87</v>
      </c>
      <c r="G23" s="36">
        <v>12.0</v>
      </c>
      <c r="H23" s="36">
        <v>0.99</v>
      </c>
      <c r="I23" s="36">
        <v>11.7</v>
      </c>
      <c r="J23" s="36">
        <v>92.7</v>
      </c>
      <c r="K23" s="36">
        <v>93.0</v>
      </c>
      <c r="L23" s="36">
        <v>54.0</v>
      </c>
      <c r="M23" s="36">
        <v>84.0</v>
      </c>
      <c r="N23" s="36">
        <v>43.0</v>
      </c>
      <c r="O23" s="36">
        <v>12.0</v>
      </c>
      <c r="P23" s="36">
        <v>21.0</v>
      </c>
      <c r="Q23" s="36">
        <v>0.36</v>
      </c>
      <c r="R23" s="36">
        <v>1.84</v>
      </c>
      <c r="S23" s="36">
        <v>3.24</v>
      </c>
      <c r="T23" s="36">
        <v>5.08</v>
      </c>
      <c r="U23" s="21">
        <f t="shared" si="1"/>
        <v>5080</v>
      </c>
      <c r="V23" s="21">
        <f t="shared" si="2"/>
        <v>2500</v>
      </c>
    </row>
    <row r="24" ht="14.25" customHeight="1">
      <c r="A24" s="38">
        <v>0.18125</v>
      </c>
      <c r="B24" s="36">
        <v>0.0</v>
      </c>
      <c r="C24" s="36">
        <v>9.4</v>
      </c>
      <c r="D24" s="36">
        <v>516.0</v>
      </c>
      <c r="E24" s="36">
        <v>448.0</v>
      </c>
      <c r="F24" s="36">
        <v>0.87</v>
      </c>
      <c r="G24" s="36">
        <v>12.0</v>
      </c>
      <c r="H24" s="36">
        <v>1.0</v>
      </c>
      <c r="I24" s="36">
        <v>11.9</v>
      </c>
      <c r="J24" s="36">
        <v>92.5</v>
      </c>
      <c r="K24" s="36">
        <v>90.0</v>
      </c>
      <c r="L24" s="36">
        <v>55.5</v>
      </c>
      <c r="M24" s="36">
        <v>84.0</v>
      </c>
      <c r="N24" s="36">
        <v>43.0</v>
      </c>
      <c r="O24" s="36">
        <v>12.0</v>
      </c>
      <c r="P24" s="36">
        <v>21.0</v>
      </c>
      <c r="Q24" s="36">
        <v>0.36</v>
      </c>
      <c r="R24" s="36">
        <v>1.81</v>
      </c>
      <c r="S24" s="36">
        <v>3.21</v>
      </c>
      <c r="T24" s="36">
        <v>5.03</v>
      </c>
      <c r="U24" s="21">
        <f t="shared" si="1"/>
        <v>5030</v>
      </c>
      <c r="V24" s="21">
        <f t="shared" si="2"/>
        <v>36100</v>
      </c>
    </row>
    <row r="25" ht="14.25" customHeight="1">
      <c r="A25" s="38">
        <v>0.1840277777777778</v>
      </c>
      <c r="B25" s="36">
        <v>0.0</v>
      </c>
      <c r="C25" s="36">
        <v>9.5</v>
      </c>
      <c r="D25" s="36">
        <v>525.0</v>
      </c>
      <c r="E25" s="36">
        <v>457.0</v>
      </c>
      <c r="F25" s="36">
        <v>0.87</v>
      </c>
      <c r="G25" s="36">
        <v>12.0</v>
      </c>
      <c r="H25" s="36">
        <v>0.98</v>
      </c>
      <c r="I25" s="36">
        <v>12.2</v>
      </c>
      <c r="J25" s="36">
        <v>92.3</v>
      </c>
      <c r="K25" s="36">
        <v>90.0</v>
      </c>
      <c r="L25" s="36">
        <v>55.6</v>
      </c>
      <c r="M25" s="36">
        <v>84.0</v>
      </c>
      <c r="N25" s="36">
        <v>43.0</v>
      </c>
      <c r="O25" s="36">
        <v>12.0</v>
      </c>
      <c r="P25" s="36">
        <v>21.0</v>
      </c>
      <c r="Q25" s="36">
        <v>0.34</v>
      </c>
      <c r="R25" s="36">
        <v>1.66</v>
      </c>
      <c r="S25" s="36">
        <v>3.18</v>
      </c>
      <c r="T25" s="36">
        <v>4.84</v>
      </c>
      <c r="U25" s="21">
        <f t="shared" si="1"/>
        <v>4840</v>
      </c>
      <c r="V25" s="21">
        <f t="shared" si="2"/>
        <v>67600</v>
      </c>
    </row>
    <row r="26" ht="14.25" customHeight="1">
      <c r="A26" s="38">
        <v>0.1875</v>
      </c>
      <c r="B26" s="36">
        <v>0.0</v>
      </c>
      <c r="C26" s="36">
        <v>10.0</v>
      </c>
      <c r="D26" s="36">
        <v>551.0</v>
      </c>
      <c r="E26" s="36">
        <v>485.0</v>
      </c>
      <c r="F26" s="36">
        <v>0.88</v>
      </c>
      <c r="G26" s="36">
        <v>13.0</v>
      </c>
      <c r="H26" s="36">
        <v>0.99</v>
      </c>
      <c r="I26" s="36">
        <v>12.9</v>
      </c>
      <c r="J26" s="36">
        <v>91.9</v>
      </c>
      <c r="K26" s="36">
        <v>89.0</v>
      </c>
      <c r="L26" s="36">
        <v>56.3</v>
      </c>
      <c r="M26" s="36">
        <v>84.0</v>
      </c>
      <c r="N26" s="36">
        <v>43.0</v>
      </c>
      <c r="O26" s="36">
        <v>13.0</v>
      </c>
      <c r="P26" s="36">
        <v>23.0</v>
      </c>
      <c r="Q26" s="36">
        <v>0.34</v>
      </c>
      <c r="R26" s="36">
        <v>1.58</v>
      </c>
      <c r="S26" s="36">
        <v>3.0</v>
      </c>
      <c r="T26" s="36">
        <v>4.58</v>
      </c>
      <c r="U26" s="21">
        <f t="shared" si="1"/>
        <v>4580</v>
      </c>
      <c r="V26" s="21">
        <f t="shared" si="2"/>
        <v>108900</v>
      </c>
    </row>
    <row r="27" ht="14.25" customHeight="1">
      <c r="A27" s="38">
        <v>0.19166666666666668</v>
      </c>
      <c r="B27" s="36">
        <v>0.0</v>
      </c>
      <c r="C27" s="36">
        <v>10.0</v>
      </c>
      <c r="D27" s="36">
        <v>549.0</v>
      </c>
      <c r="E27" s="36">
        <v>489.0</v>
      </c>
      <c r="F27" s="36">
        <v>0.89</v>
      </c>
      <c r="G27" s="36">
        <v>12.0</v>
      </c>
      <c r="H27" s="36">
        <v>1.06</v>
      </c>
      <c r="I27" s="36">
        <v>12.9</v>
      </c>
      <c r="J27" s="36">
        <v>91.9</v>
      </c>
      <c r="K27" s="36">
        <v>87.0</v>
      </c>
      <c r="L27" s="36">
        <v>57.1</v>
      </c>
      <c r="M27" s="36">
        <v>84.0</v>
      </c>
      <c r="N27" s="36">
        <v>43.0</v>
      </c>
      <c r="O27" s="36">
        <v>12.0</v>
      </c>
      <c r="P27" s="36">
        <v>22.0</v>
      </c>
      <c r="Q27" s="36">
        <v>0.35</v>
      </c>
      <c r="R27" s="36">
        <v>1.73</v>
      </c>
      <c r="S27" s="36">
        <v>3.17</v>
      </c>
      <c r="T27" s="36">
        <v>4.91</v>
      </c>
      <c r="U27" s="21">
        <f t="shared" si="1"/>
        <v>4910</v>
      </c>
      <c r="V27" s="21">
        <f t="shared" si="2"/>
        <v>577600</v>
      </c>
    </row>
    <row r="28" ht="14.25" customHeight="1">
      <c r="A28" s="38">
        <v>0.19722222222222222</v>
      </c>
      <c r="B28" s="36">
        <v>0.0</v>
      </c>
      <c r="C28" s="36">
        <v>10.1</v>
      </c>
      <c r="D28" s="36">
        <v>558.0</v>
      </c>
      <c r="E28" s="36">
        <v>516.0</v>
      </c>
      <c r="F28" s="36">
        <v>0.92</v>
      </c>
      <c r="G28" s="36">
        <v>11.0</v>
      </c>
      <c r="H28" s="36">
        <v>1.28</v>
      </c>
      <c r="I28" s="36">
        <v>13.5</v>
      </c>
      <c r="J28" s="36">
        <v>91.5</v>
      </c>
      <c r="K28" s="36">
        <v>88.0</v>
      </c>
      <c r="L28" s="36">
        <v>56.8</v>
      </c>
      <c r="M28" s="36">
        <v>85.0</v>
      </c>
      <c r="N28" s="36">
        <v>43.0</v>
      </c>
      <c r="O28" s="36">
        <v>11.0</v>
      </c>
      <c r="P28" s="36">
        <v>23.0</v>
      </c>
      <c r="Q28" s="36">
        <v>0.37</v>
      </c>
      <c r="R28" s="36">
        <v>2.09</v>
      </c>
      <c r="S28" s="36">
        <v>3.58</v>
      </c>
      <c r="T28" s="36">
        <v>5.67</v>
      </c>
      <c r="U28" s="21">
        <f t="shared" si="1"/>
        <v>5670</v>
      </c>
      <c r="V28" s="21">
        <f t="shared" si="2"/>
        <v>90000</v>
      </c>
    </row>
    <row r="29" ht="14.25" customHeight="1">
      <c r="A29" s="38">
        <v>0.2</v>
      </c>
      <c r="B29" s="36">
        <v>0.0</v>
      </c>
      <c r="C29" s="36">
        <v>9.9</v>
      </c>
      <c r="D29" s="36">
        <v>545.0</v>
      </c>
      <c r="E29" s="36">
        <v>512.0</v>
      </c>
      <c r="F29" s="36">
        <v>0.94</v>
      </c>
      <c r="G29" s="36">
        <v>11.0</v>
      </c>
      <c r="H29" s="36">
        <v>1.22</v>
      </c>
      <c r="I29" s="36">
        <v>13.6</v>
      </c>
      <c r="J29" s="36">
        <v>91.4</v>
      </c>
      <c r="K29" s="36">
        <v>89.0</v>
      </c>
      <c r="L29" s="36">
        <v>56.0</v>
      </c>
      <c r="M29" s="36">
        <v>86.0</v>
      </c>
      <c r="N29" s="36">
        <v>42.0</v>
      </c>
      <c r="O29" s="36">
        <v>11.0</v>
      </c>
      <c r="P29" s="36">
        <v>22.0</v>
      </c>
      <c r="Q29" s="36">
        <v>0.36</v>
      </c>
      <c r="R29" s="36">
        <v>1.94</v>
      </c>
      <c r="S29" s="36">
        <v>3.43</v>
      </c>
      <c r="T29" s="36">
        <v>5.37</v>
      </c>
      <c r="U29" s="21">
        <f t="shared" si="1"/>
        <v>5370</v>
      </c>
      <c r="V29" s="21">
        <f t="shared" si="2"/>
        <v>810000</v>
      </c>
    </row>
    <row r="30" ht="14.25" customHeight="1">
      <c r="A30" s="38">
        <v>0.20277777777777778</v>
      </c>
      <c r="B30" s="36">
        <v>0.0</v>
      </c>
      <c r="C30" s="36">
        <v>9.7</v>
      </c>
      <c r="D30" s="36">
        <v>535.0</v>
      </c>
      <c r="E30" s="36">
        <v>486.0</v>
      </c>
      <c r="F30" s="36">
        <v>0.91</v>
      </c>
      <c r="G30" s="36">
        <v>13.0</v>
      </c>
      <c r="H30" s="36">
        <v>0.97</v>
      </c>
      <c r="I30" s="36">
        <v>13.0</v>
      </c>
      <c r="J30" s="36">
        <v>91.8</v>
      </c>
      <c r="K30" s="36">
        <v>88.0</v>
      </c>
      <c r="L30" s="36">
        <v>56.7</v>
      </c>
      <c r="M30" s="36">
        <v>85.0</v>
      </c>
      <c r="N30" s="36">
        <v>43.0</v>
      </c>
      <c r="O30" s="36">
        <v>13.0</v>
      </c>
      <c r="P30" s="36">
        <v>22.0</v>
      </c>
      <c r="Q30" s="36">
        <v>0.33</v>
      </c>
      <c r="R30" s="36">
        <v>1.49</v>
      </c>
      <c r="S30" s="36">
        <v>2.99</v>
      </c>
      <c r="T30" s="36">
        <v>4.47</v>
      </c>
      <c r="U30" s="21">
        <f t="shared" si="1"/>
        <v>4470</v>
      </c>
      <c r="V30" s="21">
        <f t="shared" si="2"/>
        <v>48400</v>
      </c>
    </row>
    <row r="31" ht="14.25" customHeight="1">
      <c r="A31" s="38">
        <v>0.20694444444444443</v>
      </c>
      <c r="B31" s="36">
        <v>2.0</v>
      </c>
      <c r="C31" s="36">
        <v>9.5</v>
      </c>
      <c r="D31" s="36">
        <v>525.0</v>
      </c>
      <c r="E31" s="36">
        <v>483.0</v>
      </c>
      <c r="F31" s="36">
        <v>0.92</v>
      </c>
      <c r="G31" s="36">
        <v>13.0</v>
      </c>
      <c r="H31" s="36">
        <v>1.01</v>
      </c>
      <c r="I31" s="36">
        <v>12.9</v>
      </c>
      <c r="J31" s="36">
        <v>91.9</v>
      </c>
      <c r="K31" s="36">
        <v>87.0</v>
      </c>
      <c r="L31" s="36">
        <v>57.2</v>
      </c>
      <c r="M31" s="36">
        <v>86.0</v>
      </c>
      <c r="N31" s="36">
        <v>42.0</v>
      </c>
      <c r="O31" s="36">
        <v>13.0</v>
      </c>
      <c r="P31" s="36">
        <v>21.0</v>
      </c>
      <c r="Q31" s="36">
        <v>0.36</v>
      </c>
      <c r="R31" s="36">
        <v>1.71</v>
      </c>
      <c r="S31" s="36">
        <v>2.98</v>
      </c>
      <c r="T31" s="36">
        <v>4.69</v>
      </c>
      <c r="U31" s="21">
        <f t="shared" si="1"/>
        <v>4690</v>
      </c>
      <c r="V31" s="21">
        <f t="shared" si="2"/>
        <v>2500</v>
      </c>
    </row>
    <row r="32" ht="14.25" customHeight="1">
      <c r="A32" s="38">
        <v>0.20972222222222223</v>
      </c>
      <c r="B32" s="36">
        <v>4.0</v>
      </c>
      <c r="C32" s="36">
        <v>9.4</v>
      </c>
      <c r="D32" s="36">
        <v>517.0</v>
      </c>
      <c r="E32" s="36">
        <v>481.0</v>
      </c>
      <c r="F32" s="36">
        <v>0.93</v>
      </c>
      <c r="G32" s="36">
        <v>13.0</v>
      </c>
      <c r="H32" s="36">
        <v>1.02</v>
      </c>
      <c r="I32" s="36">
        <v>12.9</v>
      </c>
      <c r="J32" s="36">
        <v>91.9</v>
      </c>
      <c r="K32" s="36">
        <v>86.0</v>
      </c>
      <c r="L32" s="36">
        <v>57.5</v>
      </c>
      <c r="M32" s="36">
        <v>86.0</v>
      </c>
      <c r="N32" s="36">
        <v>42.0</v>
      </c>
      <c r="O32" s="36">
        <v>13.0</v>
      </c>
      <c r="P32" s="36">
        <v>21.0</v>
      </c>
      <c r="Q32" s="36">
        <v>0.37</v>
      </c>
      <c r="R32" s="36">
        <v>1.74</v>
      </c>
      <c r="S32" s="36">
        <v>3.0</v>
      </c>
      <c r="T32" s="36">
        <v>4.74</v>
      </c>
      <c r="U32" s="21">
        <f t="shared" si="1"/>
        <v>4740</v>
      </c>
      <c r="V32" s="21">
        <f t="shared" si="2"/>
        <v>6400</v>
      </c>
    </row>
    <row r="33" ht="14.25" customHeight="1">
      <c r="A33" s="38">
        <v>0.2125</v>
      </c>
      <c r="B33" s="36">
        <v>6.0</v>
      </c>
      <c r="C33" s="36">
        <v>9.5</v>
      </c>
      <c r="D33" s="36">
        <v>523.0</v>
      </c>
      <c r="E33" s="36">
        <v>488.0</v>
      </c>
      <c r="F33" s="36">
        <v>0.93</v>
      </c>
      <c r="G33" s="36">
        <v>12.0</v>
      </c>
      <c r="H33" s="36">
        <v>1.05</v>
      </c>
      <c r="I33" s="36">
        <v>13.1</v>
      </c>
      <c r="J33" s="36">
        <v>91.8</v>
      </c>
      <c r="K33" s="36">
        <v>86.0</v>
      </c>
      <c r="L33" s="36">
        <v>57.5</v>
      </c>
      <c r="M33" s="36">
        <v>86.0</v>
      </c>
      <c r="N33" s="36">
        <v>42.0</v>
      </c>
      <c r="O33" s="36">
        <v>12.0</v>
      </c>
      <c r="P33" s="36">
        <v>21.0</v>
      </c>
      <c r="Q33" s="36">
        <v>0.37</v>
      </c>
      <c r="R33" s="36">
        <v>1.78</v>
      </c>
      <c r="S33" s="36">
        <v>3.04</v>
      </c>
      <c r="T33" s="36">
        <v>4.82</v>
      </c>
      <c r="U33" s="21">
        <f t="shared" si="1"/>
        <v>4820</v>
      </c>
      <c r="V33" s="21">
        <f t="shared" si="2"/>
        <v>168100</v>
      </c>
    </row>
    <row r="34" ht="14.25" customHeight="1">
      <c r="A34" s="38">
        <v>0.21597222222222223</v>
      </c>
      <c r="B34" s="36">
        <v>8.0</v>
      </c>
      <c r="C34" s="36">
        <v>9.1</v>
      </c>
      <c r="D34" s="36">
        <v>501.0</v>
      </c>
      <c r="E34" s="36">
        <v>472.0</v>
      </c>
      <c r="F34" s="36">
        <v>0.94</v>
      </c>
      <c r="G34" s="36">
        <v>14.0</v>
      </c>
      <c r="H34" s="36">
        <v>0.95</v>
      </c>
      <c r="I34" s="36">
        <v>12.9</v>
      </c>
      <c r="J34" s="36">
        <v>91.9</v>
      </c>
      <c r="K34" s="36">
        <v>86.0</v>
      </c>
      <c r="L34" s="36">
        <v>57.4</v>
      </c>
      <c r="M34" s="36">
        <v>87.0</v>
      </c>
      <c r="N34" s="36">
        <v>42.0</v>
      </c>
      <c r="O34" s="36">
        <v>14.0</v>
      </c>
      <c r="P34" s="36">
        <v>21.0</v>
      </c>
      <c r="Q34" s="36">
        <v>0.35</v>
      </c>
      <c r="R34" s="36">
        <v>1.52</v>
      </c>
      <c r="S34" s="36">
        <v>2.89</v>
      </c>
      <c r="T34" s="36">
        <v>4.41</v>
      </c>
      <c r="U34" s="21">
        <f t="shared" si="1"/>
        <v>4410</v>
      </c>
      <c r="V34" s="21">
        <f t="shared" si="2"/>
        <v>0</v>
      </c>
    </row>
    <row r="35" ht="14.25" customHeight="1">
      <c r="A35" s="38">
        <v>0.21875</v>
      </c>
      <c r="B35" s="36">
        <v>9.0</v>
      </c>
      <c r="C35" s="36">
        <v>9.1</v>
      </c>
      <c r="D35" s="36">
        <v>502.0</v>
      </c>
      <c r="E35" s="36">
        <v>472.0</v>
      </c>
      <c r="F35" s="36">
        <v>0.94</v>
      </c>
      <c r="G35" s="36">
        <v>14.0</v>
      </c>
      <c r="H35" s="36">
        <v>0.95</v>
      </c>
      <c r="I35" s="36">
        <v>12.9</v>
      </c>
      <c r="J35" s="36">
        <v>91.9</v>
      </c>
      <c r="K35" s="36">
        <v>85.0</v>
      </c>
      <c r="L35" s="36">
        <v>58.1</v>
      </c>
      <c r="M35" s="36">
        <v>87.0</v>
      </c>
      <c r="N35" s="36">
        <v>42.0</v>
      </c>
      <c r="O35" s="36">
        <v>14.0</v>
      </c>
      <c r="P35" s="36">
        <v>21.0</v>
      </c>
      <c r="Q35" s="36">
        <v>0.35</v>
      </c>
      <c r="R35" s="36">
        <v>1.52</v>
      </c>
      <c r="S35" s="36">
        <v>2.89</v>
      </c>
      <c r="T35" s="36">
        <v>4.41</v>
      </c>
      <c r="U35" s="21">
        <f t="shared" si="1"/>
        <v>4410</v>
      </c>
      <c r="V35" s="21">
        <f t="shared" si="2"/>
        <v>0</v>
      </c>
    </row>
    <row r="36" ht="14.25" customHeight="1">
      <c r="A36" s="38">
        <v>0.22083333333333333</v>
      </c>
      <c r="B36" s="36">
        <v>11.0</v>
      </c>
      <c r="C36" s="36">
        <v>9.4</v>
      </c>
      <c r="D36" s="36">
        <v>517.0</v>
      </c>
      <c r="E36" s="36">
        <v>482.0</v>
      </c>
      <c r="F36" s="36">
        <v>0.93</v>
      </c>
      <c r="G36" s="36">
        <v>14.0</v>
      </c>
      <c r="H36" s="36">
        <v>0.97</v>
      </c>
      <c r="I36" s="36">
        <v>13.2</v>
      </c>
      <c r="J36" s="36">
        <v>91.7</v>
      </c>
      <c r="K36" s="36">
        <v>88.0</v>
      </c>
      <c r="L36" s="36">
        <v>56.7</v>
      </c>
      <c r="M36" s="36">
        <v>87.0</v>
      </c>
      <c r="N36" s="36">
        <v>42.0</v>
      </c>
      <c r="O36" s="36">
        <v>14.0</v>
      </c>
      <c r="P36" s="36">
        <v>21.0</v>
      </c>
      <c r="Q36" s="36">
        <v>0.36</v>
      </c>
      <c r="R36" s="36">
        <v>1.57</v>
      </c>
      <c r="S36" s="36">
        <v>2.84</v>
      </c>
      <c r="T36" s="36">
        <v>4.41</v>
      </c>
      <c r="U36" s="21">
        <f t="shared" si="1"/>
        <v>4410</v>
      </c>
      <c r="V36" s="21">
        <f t="shared" si="2"/>
        <v>10000</v>
      </c>
    </row>
    <row r="37" ht="14.25" customHeight="1">
      <c r="A37" s="38">
        <v>0.22361111111111112</v>
      </c>
      <c r="B37" s="36">
        <v>12.0</v>
      </c>
      <c r="C37" s="36">
        <v>9.6</v>
      </c>
      <c r="D37" s="36">
        <v>527.0</v>
      </c>
      <c r="E37" s="36">
        <v>493.0</v>
      </c>
      <c r="F37" s="36">
        <v>0.93</v>
      </c>
      <c r="G37" s="36">
        <v>14.0</v>
      </c>
      <c r="H37" s="36">
        <v>0.97</v>
      </c>
      <c r="I37" s="36">
        <v>13.5</v>
      </c>
      <c r="J37" s="36">
        <v>91.5</v>
      </c>
      <c r="K37" s="36">
        <v>89.0</v>
      </c>
      <c r="L37" s="36">
        <v>56.1</v>
      </c>
      <c r="M37" s="36">
        <v>87.0</v>
      </c>
      <c r="N37" s="36">
        <v>42.0</v>
      </c>
      <c r="O37" s="36">
        <v>14.0</v>
      </c>
      <c r="P37" s="36">
        <v>22.0</v>
      </c>
      <c r="Q37" s="36">
        <v>0.37</v>
      </c>
      <c r="R37" s="36">
        <v>1.57</v>
      </c>
      <c r="S37" s="36">
        <v>2.74</v>
      </c>
      <c r="T37" s="36">
        <v>4.31</v>
      </c>
      <c r="U37" s="21">
        <f t="shared" si="1"/>
        <v>4310</v>
      </c>
      <c r="V37" s="21">
        <f t="shared" si="2"/>
        <v>48400</v>
      </c>
    </row>
    <row r="38" ht="14.25" customHeight="1">
      <c r="A38" s="38">
        <v>0.2263888888888889</v>
      </c>
      <c r="B38" s="36">
        <v>14.0</v>
      </c>
      <c r="C38" s="36">
        <v>9.6</v>
      </c>
      <c r="D38" s="36">
        <v>530.0</v>
      </c>
      <c r="E38" s="36">
        <v>493.0</v>
      </c>
      <c r="F38" s="36">
        <v>0.93</v>
      </c>
      <c r="G38" s="36">
        <v>15.0</v>
      </c>
      <c r="H38" s="36">
        <v>0.93</v>
      </c>
      <c r="I38" s="36">
        <v>13.7</v>
      </c>
      <c r="J38" s="36">
        <v>91.4</v>
      </c>
      <c r="K38" s="36">
        <v>90.0</v>
      </c>
      <c r="L38" s="36">
        <v>55.6</v>
      </c>
      <c r="M38" s="36">
        <v>87.0</v>
      </c>
      <c r="N38" s="36">
        <v>42.0</v>
      </c>
      <c r="O38" s="36">
        <v>15.0</v>
      </c>
      <c r="P38" s="36">
        <v>22.0</v>
      </c>
      <c r="Q38" s="36">
        <v>0.34</v>
      </c>
      <c r="R38" s="36">
        <v>1.37</v>
      </c>
      <c r="S38" s="36">
        <v>2.71</v>
      </c>
      <c r="T38" s="36">
        <v>4.09</v>
      </c>
      <c r="U38" s="21">
        <f t="shared" si="1"/>
        <v>4090</v>
      </c>
      <c r="V38" s="21">
        <f t="shared" si="2"/>
        <v>900</v>
      </c>
    </row>
    <row r="39" ht="14.25" customHeight="1">
      <c r="A39" s="38">
        <v>0.22847222222222222</v>
      </c>
      <c r="B39" s="36">
        <v>15.0</v>
      </c>
      <c r="C39" s="36">
        <v>9.3</v>
      </c>
      <c r="D39" s="36">
        <v>511.0</v>
      </c>
      <c r="E39" s="36">
        <v>473.0</v>
      </c>
      <c r="F39" s="36">
        <v>0.93</v>
      </c>
      <c r="G39" s="36">
        <v>15.0</v>
      </c>
      <c r="H39" s="36">
        <v>0.89</v>
      </c>
      <c r="I39" s="36">
        <v>13.1</v>
      </c>
      <c r="J39" s="36">
        <v>91.7</v>
      </c>
      <c r="K39" s="36">
        <v>95.0</v>
      </c>
      <c r="L39" s="36">
        <v>53.4</v>
      </c>
      <c r="M39" s="36">
        <v>87.0</v>
      </c>
      <c r="N39" s="36">
        <v>42.0</v>
      </c>
      <c r="O39" s="36">
        <v>15.0</v>
      </c>
      <c r="P39" s="36">
        <v>21.0</v>
      </c>
      <c r="Q39" s="36">
        <v>0.33</v>
      </c>
      <c r="R39" s="36">
        <v>1.33</v>
      </c>
      <c r="S39" s="36">
        <v>2.73</v>
      </c>
      <c r="T39" s="36">
        <v>4.06</v>
      </c>
      <c r="U39" s="21">
        <f t="shared" si="1"/>
        <v>4060</v>
      </c>
      <c r="V39" s="21">
        <f t="shared" si="2"/>
        <v>22500</v>
      </c>
    </row>
    <row r="40" ht="14.25" customHeight="1">
      <c r="A40" s="38">
        <v>0.23125</v>
      </c>
      <c r="B40" s="36">
        <v>16.0</v>
      </c>
      <c r="C40" s="36">
        <v>9.6</v>
      </c>
      <c r="D40" s="36">
        <v>527.0</v>
      </c>
      <c r="E40" s="36">
        <v>482.0</v>
      </c>
      <c r="F40" s="36">
        <v>0.91</v>
      </c>
      <c r="G40" s="36">
        <v>15.0</v>
      </c>
      <c r="H40" s="36">
        <v>0.88</v>
      </c>
      <c r="I40" s="36">
        <v>13.4</v>
      </c>
      <c r="J40" s="36">
        <v>91.6</v>
      </c>
      <c r="K40" s="36">
        <v>94.0</v>
      </c>
      <c r="L40" s="36">
        <v>53.5</v>
      </c>
      <c r="M40" s="36">
        <v>86.0</v>
      </c>
      <c r="N40" s="36">
        <v>42.0</v>
      </c>
      <c r="O40" s="36">
        <v>15.0</v>
      </c>
      <c r="P40" s="36">
        <v>22.0</v>
      </c>
      <c r="Q40" s="36">
        <v>0.34</v>
      </c>
      <c r="R40" s="36">
        <v>1.32</v>
      </c>
      <c r="S40" s="36">
        <v>2.59</v>
      </c>
      <c r="T40" s="36">
        <v>3.91</v>
      </c>
      <c r="U40" s="21">
        <f t="shared" si="1"/>
        <v>3910</v>
      </c>
      <c r="V40" s="21">
        <f t="shared" si="2"/>
        <v>40000</v>
      </c>
    </row>
    <row r="41" ht="14.25" customHeight="1">
      <c r="A41" s="38">
        <v>0.23819444444444443</v>
      </c>
      <c r="B41" s="36">
        <v>21.0</v>
      </c>
      <c r="C41" s="36">
        <v>10.9</v>
      </c>
      <c r="D41" s="36">
        <v>601.0</v>
      </c>
      <c r="E41" s="36">
        <v>546.0</v>
      </c>
      <c r="F41" s="36">
        <v>0.91</v>
      </c>
      <c r="G41" s="36">
        <v>16.0</v>
      </c>
      <c r="H41" s="36">
        <v>0.92</v>
      </c>
      <c r="I41" s="36">
        <v>14.9</v>
      </c>
      <c r="J41" s="36">
        <v>90.6</v>
      </c>
      <c r="K41" s="36">
        <v>95.0</v>
      </c>
      <c r="L41" s="36">
        <v>53.4</v>
      </c>
      <c r="M41" s="36">
        <v>86.0</v>
      </c>
      <c r="N41" s="36">
        <v>42.0</v>
      </c>
      <c r="O41" s="36">
        <v>16.0</v>
      </c>
      <c r="P41" s="36">
        <v>25.0</v>
      </c>
      <c r="Q41" s="36">
        <v>0.31</v>
      </c>
      <c r="R41" s="36">
        <v>1.13</v>
      </c>
      <c r="S41" s="36">
        <v>2.57</v>
      </c>
      <c r="T41" s="36">
        <v>3.71</v>
      </c>
      <c r="U41" s="21">
        <f t="shared" si="1"/>
        <v>3710</v>
      </c>
      <c r="V41" s="21">
        <f t="shared" si="2"/>
        <v>12100</v>
      </c>
    </row>
    <row r="42" ht="14.25" customHeight="1">
      <c r="A42" s="38">
        <v>0.24097222222222223</v>
      </c>
      <c r="B42" s="36">
        <v>23.0</v>
      </c>
      <c r="C42" s="36">
        <v>9.5</v>
      </c>
      <c r="D42" s="36">
        <v>520.0</v>
      </c>
      <c r="E42" s="36">
        <v>472.0</v>
      </c>
      <c r="F42" s="36">
        <v>0.91</v>
      </c>
      <c r="G42" s="36">
        <v>17.0</v>
      </c>
      <c r="H42" s="36">
        <v>0.8</v>
      </c>
      <c r="I42" s="36">
        <v>13.4</v>
      </c>
      <c r="J42" s="36">
        <v>91.6</v>
      </c>
      <c r="K42" s="36">
        <v>95.0</v>
      </c>
      <c r="L42" s="36">
        <v>53.4</v>
      </c>
      <c r="M42" s="36">
        <v>88.0</v>
      </c>
      <c r="N42" s="36">
        <v>41.0</v>
      </c>
      <c r="O42" s="36">
        <v>17.0</v>
      </c>
      <c r="P42" s="36">
        <v>21.0</v>
      </c>
      <c r="Q42" s="36">
        <v>0.34</v>
      </c>
      <c r="R42" s="36">
        <v>1.21</v>
      </c>
      <c r="S42" s="36">
        <v>2.39</v>
      </c>
      <c r="T42" s="36">
        <v>3.6</v>
      </c>
      <c r="U42" s="21">
        <f t="shared" si="1"/>
        <v>3600</v>
      </c>
      <c r="V42" s="21">
        <f t="shared" si="2"/>
        <v>3600</v>
      </c>
    </row>
    <row r="43" ht="14.25" customHeight="1">
      <c r="A43" s="38">
        <v>0.24375</v>
      </c>
      <c r="B43" s="36">
        <v>25.0</v>
      </c>
      <c r="C43" s="36">
        <v>10.7</v>
      </c>
      <c r="D43" s="36">
        <v>589.0</v>
      </c>
      <c r="E43" s="36">
        <v>517.0</v>
      </c>
      <c r="F43" s="36">
        <v>0.88</v>
      </c>
      <c r="G43" s="36">
        <v>16.0</v>
      </c>
      <c r="H43" s="36">
        <v>0.85</v>
      </c>
      <c r="I43" s="36">
        <v>13.9</v>
      </c>
      <c r="J43" s="36">
        <v>91.2</v>
      </c>
      <c r="K43" s="36">
        <v>94.0</v>
      </c>
      <c r="L43" s="36">
        <v>53.8</v>
      </c>
      <c r="M43" s="36">
        <v>86.0</v>
      </c>
      <c r="N43" s="36">
        <v>42.0</v>
      </c>
      <c r="O43" s="36">
        <v>16.0</v>
      </c>
      <c r="P43" s="36">
        <v>24.0</v>
      </c>
      <c r="Q43" s="36">
        <v>0.3</v>
      </c>
      <c r="R43" s="36">
        <v>1.11</v>
      </c>
      <c r="S43" s="36">
        <v>2.55</v>
      </c>
      <c r="T43" s="36">
        <v>3.66</v>
      </c>
      <c r="U43" s="21">
        <f t="shared" si="1"/>
        <v>3660</v>
      </c>
      <c r="V43" s="21">
        <f t="shared" si="2"/>
        <v>547600</v>
      </c>
    </row>
    <row r="44" ht="14.25" customHeight="1">
      <c r="A44" s="38">
        <v>0.24861111111111112</v>
      </c>
      <c r="B44" s="36">
        <v>28.0</v>
      </c>
      <c r="C44" s="36">
        <v>11.1</v>
      </c>
      <c r="D44" s="36">
        <v>610.0</v>
      </c>
      <c r="E44" s="36">
        <v>522.0</v>
      </c>
      <c r="F44" s="36">
        <v>0.86</v>
      </c>
      <c r="G44" s="36">
        <v>14.0</v>
      </c>
      <c r="H44" s="36">
        <v>1.01</v>
      </c>
      <c r="I44" s="36">
        <v>13.7</v>
      </c>
      <c r="J44" s="36">
        <v>91.4</v>
      </c>
      <c r="K44" s="36">
        <v>92.0</v>
      </c>
      <c r="L44" s="36">
        <v>54.9</v>
      </c>
      <c r="M44" s="36">
        <v>85.0</v>
      </c>
      <c r="N44" s="36">
        <v>42.0</v>
      </c>
      <c r="O44" s="36">
        <v>14.0</v>
      </c>
      <c r="P44" s="36">
        <v>25.0</v>
      </c>
      <c r="Q44" s="36">
        <v>0.34</v>
      </c>
      <c r="R44" s="36">
        <v>1.5</v>
      </c>
      <c r="S44" s="36">
        <v>2.91</v>
      </c>
      <c r="T44" s="36">
        <v>4.4</v>
      </c>
      <c r="U44" s="21">
        <f t="shared" si="1"/>
        <v>4400</v>
      </c>
      <c r="V44" s="21">
        <f t="shared" si="2"/>
        <v>62500</v>
      </c>
    </row>
    <row r="45" ht="14.25" customHeight="1">
      <c r="A45" s="38">
        <v>0.25277777777777777</v>
      </c>
      <c r="B45" s="36">
        <v>30.0</v>
      </c>
      <c r="C45" s="36">
        <v>11.4</v>
      </c>
      <c r="D45" s="36">
        <v>626.0</v>
      </c>
      <c r="E45" s="36">
        <v>530.0</v>
      </c>
      <c r="F45" s="36">
        <v>0.85</v>
      </c>
      <c r="G45" s="36">
        <v>13.0</v>
      </c>
      <c r="H45" s="36">
        <v>1.06</v>
      </c>
      <c r="I45" s="36">
        <v>13.7</v>
      </c>
      <c r="J45" s="36">
        <v>91.4</v>
      </c>
      <c r="K45" s="36">
        <v>91.0</v>
      </c>
      <c r="L45" s="36">
        <v>55.2</v>
      </c>
      <c r="M45" s="36">
        <v>84.0</v>
      </c>
      <c r="N45" s="36">
        <v>43.0</v>
      </c>
      <c r="O45" s="36">
        <v>13.0</v>
      </c>
      <c r="P45" s="36">
        <v>26.0</v>
      </c>
      <c r="Q45" s="36">
        <v>0.34</v>
      </c>
      <c r="R45" s="36">
        <v>1.58</v>
      </c>
      <c r="S45" s="36">
        <v>3.07</v>
      </c>
      <c r="T45" s="36">
        <v>4.65</v>
      </c>
      <c r="U45" s="21">
        <f t="shared" si="1"/>
        <v>4650</v>
      </c>
      <c r="V45" s="21">
        <f t="shared" si="2"/>
        <v>176400</v>
      </c>
    </row>
    <row r="46" ht="14.25" customHeight="1">
      <c r="A46" s="38">
        <v>0.25625</v>
      </c>
      <c r="B46" s="36">
        <v>32.0</v>
      </c>
      <c r="C46" s="36">
        <v>12.8</v>
      </c>
      <c r="D46" s="36">
        <v>706.0</v>
      </c>
      <c r="E46" s="36">
        <v>591.0</v>
      </c>
      <c r="F46" s="36">
        <v>0.84</v>
      </c>
      <c r="G46" s="36">
        <v>12.0</v>
      </c>
      <c r="H46" s="36">
        <v>1.24</v>
      </c>
      <c r="I46" s="36">
        <v>14.7</v>
      </c>
      <c r="J46" s="36">
        <v>90.8</v>
      </c>
      <c r="K46" s="36">
        <v>88.0</v>
      </c>
      <c r="L46" s="36">
        <v>56.7</v>
      </c>
      <c r="M46" s="36">
        <v>80.0</v>
      </c>
      <c r="N46" s="36">
        <v>45.0</v>
      </c>
      <c r="O46" s="36">
        <v>12.0</v>
      </c>
      <c r="P46" s="36">
        <v>29.0</v>
      </c>
      <c r="Q46" s="36">
        <v>0.3</v>
      </c>
      <c r="R46" s="36">
        <v>1.5</v>
      </c>
      <c r="S46" s="36">
        <v>3.57</v>
      </c>
      <c r="T46" s="36">
        <v>5.07</v>
      </c>
      <c r="U46" s="21">
        <f t="shared" si="1"/>
        <v>5070</v>
      </c>
      <c r="V46" s="21">
        <f t="shared" si="2"/>
        <v>462400</v>
      </c>
    </row>
    <row r="47" ht="14.25" customHeight="1">
      <c r="A47" s="38">
        <v>0.2611111111111111</v>
      </c>
      <c r="B47" s="36">
        <v>35.0</v>
      </c>
      <c r="C47" s="36">
        <v>12.1</v>
      </c>
      <c r="D47" s="36">
        <v>665.0</v>
      </c>
      <c r="E47" s="36">
        <v>547.0</v>
      </c>
      <c r="F47" s="36">
        <v>0.82</v>
      </c>
      <c r="G47" s="36">
        <v>10.0</v>
      </c>
      <c r="H47" s="36">
        <v>1.31</v>
      </c>
      <c r="I47" s="36">
        <v>13.6</v>
      </c>
      <c r="J47" s="36">
        <v>91.4</v>
      </c>
      <c r="K47" s="36">
        <v>86.0</v>
      </c>
      <c r="L47" s="36">
        <v>57.8</v>
      </c>
      <c r="M47" s="36">
        <v>79.0</v>
      </c>
      <c r="N47" s="36">
        <v>45.0</v>
      </c>
      <c r="O47" s="36">
        <v>10.0</v>
      </c>
      <c r="P47" s="36">
        <v>27.0</v>
      </c>
      <c r="Q47" s="36">
        <v>0.33</v>
      </c>
      <c r="R47" s="36">
        <v>1.89</v>
      </c>
      <c r="S47" s="36">
        <v>3.87</v>
      </c>
      <c r="T47" s="36">
        <v>5.75</v>
      </c>
      <c r="U47" s="21">
        <f t="shared" si="1"/>
        <v>5750</v>
      </c>
      <c r="V47" s="21">
        <f t="shared" si="2"/>
        <v>19600</v>
      </c>
    </row>
    <row r="48" ht="14.25" customHeight="1">
      <c r="A48" s="38">
        <v>0.26319444444444445</v>
      </c>
      <c r="B48" s="36">
        <v>36.0</v>
      </c>
      <c r="C48" s="36">
        <v>10.4</v>
      </c>
      <c r="D48" s="36">
        <v>570.0</v>
      </c>
      <c r="E48" s="36">
        <v>470.0</v>
      </c>
      <c r="F48" s="36">
        <v>0.82</v>
      </c>
      <c r="G48" s="36">
        <v>11.0</v>
      </c>
      <c r="H48" s="36">
        <v>1.14</v>
      </c>
      <c r="I48" s="36">
        <v>12.2</v>
      </c>
      <c r="J48" s="36">
        <v>92.3</v>
      </c>
      <c r="K48" s="36">
        <v>82.0</v>
      </c>
      <c r="L48" s="36">
        <v>59.6</v>
      </c>
      <c r="M48" s="36">
        <v>82.0</v>
      </c>
      <c r="N48" s="36">
        <v>43.0</v>
      </c>
      <c r="O48" s="36">
        <v>11.0</v>
      </c>
      <c r="P48" s="36">
        <v>23.0</v>
      </c>
      <c r="Q48" s="36">
        <v>0.36</v>
      </c>
      <c r="R48" s="36">
        <v>2.04</v>
      </c>
      <c r="S48" s="36">
        <v>3.57</v>
      </c>
      <c r="T48" s="36">
        <v>5.61</v>
      </c>
      <c r="U48" s="21">
        <f t="shared" si="1"/>
        <v>5610</v>
      </c>
      <c r="V48" s="21">
        <f t="shared" si="2"/>
        <v>78400</v>
      </c>
    </row>
    <row r="49" ht="14.25" customHeight="1">
      <c r="A49" s="38">
        <v>0.2659722222222222</v>
      </c>
      <c r="B49" s="36">
        <v>37.0</v>
      </c>
      <c r="C49" s="36">
        <v>12.5</v>
      </c>
      <c r="D49" s="36">
        <v>689.0</v>
      </c>
      <c r="E49" s="36">
        <v>563.0</v>
      </c>
      <c r="F49" s="36">
        <v>0.82</v>
      </c>
      <c r="G49" s="36">
        <v>10.0</v>
      </c>
      <c r="H49" s="36">
        <v>1.37</v>
      </c>
      <c r="I49" s="36">
        <v>14.0</v>
      </c>
      <c r="J49" s="36">
        <v>91.2</v>
      </c>
      <c r="K49" s="36">
        <v>85.0</v>
      </c>
      <c r="L49" s="36">
        <v>58.1</v>
      </c>
      <c r="M49" s="36">
        <v>79.0</v>
      </c>
      <c r="N49" s="36">
        <v>45.0</v>
      </c>
      <c r="O49" s="36">
        <v>10.0</v>
      </c>
      <c r="P49" s="36">
        <v>28.0</v>
      </c>
      <c r="Q49" s="36">
        <v>0.32</v>
      </c>
      <c r="R49" s="36">
        <v>1.88</v>
      </c>
      <c r="S49" s="36">
        <v>4.0</v>
      </c>
      <c r="T49" s="36">
        <v>5.89</v>
      </c>
      <c r="U49" s="21">
        <f t="shared" si="1"/>
        <v>5890</v>
      </c>
      <c r="V49" s="21">
        <f t="shared" si="2"/>
        <v>78400</v>
      </c>
    </row>
    <row r="50" ht="14.25" customHeight="1">
      <c r="A50" s="38">
        <v>0.26875</v>
      </c>
      <c r="B50" s="36">
        <v>40.0</v>
      </c>
      <c r="C50" s="36">
        <v>10.4</v>
      </c>
      <c r="D50" s="36">
        <v>570.0</v>
      </c>
      <c r="E50" s="36">
        <v>470.0</v>
      </c>
      <c r="F50" s="36">
        <v>0.82</v>
      </c>
      <c r="G50" s="36">
        <v>11.0</v>
      </c>
      <c r="H50" s="36">
        <v>1.14</v>
      </c>
      <c r="I50" s="36">
        <v>12.2</v>
      </c>
      <c r="J50" s="36">
        <v>92.3</v>
      </c>
      <c r="K50" s="36">
        <v>89.0</v>
      </c>
      <c r="L50" s="36">
        <v>56.0</v>
      </c>
      <c r="M50" s="36">
        <v>82.0</v>
      </c>
      <c r="N50" s="36">
        <v>43.0</v>
      </c>
      <c r="O50" s="36">
        <v>11.0</v>
      </c>
      <c r="P50" s="36">
        <v>23.0</v>
      </c>
      <c r="Q50" s="36">
        <v>0.36</v>
      </c>
      <c r="R50" s="36">
        <v>2.04</v>
      </c>
      <c r="S50" s="36">
        <v>3.57</v>
      </c>
      <c r="T50" s="36">
        <v>5.61</v>
      </c>
      <c r="U50" s="21">
        <f t="shared" si="1"/>
        <v>5610</v>
      </c>
      <c r="V50" s="21">
        <f t="shared" si="2"/>
        <v>1322500</v>
      </c>
    </row>
    <row r="51" ht="14.25" customHeight="1">
      <c r="A51" s="38">
        <v>0.2701388888888889</v>
      </c>
      <c r="B51" s="36">
        <v>40.0</v>
      </c>
      <c r="C51" s="36">
        <v>10.2</v>
      </c>
      <c r="D51" s="36">
        <v>562.0</v>
      </c>
      <c r="E51" s="36">
        <v>461.0</v>
      </c>
      <c r="F51" s="36">
        <v>0.82</v>
      </c>
      <c r="G51" s="36">
        <v>13.0</v>
      </c>
      <c r="H51" s="36">
        <v>0.91</v>
      </c>
      <c r="I51" s="36">
        <v>12.2</v>
      </c>
      <c r="J51" s="36">
        <v>92.3</v>
      </c>
      <c r="K51" s="36">
        <v>92.0</v>
      </c>
      <c r="L51" s="36">
        <v>54.7</v>
      </c>
      <c r="M51" s="36">
        <v>82.0</v>
      </c>
      <c r="N51" s="36">
        <v>43.0</v>
      </c>
      <c r="O51" s="36">
        <v>13.0</v>
      </c>
      <c r="P51" s="36">
        <v>23.0</v>
      </c>
      <c r="Q51" s="36">
        <v>0.32</v>
      </c>
      <c r="R51" s="36">
        <v>1.43</v>
      </c>
      <c r="S51" s="36">
        <v>3.03</v>
      </c>
      <c r="T51" s="36">
        <v>4.46</v>
      </c>
      <c r="U51" s="21">
        <f t="shared" si="1"/>
        <v>4460</v>
      </c>
      <c r="V51" s="21">
        <f t="shared" si="2"/>
        <v>108900</v>
      </c>
    </row>
    <row r="52" ht="14.25" customHeight="1">
      <c r="A52" s="38">
        <v>0.27291666666666664</v>
      </c>
      <c r="B52" s="36">
        <v>42.0</v>
      </c>
      <c r="C52" s="36">
        <v>11.7</v>
      </c>
      <c r="D52" s="36">
        <v>641.0</v>
      </c>
      <c r="E52" s="36">
        <v>514.0</v>
      </c>
      <c r="F52" s="36">
        <v>0.8</v>
      </c>
      <c r="G52" s="36">
        <v>15.0</v>
      </c>
      <c r="H52" s="36">
        <v>0.91</v>
      </c>
      <c r="I52" s="36">
        <v>13.3</v>
      </c>
      <c r="J52" s="36">
        <v>91.6</v>
      </c>
      <c r="K52" s="36">
        <v>93.0</v>
      </c>
      <c r="L52" s="36">
        <v>54.0</v>
      </c>
      <c r="M52" s="36">
        <v>81.0</v>
      </c>
      <c r="N52" s="36">
        <v>44.0</v>
      </c>
      <c r="O52" s="36">
        <v>15.0</v>
      </c>
      <c r="P52" s="36">
        <v>26.0</v>
      </c>
      <c r="Q52" s="36">
        <v>0.3</v>
      </c>
      <c r="R52" s="36">
        <v>1.25</v>
      </c>
      <c r="S52" s="36">
        <v>2.87</v>
      </c>
      <c r="T52" s="36">
        <v>4.13</v>
      </c>
      <c r="U52" s="21">
        <f t="shared" si="1"/>
        <v>4130</v>
      </c>
      <c r="V52" s="21">
        <f t="shared" si="2"/>
        <v>84100</v>
      </c>
    </row>
    <row r="53" ht="14.25" customHeight="1">
      <c r="A53" s="38">
        <v>0.2777777777777778</v>
      </c>
      <c r="B53" s="36">
        <v>45.0</v>
      </c>
      <c r="C53" s="36">
        <v>12.4</v>
      </c>
      <c r="D53" s="36">
        <v>682.0</v>
      </c>
      <c r="E53" s="36">
        <v>546.0</v>
      </c>
      <c r="F53" s="36">
        <v>0.8</v>
      </c>
      <c r="G53" s="36">
        <v>14.0</v>
      </c>
      <c r="H53" s="36">
        <v>1.04</v>
      </c>
      <c r="I53" s="36">
        <v>14.1</v>
      </c>
      <c r="J53" s="36">
        <v>91.1</v>
      </c>
      <c r="K53" s="36">
        <v>90.0</v>
      </c>
      <c r="L53" s="36">
        <v>55.4</v>
      </c>
      <c r="M53" s="36">
        <v>80.0</v>
      </c>
      <c r="N53" s="36">
        <v>44.0</v>
      </c>
      <c r="O53" s="36">
        <v>14.0</v>
      </c>
      <c r="P53" s="36">
        <v>28.0</v>
      </c>
      <c r="Q53" s="36">
        <v>0.35</v>
      </c>
      <c r="R53" s="36">
        <v>1.56</v>
      </c>
      <c r="S53" s="36">
        <v>2.86</v>
      </c>
      <c r="T53" s="36">
        <v>4.42</v>
      </c>
      <c r="U53" s="21">
        <f t="shared" si="1"/>
        <v>4420</v>
      </c>
      <c r="V53" s="21">
        <f t="shared" si="2"/>
        <v>490000</v>
      </c>
    </row>
    <row r="54" ht="14.25" customHeight="1">
      <c r="A54" s="38">
        <v>0.2798611111111111</v>
      </c>
      <c r="B54" s="36">
        <v>46.0</v>
      </c>
      <c r="C54" s="36">
        <v>11.2</v>
      </c>
      <c r="D54" s="36">
        <v>618.0</v>
      </c>
      <c r="E54" s="36">
        <v>494.0</v>
      </c>
      <c r="F54" s="36">
        <v>0.8</v>
      </c>
      <c r="G54" s="36">
        <v>16.0</v>
      </c>
      <c r="H54" s="36">
        <v>0.82</v>
      </c>
      <c r="I54" s="36">
        <v>13.2</v>
      </c>
      <c r="J54" s="36">
        <v>91.7</v>
      </c>
      <c r="K54" s="36">
        <v>99.0</v>
      </c>
      <c r="L54" s="36">
        <v>51.0</v>
      </c>
      <c r="M54" s="36">
        <v>83.0</v>
      </c>
      <c r="N54" s="36">
        <v>42.0</v>
      </c>
      <c r="O54" s="36">
        <v>16.0</v>
      </c>
      <c r="P54" s="36">
        <v>25.0</v>
      </c>
      <c r="Q54" s="36">
        <v>0.38</v>
      </c>
      <c r="R54" s="36">
        <v>1.42</v>
      </c>
      <c r="S54" s="36">
        <v>2.3</v>
      </c>
      <c r="T54" s="36">
        <v>3.72</v>
      </c>
      <c r="U54" s="21">
        <f t="shared" si="1"/>
        <v>3720</v>
      </c>
      <c r="V54" s="21">
        <f t="shared" si="2"/>
        <v>44100</v>
      </c>
    </row>
    <row r="55" ht="14.25" customHeight="1">
      <c r="A55" s="38">
        <v>0.28125</v>
      </c>
      <c r="B55" s="36">
        <v>46.0</v>
      </c>
      <c r="C55" s="36">
        <v>12.4</v>
      </c>
      <c r="D55" s="36">
        <v>680.0</v>
      </c>
      <c r="E55" s="36">
        <v>543.0</v>
      </c>
      <c r="F55" s="36">
        <v>0.8</v>
      </c>
      <c r="G55" s="36">
        <v>17.0</v>
      </c>
      <c r="H55" s="36">
        <v>0.84</v>
      </c>
      <c r="I55" s="36">
        <v>14.5</v>
      </c>
      <c r="J55" s="36">
        <v>90.9</v>
      </c>
      <c r="K55" s="36">
        <v>99.0</v>
      </c>
      <c r="L55" s="36">
        <v>51.3</v>
      </c>
      <c r="M55" s="36">
        <v>81.0</v>
      </c>
      <c r="N55" s="36">
        <v>44.0</v>
      </c>
      <c r="O55" s="36">
        <v>17.0</v>
      </c>
      <c r="P55" s="36">
        <v>28.0</v>
      </c>
      <c r="Q55" s="36">
        <v>0.34</v>
      </c>
      <c r="R55" s="36">
        <v>1.18</v>
      </c>
      <c r="S55" s="36">
        <v>2.32</v>
      </c>
      <c r="T55" s="36">
        <v>3.51</v>
      </c>
      <c r="U55" s="21">
        <f t="shared" si="1"/>
        <v>3510</v>
      </c>
      <c r="V55" s="21">
        <f t="shared" si="2"/>
        <v>0</v>
      </c>
    </row>
    <row r="56" ht="14.25" customHeight="1">
      <c r="A56" s="38">
        <v>0.28402777777777777</v>
      </c>
      <c r="B56" s="36">
        <v>48.0</v>
      </c>
      <c r="C56" s="36">
        <v>12.3</v>
      </c>
      <c r="D56" s="36">
        <v>679.0</v>
      </c>
      <c r="E56" s="36">
        <v>543.0</v>
      </c>
      <c r="F56" s="36">
        <v>0.8</v>
      </c>
      <c r="G56" s="36">
        <v>17.0</v>
      </c>
      <c r="H56" s="36">
        <v>0.84</v>
      </c>
      <c r="I56" s="36">
        <v>14.5</v>
      </c>
      <c r="J56" s="36">
        <v>90.9</v>
      </c>
      <c r="K56" s="36">
        <v>96.0</v>
      </c>
      <c r="L56" s="36">
        <v>52.7</v>
      </c>
      <c r="M56" s="36">
        <v>81.0</v>
      </c>
      <c r="N56" s="36">
        <v>44.0</v>
      </c>
      <c r="O56" s="36">
        <v>17.0</v>
      </c>
      <c r="P56" s="36">
        <v>28.0</v>
      </c>
      <c r="Q56" s="36">
        <v>0.34</v>
      </c>
      <c r="R56" s="36">
        <v>1.18</v>
      </c>
      <c r="S56" s="36">
        <v>2.32</v>
      </c>
      <c r="T56" s="36">
        <v>3.51</v>
      </c>
      <c r="U56" s="21">
        <f t="shared" si="1"/>
        <v>3510</v>
      </c>
      <c r="V56" s="21">
        <f t="shared" si="2"/>
        <v>2500</v>
      </c>
    </row>
    <row r="57" ht="14.25" customHeight="1">
      <c r="A57" s="38">
        <v>0.28958333333333336</v>
      </c>
      <c r="B57" s="36">
        <v>52.0</v>
      </c>
      <c r="C57" s="36">
        <v>17.2</v>
      </c>
      <c r="D57" s="36">
        <v>944.0</v>
      </c>
      <c r="E57" s="36">
        <v>743.0</v>
      </c>
      <c r="F57" s="36">
        <v>0.79</v>
      </c>
      <c r="G57" s="36">
        <v>17.0</v>
      </c>
      <c r="H57" s="36">
        <v>1.08</v>
      </c>
      <c r="I57" s="36">
        <v>18.2</v>
      </c>
      <c r="J57" s="36">
        <v>88.5</v>
      </c>
      <c r="K57" s="36">
        <v>93.0</v>
      </c>
      <c r="L57" s="36">
        <v>54.1</v>
      </c>
      <c r="M57" s="36">
        <v>77.0</v>
      </c>
      <c r="N57" s="36">
        <v>46.0</v>
      </c>
      <c r="O57" s="36">
        <v>17.0</v>
      </c>
      <c r="P57" s="36">
        <v>39.0</v>
      </c>
      <c r="Q57" s="36">
        <v>0.26</v>
      </c>
      <c r="R57" s="36">
        <v>0.94</v>
      </c>
      <c r="S57" s="36">
        <v>2.62</v>
      </c>
      <c r="T57" s="36">
        <v>3.56</v>
      </c>
      <c r="U57" s="21">
        <f t="shared" si="1"/>
        <v>3560</v>
      </c>
      <c r="V57" s="21">
        <f t="shared" si="2"/>
        <v>1166400</v>
      </c>
    </row>
    <row r="58" ht="14.25" customHeight="1">
      <c r="A58" s="38">
        <v>0.29444444444444445</v>
      </c>
      <c r="B58" s="36">
        <v>55.0</v>
      </c>
      <c r="C58" s="36">
        <v>17.5</v>
      </c>
      <c r="D58" s="36">
        <v>961.0</v>
      </c>
      <c r="E58" s="36">
        <v>757.0</v>
      </c>
      <c r="F58" s="36">
        <v>0.79</v>
      </c>
      <c r="G58" s="36">
        <v>13.0</v>
      </c>
      <c r="H58" s="36">
        <v>1.39</v>
      </c>
      <c r="I58" s="36">
        <v>18.0</v>
      </c>
      <c r="J58" s="36">
        <v>88.7</v>
      </c>
      <c r="K58" s="36">
        <v>92.0</v>
      </c>
      <c r="L58" s="36">
        <v>54.9</v>
      </c>
      <c r="M58" s="36">
        <v>76.0</v>
      </c>
      <c r="N58" s="36">
        <v>46.0</v>
      </c>
      <c r="O58" s="36">
        <v>13.0</v>
      </c>
      <c r="P58" s="36">
        <v>39.0</v>
      </c>
      <c r="Q58" s="36">
        <v>0.34</v>
      </c>
      <c r="R58" s="36">
        <v>1.59</v>
      </c>
      <c r="S58" s="36">
        <v>3.05</v>
      </c>
      <c r="T58" s="36">
        <v>4.64</v>
      </c>
      <c r="U58" s="21">
        <f t="shared" si="1"/>
        <v>4640</v>
      </c>
      <c r="V58" s="21">
        <f t="shared" si="2"/>
        <v>1600</v>
      </c>
    </row>
    <row r="59" ht="14.25" customHeight="1">
      <c r="A59" s="38">
        <v>0.2972222222222222</v>
      </c>
      <c r="B59" s="36">
        <v>57.0</v>
      </c>
      <c r="C59" s="36">
        <v>17.1</v>
      </c>
      <c r="D59" s="36">
        <v>939.0</v>
      </c>
      <c r="E59" s="36">
        <v>740.0</v>
      </c>
      <c r="F59" s="36">
        <v>0.79</v>
      </c>
      <c r="G59" s="36">
        <v>13.0</v>
      </c>
      <c r="H59" s="36">
        <v>1.38</v>
      </c>
      <c r="I59" s="36">
        <v>17.7</v>
      </c>
      <c r="J59" s="36">
        <v>88.9</v>
      </c>
      <c r="K59" s="36">
        <v>93.0</v>
      </c>
      <c r="L59" s="36">
        <v>54.2</v>
      </c>
      <c r="M59" s="36">
        <v>76.0</v>
      </c>
      <c r="N59" s="36">
        <v>46.0</v>
      </c>
      <c r="O59" s="36">
        <v>13.0</v>
      </c>
      <c r="P59" s="36">
        <v>38.0</v>
      </c>
      <c r="Q59" s="36">
        <v>0.36</v>
      </c>
      <c r="R59" s="36">
        <v>1.69</v>
      </c>
      <c r="S59" s="36">
        <v>2.99</v>
      </c>
      <c r="T59" s="36">
        <v>4.68</v>
      </c>
      <c r="U59" s="21">
        <f t="shared" si="1"/>
        <v>4680</v>
      </c>
      <c r="V59" s="21">
        <f t="shared" si="2"/>
        <v>756900</v>
      </c>
    </row>
    <row r="60" ht="14.25" customHeight="1">
      <c r="A60" s="38">
        <v>0.2986111111111111</v>
      </c>
      <c r="B60" s="36">
        <v>57.0</v>
      </c>
      <c r="C60" s="36">
        <v>16.4</v>
      </c>
      <c r="D60" s="36">
        <v>904.0</v>
      </c>
      <c r="E60" s="36">
        <v>710.0</v>
      </c>
      <c r="F60" s="36">
        <v>0.78</v>
      </c>
      <c r="G60" s="36">
        <v>16.0</v>
      </c>
      <c r="H60" s="36">
        <v>1.1</v>
      </c>
      <c r="I60" s="36">
        <v>17.4</v>
      </c>
      <c r="J60" s="36">
        <v>89.1</v>
      </c>
      <c r="K60" s="36">
        <v>96.0</v>
      </c>
      <c r="L60" s="36">
        <v>52.7</v>
      </c>
      <c r="M60" s="36">
        <v>78.0</v>
      </c>
      <c r="N60" s="36">
        <v>45.0</v>
      </c>
      <c r="O60" s="36">
        <v>16.0</v>
      </c>
      <c r="P60" s="36">
        <v>37.0</v>
      </c>
      <c r="Q60" s="36">
        <v>0.35</v>
      </c>
      <c r="R60" s="36">
        <v>1.35</v>
      </c>
      <c r="S60" s="36">
        <v>2.46</v>
      </c>
      <c r="T60" s="36">
        <v>3.81</v>
      </c>
      <c r="U60" s="21">
        <f t="shared" si="1"/>
        <v>3810</v>
      </c>
      <c r="V60" s="21">
        <f t="shared" si="2"/>
        <v>0</v>
      </c>
    </row>
    <row r="61" ht="14.25" customHeight="1">
      <c r="A61" s="38">
        <v>0.3</v>
      </c>
      <c r="B61" s="36">
        <v>58.0</v>
      </c>
      <c r="C61" s="36">
        <v>16.5</v>
      </c>
      <c r="D61" s="36">
        <v>905.0</v>
      </c>
      <c r="E61" s="36">
        <v>710.0</v>
      </c>
      <c r="F61" s="36">
        <v>0.78</v>
      </c>
      <c r="G61" s="36">
        <v>16.0</v>
      </c>
      <c r="H61" s="36">
        <v>1.1</v>
      </c>
      <c r="I61" s="36">
        <v>17.4</v>
      </c>
      <c r="J61" s="36">
        <v>89.1</v>
      </c>
      <c r="K61" s="36">
        <v>96.0</v>
      </c>
      <c r="L61" s="36">
        <v>52.5</v>
      </c>
      <c r="M61" s="36">
        <v>78.0</v>
      </c>
      <c r="N61" s="36">
        <v>45.0</v>
      </c>
      <c r="O61" s="36">
        <v>16.0</v>
      </c>
      <c r="P61" s="36">
        <v>37.0</v>
      </c>
      <c r="Q61" s="36">
        <v>0.35</v>
      </c>
      <c r="R61" s="36">
        <v>1.35</v>
      </c>
      <c r="S61" s="36">
        <v>2.46</v>
      </c>
      <c r="T61" s="36">
        <v>3.81</v>
      </c>
      <c r="U61" s="21">
        <f t="shared" si="1"/>
        <v>3810</v>
      </c>
      <c r="V61" s="21">
        <f t="shared" si="2"/>
        <v>52900</v>
      </c>
    </row>
    <row r="62" ht="14.25" customHeight="1">
      <c r="A62" s="38">
        <v>0.3013888888888889</v>
      </c>
      <c r="B62" s="36">
        <v>59.0</v>
      </c>
      <c r="C62" s="36">
        <v>19.8</v>
      </c>
      <c r="D62" s="36">
        <v>1086.0</v>
      </c>
      <c r="E62" s="36">
        <v>844.0</v>
      </c>
      <c r="F62" s="36">
        <v>0.78</v>
      </c>
      <c r="G62" s="36">
        <v>15.0</v>
      </c>
      <c r="H62" s="36">
        <v>1.33</v>
      </c>
      <c r="I62" s="36">
        <v>19.7</v>
      </c>
      <c r="J62" s="36">
        <v>87.6</v>
      </c>
      <c r="K62" s="36">
        <v>96.0</v>
      </c>
      <c r="L62" s="36">
        <v>52.7</v>
      </c>
      <c r="M62" s="36">
        <v>76.0</v>
      </c>
      <c r="N62" s="36">
        <v>46.0</v>
      </c>
      <c r="O62" s="36">
        <v>15.0</v>
      </c>
      <c r="P62" s="36">
        <v>44.0</v>
      </c>
      <c r="Q62" s="36">
        <v>0.34</v>
      </c>
      <c r="R62" s="36">
        <v>1.37</v>
      </c>
      <c r="S62" s="36">
        <v>2.67</v>
      </c>
      <c r="T62" s="36">
        <v>4.04</v>
      </c>
      <c r="U62" s="21">
        <f t="shared" si="1"/>
        <v>4040</v>
      </c>
      <c r="V62" s="21">
        <f t="shared" si="2"/>
        <v>400</v>
      </c>
    </row>
    <row r="63" ht="14.25" customHeight="1">
      <c r="A63" s="38">
        <v>0.30416666666666664</v>
      </c>
      <c r="B63" s="36">
        <v>60.0</v>
      </c>
      <c r="C63" s="36">
        <v>18.8</v>
      </c>
      <c r="D63" s="36">
        <v>1033.0</v>
      </c>
      <c r="E63" s="36">
        <v>815.0</v>
      </c>
      <c r="F63" s="36">
        <v>0.79</v>
      </c>
      <c r="G63" s="36">
        <v>15.0</v>
      </c>
      <c r="H63" s="36">
        <v>1.3</v>
      </c>
      <c r="I63" s="36">
        <v>19.4</v>
      </c>
      <c r="J63" s="36">
        <v>87.8</v>
      </c>
      <c r="K63" s="36">
        <v>103.0</v>
      </c>
      <c r="L63" s="36">
        <v>49.4</v>
      </c>
      <c r="M63" s="36">
        <v>77.0</v>
      </c>
      <c r="N63" s="36">
        <v>46.0</v>
      </c>
      <c r="O63" s="36">
        <v>15.0</v>
      </c>
      <c r="P63" s="36">
        <v>42.0</v>
      </c>
      <c r="Q63" s="36">
        <v>0.39</v>
      </c>
      <c r="R63" s="36">
        <v>1.58</v>
      </c>
      <c r="S63" s="36">
        <v>2.45</v>
      </c>
      <c r="T63" s="36">
        <v>4.02</v>
      </c>
      <c r="U63" s="21">
        <f t="shared" si="1"/>
        <v>4020</v>
      </c>
      <c r="V63" s="21">
        <f t="shared" si="2"/>
        <v>84100</v>
      </c>
    </row>
    <row r="64" ht="14.25" customHeight="1">
      <c r="A64" s="38">
        <v>0.30625</v>
      </c>
      <c r="B64" s="36">
        <v>62.0</v>
      </c>
      <c r="C64" s="36">
        <v>15.2</v>
      </c>
      <c r="D64" s="36">
        <v>837.0</v>
      </c>
      <c r="E64" s="36">
        <v>669.0</v>
      </c>
      <c r="F64" s="36">
        <v>0.8</v>
      </c>
      <c r="G64" s="36">
        <v>16.0</v>
      </c>
      <c r="H64" s="36">
        <v>1.04</v>
      </c>
      <c r="I64" s="36">
        <v>16.8</v>
      </c>
      <c r="J64" s="36">
        <v>89.4</v>
      </c>
      <c r="K64" s="36">
        <v>103.0</v>
      </c>
      <c r="L64" s="36">
        <v>49.4</v>
      </c>
      <c r="M64" s="36">
        <v>81.0</v>
      </c>
      <c r="N64" s="36">
        <v>43.0</v>
      </c>
      <c r="O64" s="36">
        <v>16.0</v>
      </c>
      <c r="P64" s="36">
        <v>34.0</v>
      </c>
      <c r="Q64" s="36">
        <v>0.42</v>
      </c>
      <c r="R64" s="36">
        <v>1.57</v>
      </c>
      <c r="S64" s="36">
        <v>2.15</v>
      </c>
      <c r="T64" s="36">
        <v>3.73</v>
      </c>
      <c r="U64" s="21">
        <f t="shared" si="1"/>
        <v>3730</v>
      </c>
      <c r="V64" s="21">
        <f t="shared" si="2"/>
        <v>313600</v>
      </c>
    </row>
    <row r="65" ht="14.25" customHeight="1">
      <c r="A65" s="38">
        <v>0.3090277777777778</v>
      </c>
      <c r="B65" s="36">
        <v>63.0</v>
      </c>
      <c r="C65" s="36">
        <v>15.6</v>
      </c>
      <c r="D65" s="36">
        <v>860.0</v>
      </c>
      <c r="E65" s="36">
        <v>695.0</v>
      </c>
      <c r="F65" s="36">
        <v>0.81</v>
      </c>
      <c r="G65" s="36">
        <v>19.0</v>
      </c>
      <c r="H65" s="36">
        <v>0.96</v>
      </c>
      <c r="I65" s="36">
        <v>18.1</v>
      </c>
      <c r="J65" s="36">
        <v>88.6</v>
      </c>
      <c r="K65" s="36">
        <v>103.0</v>
      </c>
      <c r="L65" s="36">
        <v>49.1</v>
      </c>
      <c r="M65" s="36">
        <v>81.0</v>
      </c>
      <c r="N65" s="36">
        <v>43.0</v>
      </c>
      <c r="O65" s="36">
        <v>19.0</v>
      </c>
      <c r="P65" s="36">
        <v>35.0</v>
      </c>
      <c r="Q65" s="36">
        <v>0.31</v>
      </c>
      <c r="R65" s="36">
        <v>1.0</v>
      </c>
      <c r="S65" s="36">
        <v>2.18</v>
      </c>
      <c r="T65" s="36">
        <v>3.17</v>
      </c>
      <c r="U65" s="21">
        <f t="shared" si="1"/>
        <v>3170</v>
      </c>
      <c r="V65" s="21">
        <f t="shared" si="2"/>
        <v>96100</v>
      </c>
    </row>
    <row r="66" ht="14.25" customHeight="1">
      <c r="A66" s="38">
        <v>0.3104166666666667</v>
      </c>
      <c r="B66" s="36">
        <v>65.0</v>
      </c>
      <c r="C66" s="36">
        <v>13.6</v>
      </c>
      <c r="D66" s="36">
        <v>748.0</v>
      </c>
      <c r="E66" s="36">
        <v>611.0</v>
      </c>
      <c r="F66" s="36">
        <v>0.82</v>
      </c>
      <c r="G66" s="36">
        <v>21.0</v>
      </c>
      <c r="H66" s="36">
        <v>0.8</v>
      </c>
      <c r="I66" s="36">
        <v>16.8</v>
      </c>
      <c r="J66" s="36">
        <v>89.4</v>
      </c>
      <c r="K66" s="36">
        <v>104.0</v>
      </c>
      <c r="L66" s="36">
        <v>48.7</v>
      </c>
      <c r="M66" s="36">
        <v>84.0</v>
      </c>
      <c r="N66" s="36">
        <v>42.0</v>
      </c>
      <c r="O66" s="36">
        <v>21.0</v>
      </c>
      <c r="P66" s="36">
        <v>31.0</v>
      </c>
      <c r="Q66" s="36">
        <v>0.34</v>
      </c>
      <c r="R66" s="36">
        <v>0.96</v>
      </c>
      <c r="S66" s="36">
        <v>1.9</v>
      </c>
      <c r="T66" s="36">
        <v>2.86</v>
      </c>
      <c r="U66" s="21">
        <f t="shared" si="1"/>
        <v>2860</v>
      </c>
      <c r="V66" s="21">
        <f t="shared" si="2"/>
        <v>44100</v>
      </c>
    </row>
    <row r="67" ht="14.25" customHeight="1">
      <c r="A67" s="38">
        <v>0.31180555555555556</v>
      </c>
      <c r="B67" s="36">
        <v>65.0</v>
      </c>
      <c r="C67" s="36">
        <v>14.1</v>
      </c>
      <c r="D67" s="36">
        <v>775.0</v>
      </c>
      <c r="E67" s="36">
        <v>641.0</v>
      </c>
      <c r="F67" s="36">
        <v>0.83</v>
      </c>
      <c r="G67" s="36">
        <v>23.0</v>
      </c>
      <c r="H67" s="36">
        <v>0.78</v>
      </c>
      <c r="I67" s="36">
        <v>17.7</v>
      </c>
      <c r="J67" s="36">
        <v>88.9</v>
      </c>
      <c r="K67" s="36">
        <v>105.0</v>
      </c>
      <c r="L67" s="36">
        <v>48.2</v>
      </c>
      <c r="M67" s="36">
        <v>83.0</v>
      </c>
      <c r="N67" s="36">
        <v>42.0</v>
      </c>
      <c r="O67" s="36">
        <v>23.0</v>
      </c>
      <c r="P67" s="36">
        <v>32.0</v>
      </c>
      <c r="Q67" s="36">
        <v>0.31</v>
      </c>
      <c r="R67" s="36">
        <v>0.82</v>
      </c>
      <c r="S67" s="36">
        <v>1.83</v>
      </c>
      <c r="T67" s="36">
        <v>2.65</v>
      </c>
      <c r="U67" s="21">
        <f t="shared" si="1"/>
        <v>2650</v>
      </c>
      <c r="V67" s="21">
        <f t="shared" si="2"/>
        <v>72900</v>
      </c>
    </row>
    <row r="68" ht="14.25" customHeight="1">
      <c r="A68" s="38">
        <v>0.3138888888888889</v>
      </c>
      <c r="B68" s="36">
        <v>67.0</v>
      </c>
      <c r="C68" s="36">
        <v>18.1</v>
      </c>
      <c r="D68" s="36">
        <v>996.0</v>
      </c>
      <c r="E68" s="36">
        <v>815.0</v>
      </c>
      <c r="F68" s="36">
        <v>0.82</v>
      </c>
      <c r="G68" s="36">
        <v>21.0</v>
      </c>
      <c r="H68" s="36">
        <v>1.0</v>
      </c>
      <c r="I68" s="36">
        <v>20.6</v>
      </c>
      <c r="J68" s="36">
        <v>87.0</v>
      </c>
      <c r="K68" s="36">
        <v>105.0</v>
      </c>
      <c r="L68" s="36">
        <v>48.4</v>
      </c>
      <c r="M68" s="36">
        <v>79.0</v>
      </c>
      <c r="N68" s="36">
        <v>45.0</v>
      </c>
      <c r="O68" s="36">
        <v>21.0</v>
      </c>
      <c r="P68" s="36">
        <v>41.0</v>
      </c>
      <c r="Q68" s="36">
        <v>0.29</v>
      </c>
      <c r="R68" s="36">
        <v>0.85</v>
      </c>
      <c r="S68" s="36">
        <v>2.08</v>
      </c>
      <c r="T68" s="36">
        <v>2.92</v>
      </c>
      <c r="U68" s="21">
        <f t="shared" si="1"/>
        <v>2920</v>
      </c>
      <c r="V68" s="21">
        <f t="shared" si="2"/>
        <v>348100</v>
      </c>
    </row>
    <row r="69" ht="14.25" customHeight="1">
      <c r="A69" s="38">
        <v>0.31805555555555554</v>
      </c>
      <c r="B69" s="36">
        <v>69.0</v>
      </c>
      <c r="C69" s="36">
        <v>14.7</v>
      </c>
      <c r="D69" s="36">
        <v>809.0</v>
      </c>
      <c r="E69" s="36">
        <v>662.0</v>
      </c>
      <c r="F69" s="36">
        <v>0.82</v>
      </c>
      <c r="G69" s="36">
        <v>17.0</v>
      </c>
      <c r="H69" s="36">
        <v>1.0</v>
      </c>
      <c r="I69" s="36">
        <v>17.1</v>
      </c>
      <c r="J69" s="36">
        <v>89.2</v>
      </c>
      <c r="K69" s="36">
        <v>105.0</v>
      </c>
      <c r="L69" s="36">
        <v>48.4</v>
      </c>
      <c r="M69" s="36">
        <v>79.0</v>
      </c>
      <c r="N69" s="36">
        <v>45.0</v>
      </c>
      <c r="O69" s="36">
        <v>17.0</v>
      </c>
      <c r="P69" s="36">
        <v>33.0</v>
      </c>
      <c r="Q69" s="36">
        <v>0.34</v>
      </c>
      <c r="R69" s="36">
        <v>1.18</v>
      </c>
      <c r="S69" s="36">
        <v>2.32</v>
      </c>
      <c r="T69" s="36">
        <v>3.51</v>
      </c>
      <c r="U69" s="21">
        <f t="shared" si="1"/>
        <v>3510</v>
      </c>
      <c r="V69" s="21">
        <f t="shared" si="2"/>
        <v>12100</v>
      </c>
    </row>
    <row r="70" ht="14.25" customHeight="1">
      <c r="A70" s="38">
        <v>0.3215277777777778</v>
      </c>
      <c r="B70" s="36">
        <v>71.0</v>
      </c>
      <c r="C70" s="36">
        <v>11.1</v>
      </c>
      <c r="D70" s="36">
        <v>613.0</v>
      </c>
      <c r="E70" s="36">
        <v>502.0</v>
      </c>
      <c r="F70" s="36">
        <v>0.82</v>
      </c>
      <c r="G70" s="36">
        <v>18.0</v>
      </c>
      <c r="H70" s="36">
        <v>0.79</v>
      </c>
      <c r="I70" s="36">
        <v>13.9</v>
      </c>
      <c r="J70" s="36">
        <v>91.2</v>
      </c>
      <c r="K70" s="36">
        <v>105.0</v>
      </c>
      <c r="L70" s="36">
        <v>48.2</v>
      </c>
      <c r="M70" s="36">
        <v>82.0</v>
      </c>
      <c r="N70" s="36">
        <v>43.0</v>
      </c>
      <c r="O70" s="36">
        <v>18.0</v>
      </c>
      <c r="P70" s="36">
        <v>25.0</v>
      </c>
      <c r="Q70" s="36">
        <v>0.35</v>
      </c>
      <c r="R70" s="36">
        <v>1.19</v>
      </c>
      <c r="S70" s="36">
        <v>2.2</v>
      </c>
      <c r="T70" s="36">
        <v>3.4</v>
      </c>
      <c r="U70" s="21">
        <f t="shared" si="1"/>
        <v>3400</v>
      </c>
      <c r="V70" s="21">
        <f t="shared" si="2"/>
        <v>100</v>
      </c>
    </row>
    <row r="71" ht="14.25" customHeight="1">
      <c r="A71" s="38">
        <v>0.3236111111111111</v>
      </c>
      <c r="B71" s="36">
        <v>72.0</v>
      </c>
      <c r="C71" s="36">
        <v>15.7</v>
      </c>
      <c r="D71" s="36">
        <v>861.0</v>
      </c>
      <c r="E71" s="36">
        <v>699.0</v>
      </c>
      <c r="F71" s="36">
        <v>0.81</v>
      </c>
      <c r="G71" s="36">
        <v>18.0</v>
      </c>
      <c r="H71" s="36">
        <v>1.0</v>
      </c>
      <c r="I71" s="36">
        <v>17.6</v>
      </c>
      <c r="J71" s="36">
        <v>88.9</v>
      </c>
      <c r="K71" s="36">
        <v>102.0</v>
      </c>
      <c r="L71" s="36">
        <v>49.9</v>
      </c>
      <c r="M71" s="36">
        <v>78.0</v>
      </c>
      <c r="N71" s="36">
        <v>46.0</v>
      </c>
      <c r="O71" s="36">
        <v>18.0</v>
      </c>
      <c r="P71" s="36">
        <v>35.0</v>
      </c>
      <c r="Q71" s="36">
        <v>0.29</v>
      </c>
      <c r="R71" s="36">
        <v>0.99</v>
      </c>
      <c r="S71" s="36">
        <v>2.41</v>
      </c>
      <c r="T71" s="36">
        <v>3.41</v>
      </c>
      <c r="U71" s="21">
        <f t="shared" si="1"/>
        <v>3410</v>
      </c>
      <c r="V71" s="21">
        <f t="shared" si="2"/>
        <v>2500</v>
      </c>
    </row>
    <row r="72" ht="14.25" customHeight="1">
      <c r="A72" s="38">
        <v>0.3263888888888889</v>
      </c>
      <c r="B72" s="36">
        <v>74.0</v>
      </c>
      <c r="C72" s="36">
        <v>11.4</v>
      </c>
      <c r="D72" s="36">
        <v>625.0</v>
      </c>
      <c r="E72" s="36">
        <v>502.0</v>
      </c>
      <c r="F72" s="36">
        <v>0.8</v>
      </c>
      <c r="G72" s="36">
        <v>18.0</v>
      </c>
      <c r="H72" s="36">
        <v>0.78</v>
      </c>
      <c r="I72" s="36">
        <v>13.9</v>
      </c>
      <c r="J72" s="36">
        <v>91.3</v>
      </c>
      <c r="K72" s="36">
        <v>105.0</v>
      </c>
      <c r="L72" s="36">
        <v>48.2</v>
      </c>
      <c r="M72" s="36">
        <v>79.0</v>
      </c>
      <c r="N72" s="36">
        <v>45.0</v>
      </c>
      <c r="O72" s="36">
        <v>18.0</v>
      </c>
      <c r="P72" s="36">
        <v>26.0</v>
      </c>
      <c r="Q72" s="36">
        <v>0.36</v>
      </c>
      <c r="R72" s="36">
        <v>1.22</v>
      </c>
      <c r="S72" s="36">
        <v>2.14</v>
      </c>
      <c r="T72" s="36">
        <v>3.36</v>
      </c>
      <c r="U72" s="21">
        <f t="shared" si="1"/>
        <v>3360</v>
      </c>
    </row>
    <row r="73" ht="14.25" customHeight="1">
      <c r="A73" s="38" t="s">
        <v>80</v>
      </c>
      <c r="U73" s="21">
        <f t="shared" si="1"/>
        <v>0</v>
      </c>
    </row>
    <row r="74" ht="14.25" customHeight="1">
      <c r="A74" s="38">
        <v>0.32708333333333334</v>
      </c>
      <c r="B74" s="36">
        <v>75.0</v>
      </c>
      <c r="C74" s="36">
        <v>12.4</v>
      </c>
      <c r="D74" s="36">
        <v>681.0</v>
      </c>
      <c r="E74" s="36">
        <v>545.0</v>
      </c>
      <c r="F74" s="36">
        <v>0.8</v>
      </c>
      <c r="G74" s="36">
        <v>19.0</v>
      </c>
      <c r="H74" s="36">
        <v>0.78</v>
      </c>
      <c r="I74" s="36">
        <v>15.1</v>
      </c>
      <c r="J74" s="36">
        <v>90.5</v>
      </c>
      <c r="K74" s="36">
        <v>108.0</v>
      </c>
      <c r="L74" s="36">
        <v>46.9</v>
      </c>
      <c r="M74" s="36">
        <v>77.0</v>
      </c>
      <c r="N74" s="36">
        <v>46.0</v>
      </c>
      <c r="O74" s="36">
        <v>19.0</v>
      </c>
      <c r="P74" s="36">
        <v>28.0</v>
      </c>
      <c r="Q74" s="36">
        <v>0.32</v>
      </c>
      <c r="R74" s="36">
        <v>1.01</v>
      </c>
      <c r="S74" s="36">
        <v>2.1</v>
      </c>
      <c r="T74" s="36">
        <v>3.11</v>
      </c>
      <c r="U74" s="21">
        <f t="shared" si="1"/>
        <v>3110</v>
      </c>
      <c r="V74" s="21">
        <f t="shared" ref="V74:V116" si="3">(U74-U75)^2</f>
        <v>78400</v>
      </c>
      <c r="W74" s="21">
        <f>SQRT(AVERAGE(V74:V117))</f>
        <v>288.6685737</v>
      </c>
    </row>
    <row r="75" ht="14.25" customHeight="1">
      <c r="A75" s="38">
        <v>0.32916666666666666</v>
      </c>
      <c r="B75" s="36">
        <v>76.0</v>
      </c>
      <c r="C75" s="36">
        <v>17.1</v>
      </c>
      <c r="D75" s="36">
        <v>940.0</v>
      </c>
      <c r="E75" s="36">
        <v>722.0</v>
      </c>
      <c r="F75" s="36">
        <v>0.77</v>
      </c>
      <c r="G75" s="36">
        <v>18.0</v>
      </c>
      <c r="H75" s="36">
        <v>1.0</v>
      </c>
      <c r="I75" s="36">
        <v>17.8</v>
      </c>
      <c r="J75" s="36">
        <v>88.8</v>
      </c>
      <c r="K75" s="4">
        <v>108.0</v>
      </c>
      <c r="L75" s="36">
        <v>49.7</v>
      </c>
      <c r="M75" s="36">
        <v>73.0</v>
      </c>
      <c r="N75" s="36">
        <v>48.0</v>
      </c>
      <c r="O75" s="36">
        <v>18.0</v>
      </c>
      <c r="P75" s="36">
        <v>38.0</v>
      </c>
      <c r="Q75" s="36">
        <v>0.28</v>
      </c>
      <c r="R75" s="36">
        <v>0.95</v>
      </c>
      <c r="S75" s="36">
        <v>2.44</v>
      </c>
      <c r="T75" s="36">
        <v>3.39</v>
      </c>
      <c r="U75" s="21">
        <f t="shared" si="1"/>
        <v>3390</v>
      </c>
      <c r="V75" s="21">
        <f t="shared" si="3"/>
        <v>4900</v>
      </c>
    </row>
    <row r="76" ht="14.25" customHeight="1">
      <c r="A76" s="38">
        <v>0.33125</v>
      </c>
      <c r="B76" s="36">
        <v>76.0</v>
      </c>
      <c r="C76" s="36">
        <v>12.8</v>
      </c>
      <c r="D76" s="36">
        <v>703.0</v>
      </c>
      <c r="E76" s="36">
        <v>533.0</v>
      </c>
      <c r="F76" s="36">
        <v>0.76</v>
      </c>
      <c r="G76" s="36">
        <v>18.0</v>
      </c>
      <c r="H76" s="36">
        <v>0.79</v>
      </c>
      <c r="I76" s="36">
        <v>14.3</v>
      </c>
      <c r="J76" s="36">
        <v>91.0</v>
      </c>
      <c r="K76" s="36">
        <v>108.0</v>
      </c>
      <c r="L76" s="36">
        <v>46.8</v>
      </c>
      <c r="M76" s="36">
        <v>77.0</v>
      </c>
      <c r="N76" s="36">
        <v>45.0</v>
      </c>
      <c r="O76" s="36">
        <v>18.0</v>
      </c>
      <c r="P76" s="36">
        <v>29.0</v>
      </c>
      <c r="Q76" s="36">
        <v>0.35</v>
      </c>
      <c r="R76" s="36">
        <v>1.18</v>
      </c>
      <c r="S76" s="36">
        <v>2.14</v>
      </c>
      <c r="T76" s="36">
        <v>3.32</v>
      </c>
      <c r="U76" s="21">
        <f t="shared" si="1"/>
        <v>3320</v>
      </c>
      <c r="V76" s="21">
        <f t="shared" si="3"/>
        <v>348100</v>
      </c>
    </row>
    <row r="77" ht="14.25" customHeight="1">
      <c r="A77" s="38">
        <v>0.33402777777777776</v>
      </c>
      <c r="B77" s="36">
        <v>78.0</v>
      </c>
      <c r="C77" s="36">
        <v>18.4</v>
      </c>
      <c r="D77" s="36">
        <v>1013.0</v>
      </c>
      <c r="E77" s="36">
        <v>745.0</v>
      </c>
      <c r="F77" s="36">
        <v>0.74</v>
      </c>
      <c r="G77" s="36">
        <v>22.0</v>
      </c>
      <c r="H77" s="36">
        <v>0.84</v>
      </c>
      <c r="I77" s="36">
        <v>18.5</v>
      </c>
      <c r="J77" s="36">
        <v>88.3</v>
      </c>
      <c r="K77" s="36">
        <v>109.0</v>
      </c>
      <c r="L77" s="36">
        <v>46.2</v>
      </c>
      <c r="M77" s="36">
        <v>76.0</v>
      </c>
      <c r="N77" s="36">
        <v>45.0</v>
      </c>
      <c r="O77" s="36">
        <v>22.0</v>
      </c>
      <c r="P77" s="36">
        <v>41.0</v>
      </c>
      <c r="Q77" s="36">
        <v>0.33</v>
      </c>
      <c r="R77" s="36">
        <v>0.89</v>
      </c>
      <c r="S77" s="36">
        <v>1.84</v>
      </c>
      <c r="T77" s="36">
        <v>2.73</v>
      </c>
      <c r="U77" s="21">
        <f t="shared" si="1"/>
        <v>2730</v>
      </c>
      <c r="V77" s="21">
        <f t="shared" si="3"/>
        <v>16900</v>
      </c>
    </row>
    <row r="78" ht="14.25" customHeight="1">
      <c r="A78" s="38">
        <v>0.33611111111111114</v>
      </c>
      <c r="B78" s="36">
        <v>80.0</v>
      </c>
      <c r="C78" s="36">
        <v>23.0</v>
      </c>
      <c r="D78" s="36">
        <v>1266.0</v>
      </c>
      <c r="E78" s="36">
        <v>948.0</v>
      </c>
      <c r="F78" s="36">
        <v>0.75</v>
      </c>
      <c r="G78" s="36">
        <v>21.0</v>
      </c>
      <c r="H78" s="36">
        <v>1.06</v>
      </c>
      <c r="I78" s="36">
        <v>22.3</v>
      </c>
      <c r="J78" s="36">
        <v>86.0</v>
      </c>
      <c r="K78" s="36">
        <v>110.0</v>
      </c>
      <c r="L78" s="36">
        <v>45.9</v>
      </c>
      <c r="M78" s="36">
        <v>72.0</v>
      </c>
      <c r="N78" s="36">
        <v>48.0</v>
      </c>
      <c r="O78" s="36">
        <v>21.0</v>
      </c>
      <c r="P78" s="36">
        <v>52.0</v>
      </c>
      <c r="Q78" s="36">
        <v>0.29</v>
      </c>
      <c r="R78" s="36">
        <v>0.83</v>
      </c>
      <c r="S78" s="36">
        <v>2.03</v>
      </c>
      <c r="T78" s="36">
        <v>2.86</v>
      </c>
      <c r="U78" s="21">
        <f t="shared" si="1"/>
        <v>2860</v>
      </c>
      <c r="V78" s="21">
        <f t="shared" si="3"/>
        <v>1600</v>
      </c>
    </row>
    <row r="79" ht="14.25" customHeight="1">
      <c r="A79" s="38">
        <v>0.3388888888888889</v>
      </c>
      <c r="B79" s="36">
        <v>82.0</v>
      </c>
      <c r="C79" s="36">
        <v>16.4</v>
      </c>
      <c r="D79" s="36">
        <v>901.0</v>
      </c>
      <c r="E79" s="36">
        <v>681.0</v>
      </c>
      <c r="F79" s="36">
        <v>0.76</v>
      </c>
      <c r="G79" s="36">
        <v>21.0</v>
      </c>
      <c r="H79" s="36">
        <v>0.84</v>
      </c>
      <c r="I79" s="36">
        <v>17.8</v>
      </c>
      <c r="J79" s="36">
        <v>88.8</v>
      </c>
      <c r="K79" s="36">
        <v>110.0</v>
      </c>
      <c r="L79" s="36">
        <v>45.9</v>
      </c>
      <c r="M79" s="36">
        <v>77.0</v>
      </c>
      <c r="N79" s="36">
        <v>45.0</v>
      </c>
      <c r="O79" s="36">
        <v>21.0</v>
      </c>
      <c r="P79" s="36">
        <v>37.0</v>
      </c>
      <c r="Q79" s="36">
        <v>0.4</v>
      </c>
      <c r="R79" s="36">
        <v>1.14</v>
      </c>
      <c r="S79" s="36">
        <v>1.68</v>
      </c>
      <c r="T79" s="36">
        <v>2.82</v>
      </c>
      <c r="U79" s="21">
        <f t="shared" si="1"/>
        <v>2820</v>
      </c>
      <c r="V79" s="21">
        <f t="shared" si="3"/>
        <v>52900</v>
      </c>
    </row>
    <row r="80" ht="14.25" customHeight="1">
      <c r="A80" s="38">
        <v>0.34097222222222223</v>
      </c>
      <c r="B80" s="36">
        <v>83.0</v>
      </c>
      <c r="C80" s="36">
        <v>24.7</v>
      </c>
      <c r="D80" s="36">
        <v>1358.0</v>
      </c>
      <c r="E80" s="36">
        <v>1035.0</v>
      </c>
      <c r="F80" s="36">
        <v>0.76</v>
      </c>
      <c r="G80" s="36">
        <v>23.0</v>
      </c>
      <c r="H80" s="36">
        <v>1.03</v>
      </c>
      <c r="I80" s="36">
        <v>23.7</v>
      </c>
      <c r="J80" s="36">
        <v>85.1</v>
      </c>
      <c r="K80" s="36">
        <v>109.0</v>
      </c>
      <c r="L80" s="36">
        <v>46.3</v>
      </c>
      <c r="M80" s="36">
        <v>74.0</v>
      </c>
      <c r="N80" s="36">
        <v>47.0</v>
      </c>
      <c r="O80" s="36">
        <v>23.0</v>
      </c>
      <c r="P80" s="36">
        <v>56.0</v>
      </c>
      <c r="Q80" s="36">
        <v>0.32</v>
      </c>
      <c r="R80" s="36">
        <v>0.84</v>
      </c>
      <c r="S80" s="36">
        <v>1.76</v>
      </c>
      <c r="T80" s="36">
        <v>2.59</v>
      </c>
      <c r="U80" s="21">
        <f t="shared" si="1"/>
        <v>2590</v>
      </c>
      <c r="V80" s="21">
        <f t="shared" si="3"/>
        <v>336400</v>
      </c>
    </row>
    <row r="81" ht="14.25" customHeight="1">
      <c r="A81" s="38">
        <v>0.34375</v>
      </c>
      <c r="B81" s="36">
        <v>85.0</v>
      </c>
      <c r="C81" s="36">
        <v>20.8</v>
      </c>
      <c r="D81" s="36">
        <v>1142.0</v>
      </c>
      <c r="E81" s="36">
        <v>869.0</v>
      </c>
      <c r="F81" s="36">
        <v>0.76</v>
      </c>
      <c r="G81" s="36">
        <v>19.0</v>
      </c>
      <c r="H81" s="36">
        <v>1.06</v>
      </c>
      <c r="I81" s="36">
        <v>20.0</v>
      </c>
      <c r="J81" s="36">
        <v>87.4</v>
      </c>
      <c r="K81" s="36">
        <v>110.0</v>
      </c>
      <c r="L81" s="36">
        <v>46.0</v>
      </c>
      <c r="M81" s="36">
        <v>74.0</v>
      </c>
      <c r="N81" s="36">
        <v>47.0</v>
      </c>
      <c r="O81" s="36">
        <v>19.0</v>
      </c>
      <c r="P81" s="36">
        <v>47.0</v>
      </c>
      <c r="Q81" s="36">
        <v>0.39</v>
      </c>
      <c r="R81" s="36">
        <v>1.22</v>
      </c>
      <c r="S81" s="36">
        <v>1.94</v>
      </c>
      <c r="T81" s="36">
        <v>3.17</v>
      </c>
      <c r="U81" s="21">
        <f t="shared" si="1"/>
        <v>3170</v>
      </c>
      <c r="V81" s="21">
        <f t="shared" si="3"/>
        <v>1600</v>
      </c>
    </row>
    <row r="82" ht="14.25" customHeight="1">
      <c r="A82" s="38">
        <v>0.3458333333333333</v>
      </c>
      <c r="B82" s="36">
        <v>85.0</v>
      </c>
      <c r="C82" s="36">
        <v>21.0</v>
      </c>
      <c r="D82" s="36">
        <v>1155.0</v>
      </c>
      <c r="E82" s="36">
        <v>886.0</v>
      </c>
      <c r="F82" s="36">
        <v>0.77</v>
      </c>
      <c r="G82" s="36">
        <v>19.0</v>
      </c>
      <c r="H82" s="36">
        <v>1.08</v>
      </c>
      <c r="I82" s="36">
        <v>20.7</v>
      </c>
      <c r="J82" s="36">
        <v>87.0</v>
      </c>
      <c r="K82" s="36">
        <v>111.0</v>
      </c>
      <c r="L82" s="36">
        <v>45.6</v>
      </c>
      <c r="M82" s="36">
        <v>75.0</v>
      </c>
      <c r="N82" s="36">
        <v>47.0</v>
      </c>
      <c r="O82" s="36">
        <v>19.0</v>
      </c>
      <c r="P82" s="36">
        <v>47.0</v>
      </c>
      <c r="Q82" s="36">
        <v>0.37</v>
      </c>
      <c r="R82" s="36">
        <v>1.16</v>
      </c>
      <c r="S82" s="36">
        <v>1.97</v>
      </c>
      <c r="T82" s="36">
        <v>3.13</v>
      </c>
      <c r="U82" s="21">
        <f t="shared" si="1"/>
        <v>3130</v>
      </c>
      <c r="V82" s="21">
        <f t="shared" si="3"/>
        <v>1600</v>
      </c>
    </row>
    <row r="83" ht="14.25" customHeight="1">
      <c r="A83" s="38">
        <v>0.3472222222222222</v>
      </c>
      <c r="B83" s="36">
        <v>87.0</v>
      </c>
      <c r="C83" s="36">
        <v>21.3</v>
      </c>
      <c r="D83" s="36">
        <v>1170.0</v>
      </c>
      <c r="E83" s="36">
        <v>897.0</v>
      </c>
      <c r="F83" s="36">
        <v>0.77</v>
      </c>
      <c r="G83" s="36">
        <v>19.0</v>
      </c>
      <c r="H83" s="36">
        <v>1.08</v>
      </c>
      <c r="I83" s="36">
        <v>20.9</v>
      </c>
      <c r="J83" s="36">
        <v>86.8</v>
      </c>
      <c r="K83" s="36">
        <v>111.0</v>
      </c>
      <c r="L83" s="36">
        <v>45.2</v>
      </c>
      <c r="M83" s="36">
        <v>75.0</v>
      </c>
      <c r="N83" s="36">
        <v>47.0</v>
      </c>
      <c r="O83" s="36">
        <v>19.0</v>
      </c>
      <c r="P83" s="36">
        <v>48.0</v>
      </c>
      <c r="Q83" s="36">
        <v>0.35</v>
      </c>
      <c r="R83" s="36">
        <v>1.09</v>
      </c>
      <c r="S83" s="36">
        <v>2.0</v>
      </c>
      <c r="T83" s="36">
        <v>3.09</v>
      </c>
      <c r="U83" s="21">
        <f t="shared" si="1"/>
        <v>3090</v>
      </c>
      <c r="V83" s="21">
        <f t="shared" si="3"/>
        <v>78400</v>
      </c>
    </row>
    <row r="84" ht="14.25" customHeight="1">
      <c r="A84" s="38">
        <v>0.3486111111111111</v>
      </c>
      <c r="B84" s="36">
        <v>88.0</v>
      </c>
      <c r="C84" s="36">
        <v>17.8</v>
      </c>
      <c r="D84" s="36">
        <v>978.0</v>
      </c>
      <c r="E84" s="36">
        <v>765.0</v>
      </c>
      <c r="F84" s="36">
        <v>0.78</v>
      </c>
      <c r="G84" s="36">
        <v>21.0</v>
      </c>
      <c r="H84" s="36">
        <v>0.88</v>
      </c>
      <c r="I84" s="36">
        <v>18.8</v>
      </c>
      <c r="J84" s="36">
        <v>88.1</v>
      </c>
      <c r="K84" s="36">
        <v>113.0</v>
      </c>
      <c r="L84" s="36">
        <v>44.3</v>
      </c>
      <c r="M84" s="36">
        <v>77.0</v>
      </c>
      <c r="N84" s="36">
        <v>47.0</v>
      </c>
      <c r="O84" s="36">
        <v>21.0</v>
      </c>
      <c r="P84" s="36">
        <v>40.0</v>
      </c>
      <c r="Q84" s="36">
        <v>0.36</v>
      </c>
      <c r="R84" s="36">
        <v>1.02</v>
      </c>
      <c r="S84" s="36">
        <v>1.8</v>
      </c>
      <c r="T84" s="36">
        <v>2.81</v>
      </c>
      <c r="U84" s="21">
        <f t="shared" si="1"/>
        <v>2810</v>
      </c>
      <c r="V84" s="21">
        <f t="shared" si="3"/>
        <v>2500</v>
      </c>
    </row>
    <row r="85" ht="14.25" customHeight="1">
      <c r="A85" s="38">
        <v>0.3506944444444444</v>
      </c>
      <c r="B85" s="36">
        <v>89.0</v>
      </c>
      <c r="C85" s="36">
        <v>19.7</v>
      </c>
      <c r="D85" s="36">
        <v>1086.0</v>
      </c>
      <c r="E85" s="36">
        <v>851.0</v>
      </c>
      <c r="F85" s="36">
        <v>0.78</v>
      </c>
      <c r="G85" s="36">
        <v>22.0</v>
      </c>
      <c r="H85" s="36">
        <v>0.93</v>
      </c>
      <c r="I85" s="36">
        <v>20.3</v>
      </c>
      <c r="J85" s="36">
        <v>87.2</v>
      </c>
      <c r="K85" s="36">
        <v>114.0</v>
      </c>
      <c r="L85" s="36">
        <v>43.7</v>
      </c>
      <c r="M85" s="36">
        <v>76.0</v>
      </c>
      <c r="N85" s="36">
        <v>47.0</v>
      </c>
      <c r="O85" s="36">
        <v>22.0</v>
      </c>
      <c r="P85" s="36">
        <v>44.0</v>
      </c>
      <c r="Q85" s="36">
        <v>0.33</v>
      </c>
      <c r="R85" s="36">
        <v>0.92</v>
      </c>
      <c r="S85" s="36">
        <v>1.84</v>
      </c>
      <c r="T85" s="36">
        <v>2.76</v>
      </c>
      <c r="U85" s="21">
        <f t="shared" si="1"/>
        <v>2760</v>
      </c>
      <c r="V85" s="21">
        <f t="shared" si="3"/>
        <v>52900</v>
      </c>
    </row>
    <row r="86" ht="14.25" customHeight="1">
      <c r="A86" s="38">
        <v>0.3527777777777778</v>
      </c>
      <c r="B86" s="36">
        <v>90.0</v>
      </c>
      <c r="C86" s="36">
        <v>23.4</v>
      </c>
      <c r="D86" s="36">
        <v>1286.0</v>
      </c>
      <c r="E86" s="36">
        <v>1019.0</v>
      </c>
      <c r="F86" s="36">
        <v>0.79</v>
      </c>
      <c r="G86" s="36">
        <v>20.0</v>
      </c>
      <c r="H86" s="36">
        <v>1.16</v>
      </c>
      <c r="I86" s="36">
        <v>23.3</v>
      </c>
      <c r="J86" s="36">
        <v>85.4</v>
      </c>
      <c r="K86" s="36">
        <v>115.0</v>
      </c>
      <c r="L86" s="36">
        <v>43.6</v>
      </c>
      <c r="M86" s="36">
        <v>73.0</v>
      </c>
      <c r="N86" s="36">
        <v>50.0</v>
      </c>
      <c r="O86" s="36">
        <v>20.0</v>
      </c>
      <c r="P86" s="36">
        <v>53.0</v>
      </c>
      <c r="Q86" s="36">
        <v>0.33</v>
      </c>
      <c r="R86" s="36">
        <v>0.98</v>
      </c>
      <c r="S86" s="36">
        <v>2.0</v>
      </c>
      <c r="T86" s="36">
        <v>2.99</v>
      </c>
      <c r="U86" s="21">
        <f t="shared" si="1"/>
        <v>2990</v>
      </c>
      <c r="V86" s="21">
        <f t="shared" si="3"/>
        <v>193600</v>
      </c>
    </row>
    <row r="87" ht="14.25" customHeight="1">
      <c r="A87" s="38">
        <v>0.35625</v>
      </c>
      <c r="B87" s="36">
        <v>92.0</v>
      </c>
      <c r="C87" s="36">
        <v>20.0</v>
      </c>
      <c r="D87" s="36">
        <v>1098.0</v>
      </c>
      <c r="E87" s="36">
        <v>884.0</v>
      </c>
      <c r="F87" s="36">
        <v>0.81</v>
      </c>
      <c r="G87" s="36">
        <v>17.0</v>
      </c>
      <c r="H87" s="36">
        <v>1.2</v>
      </c>
      <c r="I87" s="36">
        <v>21.0</v>
      </c>
      <c r="J87" s="36">
        <v>86.8</v>
      </c>
      <c r="K87" s="36">
        <v>116.0</v>
      </c>
      <c r="L87" s="36">
        <v>43.0</v>
      </c>
      <c r="M87" s="36">
        <v>74.0</v>
      </c>
      <c r="N87" s="36">
        <v>50.0</v>
      </c>
      <c r="O87" s="36">
        <v>17.0</v>
      </c>
      <c r="P87" s="36">
        <v>45.0</v>
      </c>
      <c r="Q87" s="36">
        <v>0.38</v>
      </c>
      <c r="R87" s="36">
        <v>1.3</v>
      </c>
      <c r="S87" s="36">
        <v>2.13</v>
      </c>
      <c r="T87" s="36">
        <v>3.43</v>
      </c>
      <c r="U87" s="21">
        <f t="shared" si="1"/>
        <v>3430</v>
      </c>
      <c r="V87" s="21">
        <f t="shared" si="3"/>
        <v>14400</v>
      </c>
    </row>
    <row r="88" ht="14.25" customHeight="1">
      <c r="A88" s="38">
        <v>0.3590277777777778</v>
      </c>
      <c r="B88" s="36">
        <v>93.0</v>
      </c>
      <c r="C88" s="36">
        <v>24.9</v>
      </c>
      <c r="D88" s="36">
        <v>1369.0</v>
      </c>
      <c r="E88" s="36">
        <v>1108.0</v>
      </c>
      <c r="F88" s="36">
        <v>0.81</v>
      </c>
      <c r="G88" s="36">
        <v>18.0</v>
      </c>
      <c r="H88" s="36">
        <v>1.39</v>
      </c>
      <c r="I88" s="36">
        <v>25.2</v>
      </c>
      <c r="J88" s="36">
        <v>84.1</v>
      </c>
      <c r="K88" s="36">
        <v>116.0</v>
      </c>
      <c r="L88" s="36">
        <v>42.6</v>
      </c>
      <c r="M88" s="36">
        <v>73.0</v>
      </c>
      <c r="N88" s="36">
        <v>50.0</v>
      </c>
      <c r="O88" s="36">
        <v>18.0</v>
      </c>
      <c r="P88" s="36">
        <v>56.0</v>
      </c>
      <c r="Q88" s="36">
        <v>0.33</v>
      </c>
      <c r="R88" s="36">
        <v>1.09</v>
      </c>
      <c r="S88" s="36">
        <v>2.22</v>
      </c>
      <c r="T88" s="36">
        <v>3.31</v>
      </c>
      <c r="U88" s="21">
        <f t="shared" si="1"/>
        <v>3310</v>
      </c>
      <c r="V88" s="21">
        <f t="shared" si="3"/>
        <v>8100</v>
      </c>
    </row>
    <row r="89" ht="14.25" customHeight="1">
      <c r="A89" s="38">
        <v>0.36041666666666666</v>
      </c>
      <c r="B89" s="36">
        <v>95.0</v>
      </c>
      <c r="C89" s="36">
        <v>22.8</v>
      </c>
      <c r="D89" s="36">
        <v>1254.0</v>
      </c>
      <c r="E89" s="36">
        <v>1024.0</v>
      </c>
      <c r="F89" s="36">
        <v>0.82</v>
      </c>
      <c r="G89" s="36">
        <v>19.0</v>
      </c>
      <c r="H89" s="36">
        <v>1.27</v>
      </c>
      <c r="I89" s="36">
        <v>23.7</v>
      </c>
      <c r="J89" s="36">
        <v>85.1</v>
      </c>
      <c r="K89" s="36">
        <v>117.0</v>
      </c>
      <c r="L89" s="36">
        <v>42.3</v>
      </c>
      <c r="M89" s="36">
        <v>73.0</v>
      </c>
      <c r="N89" s="36">
        <v>50.0</v>
      </c>
      <c r="O89" s="36">
        <v>19.0</v>
      </c>
      <c r="P89" s="36">
        <v>51.0</v>
      </c>
      <c r="Q89" s="36">
        <v>0.33</v>
      </c>
      <c r="R89" s="36">
        <v>1.07</v>
      </c>
      <c r="S89" s="36">
        <v>2.15</v>
      </c>
      <c r="T89" s="36">
        <v>3.22</v>
      </c>
      <c r="U89" s="21">
        <f t="shared" si="1"/>
        <v>3220</v>
      </c>
      <c r="V89" s="21">
        <f t="shared" si="3"/>
        <v>184900</v>
      </c>
    </row>
    <row r="90" ht="14.25" customHeight="1">
      <c r="A90" s="38">
        <v>0.3625</v>
      </c>
      <c r="B90" s="36">
        <v>96.0</v>
      </c>
      <c r="C90" s="36">
        <v>27.3</v>
      </c>
      <c r="D90" s="36">
        <v>1500.0</v>
      </c>
      <c r="E90" s="36">
        <v>1210.0</v>
      </c>
      <c r="F90" s="36">
        <v>0.81</v>
      </c>
      <c r="G90" s="36">
        <v>21.0</v>
      </c>
      <c r="H90" s="36">
        <v>1.27</v>
      </c>
      <c r="I90" s="36">
        <v>27.2</v>
      </c>
      <c r="J90" s="36">
        <v>82.8</v>
      </c>
      <c r="K90" s="36">
        <v>118.0</v>
      </c>
      <c r="L90" s="36">
        <v>41.8</v>
      </c>
      <c r="M90" s="36">
        <v>73.0</v>
      </c>
      <c r="N90" s="36">
        <v>50.0</v>
      </c>
      <c r="O90" s="36">
        <v>21.0</v>
      </c>
      <c r="P90" s="36">
        <v>61.0</v>
      </c>
      <c r="Q90" s="36">
        <v>0.33</v>
      </c>
      <c r="R90" s="36">
        <v>0.92</v>
      </c>
      <c r="S90" s="36">
        <v>1.87</v>
      </c>
      <c r="T90" s="36">
        <v>2.79</v>
      </c>
      <c r="U90" s="21">
        <f t="shared" si="1"/>
        <v>2790</v>
      </c>
      <c r="V90" s="21">
        <f t="shared" si="3"/>
        <v>592900</v>
      </c>
    </row>
    <row r="91" ht="14.25" customHeight="1">
      <c r="A91" s="38">
        <v>0.36666666666666664</v>
      </c>
      <c r="B91" s="36">
        <v>98.0</v>
      </c>
      <c r="C91" s="36">
        <v>25.3</v>
      </c>
      <c r="D91" s="36">
        <v>1394.0</v>
      </c>
      <c r="E91" s="36">
        <v>1168.0</v>
      </c>
      <c r="F91" s="36">
        <v>0.84</v>
      </c>
      <c r="G91" s="36">
        <v>17.0</v>
      </c>
      <c r="H91" s="36">
        <v>1.54</v>
      </c>
      <c r="I91" s="36">
        <v>26.0</v>
      </c>
      <c r="J91" s="36">
        <v>83.6</v>
      </c>
      <c r="K91" s="36">
        <v>119.0</v>
      </c>
      <c r="L91" s="36">
        <v>41.2</v>
      </c>
      <c r="M91" s="36">
        <v>73.0</v>
      </c>
      <c r="N91" s="36">
        <v>51.0</v>
      </c>
      <c r="O91" s="36">
        <v>17.0</v>
      </c>
      <c r="P91" s="36">
        <v>57.0</v>
      </c>
      <c r="Q91" s="36">
        <v>0.37</v>
      </c>
      <c r="R91" s="36">
        <v>1.33</v>
      </c>
      <c r="S91" s="36">
        <v>2.23</v>
      </c>
      <c r="T91" s="36">
        <v>3.56</v>
      </c>
      <c r="U91" s="21">
        <f t="shared" si="1"/>
        <v>3560</v>
      </c>
      <c r="V91" s="21">
        <f t="shared" si="3"/>
        <v>152100</v>
      </c>
    </row>
    <row r="92" ht="14.25" customHeight="1">
      <c r="A92" s="38">
        <v>0.3701388888888889</v>
      </c>
      <c r="B92" s="36">
        <v>100.0</v>
      </c>
      <c r="C92" s="36">
        <v>22.4</v>
      </c>
      <c r="D92" s="36">
        <v>1234.0</v>
      </c>
      <c r="E92" s="36">
        <v>1060.0</v>
      </c>
      <c r="F92" s="36">
        <v>0.86</v>
      </c>
      <c r="G92" s="36">
        <v>15.0</v>
      </c>
      <c r="H92" s="36">
        <v>1.56</v>
      </c>
      <c r="I92" s="36">
        <v>23.7</v>
      </c>
      <c r="J92" s="36">
        <v>85.1</v>
      </c>
      <c r="K92" s="36">
        <v>121.0</v>
      </c>
      <c r="L92" s="36">
        <v>40.4</v>
      </c>
      <c r="M92" s="36">
        <v>74.0</v>
      </c>
      <c r="N92" s="36">
        <v>51.0</v>
      </c>
      <c r="O92" s="36">
        <v>15.0</v>
      </c>
      <c r="P92" s="36">
        <v>51.0</v>
      </c>
      <c r="Q92" s="36">
        <v>0.37</v>
      </c>
      <c r="R92" s="36">
        <v>1.48</v>
      </c>
      <c r="S92" s="36">
        <v>2.48</v>
      </c>
      <c r="T92" s="36">
        <v>3.95</v>
      </c>
      <c r="U92" s="21">
        <f t="shared" si="1"/>
        <v>3950</v>
      </c>
      <c r="V92" s="21">
        <f t="shared" si="3"/>
        <v>0</v>
      </c>
    </row>
    <row r="93" ht="14.25" customHeight="1">
      <c r="A93" s="38">
        <v>0.37222222222222223</v>
      </c>
      <c r="B93" s="36">
        <v>102.0</v>
      </c>
      <c r="C93" s="36">
        <v>23.4</v>
      </c>
      <c r="D93" s="36">
        <v>1288.0</v>
      </c>
      <c r="E93" s="36">
        <v>1121.0</v>
      </c>
      <c r="F93" s="36">
        <v>0.87</v>
      </c>
      <c r="G93" s="36">
        <v>15.0</v>
      </c>
      <c r="H93" s="36">
        <v>1.63</v>
      </c>
      <c r="I93" s="36">
        <v>24.8</v>
      </c>
      <c r="J93" s="36">
        <v>84.4</v>
      </c>
      <c r="K93" s="36">
        <v>123.0</v>
      </c>
      <c r="L93" s="36">
        <v>39.3</v>
      </c>
      <c r="M93" s="36">
        <v>74.0</v>
      </c>
      <c r="N93" s="36">
        <v>51.0</v>
      </c>
      <c r="O93" s="36">
        <v>15.0</v>
      </c>
      <c r="P93" s="36">
        <v>53.0</v>
      </c>
      <c r="Q93" s="36">
        <v>0.36</v>
      </c>
      <c r="R93" s="36">
        <v>1.43</v>
      </c>
      <c r="S93" s="36">
        <v>2.52</v>
      </c>
      <c r="T93" s="36">
        <v>3.95</v>
      </c>
      <c r="U93" s="21">
        <f t="shared" si="1"/>
        <v>3950</v>
      </c>
      <c r="V93" s="21">
        <f t="shared" si="3"/>
        <v>36100</v>
      </c>
    </row>
    <row r="94" ht="14.25" customHeight="1">
      <c r="A94" s="38">
        <v>0.375</v>
      </c>
      <c r="B94" s="36">
        <v>103.0</v>
      </c>
      <c r="C94" s="36">
        <v>23.9</v>
      </c>
      <c r="D94" s="36">
        <v>1315.0</v>
      </c>
      <c r="E94" s="36">
        <v>1145.0</v>
      </c>
      <c r="F94" s="36">
        <v>0.87</v>
      </c>
      <c r="G94" s="36">
        <v>16.0</v>
      </c>
      <c r="H94" s="36">
        <v>1.59</v>
      </c>
      <c r="I94" s="36">
        <v>25.3</v>
      </c>
      <c r="J94" s="36">
        <v>84.0</v>
      </c>
      <c r="K94" s="36">
        <v>125.0</v>
      </c>
      <c r="L94" s="36">
        <v>38.4</v>
      </c>
      <c r="M94" s="36">
        <v>75.0</v>
      </c>
      <c r="N94" s="36">
        <v>51.0</v>
      </c>
      <c r="O94" s="36">
        <v>16.0</v>
      </c>
      <c r="P94" s="36">
        <v>54.0</v>
      </c>
      <c r="Q94" s="36">
        <v>0.38</v>
      </c>
      <c r="R94" s="36">
        <v>1.44</v>
      </c>
      <c r="S94" s="36">
        <v>2.32</v>
      </c>
      <c r="T94" s="36">
        <v>3.76</v>
      </c>
      <c r="U94" s="21">
        <f t="shared" si="1"/>
        <v>3760</v>
      </c>
      <c r="V94" s="21">
        <f t="shared" si="3"/>
        <v>96100</v>
      </c>
    </row>
    <row r="95" ht="14.25" customHeight="1">
      <c r="A95" s="38">
        <v>0.3763888888888889</v>
      </c>
      <c r="B95" s="36">
        <v>104.0</v>
      </c>
      <c r="C95" s="36">
        <v>22.3</v>
      </c>
      <c r="D95" s="36">
        <v>1228.0</v>
      </c>
      <c r="E95" s="36">
        <v>1086.0</v>
      </c>
      <c r="F95" s="36">
        <v>0.88</v>
      </c>
      <c r="G95" s="36">
        <v>15.0</v>
      </c>
      <c r="H95" s="36">
        <v>1.63</v>
      </c>
      <c r="I95" s="36">
        <v>24.0</v>
      </c>
      <c r="J95" s="36">
        <v>84.9</v>
      </c>
      <c r="K95" s="36">
        <v>127.0</v>
      </c>
      <c r="L95" s="36">
        <v>37.6</v>
      </c>
      <c r="M95" s="36">
        <v>75.0</v>
      </c>
      <c r="N95" s="36">
        <v>51.0</v>
      </c>
      <c r="O95" s="36">
        <v>15.0</v>
      </c>
      <c r="P95" s="36">
        <v>50.0</v>
      </c>
      <c r="Q95" s="36">
        <v>0.39</v>
      </c>
      <c r="R95" s="36">
        <v>1.58</v>
      </c>
      <c r="S95" s="36">
        <v>2.49</v>
      </c>
      <c r="T95" s="36">
        <v>4.07</v>
      </c>
      <c r="U95" s="21">
        <f t="shared" si="1"/>
        <v>4070</v>
      </c>
      <c r="V95" s="21">
        <f t="shared" si="3"/>
        <v>67600</v>
      </c>
    </row>
    <row r="96" ht="14.25" customHeight="1">
      <c r="A96" s="38">
        <v>0.37777777777777777</v>
      </c>
      <c r="B96" s="36">
        <v>105.0</v>
      </c>
      <c r="C96" s="36">
        <v>21.6</v>
      </c>
      <c r="D96" s="36">
        <v>1191.0</v>
      </c>
      <c r="E96" s="36">
        <v>1065.0</v>
      </c>
      <c r="F96" s="36">
        <v>0.89</v>
      </c>
      <c r="G96" s="36">
        <v>16.0</v>
      </c>
      <c r="H96" s="36">
        <v>1.52</v>
      </c>
      <c r="I96" s="36">
        <v>24.0</v>
      </c>
      <c r="J96" s="36">
        <v>84.9</v>
      </c>
      <c r="K96" s="36">
        <v>128.0</v>
      </c>
      <c r="L96" s="36">
        <v>37.1</v>
      </c>
      <c r="M96" s="36">
        <v>76.0</v>
      </c>
      <c r="N96" s="36">
        <v>51.0</v>
      </c>
      <c r="O96" s="36">
        <v>16.0</v>
      </c>
      <c r="P96" s="36">
        <v>49.0</v>
      </c>
      <c r="Q96" s="36">
        <v>0.38</v>
      </c>
      <c r="R96" s="36">
        <v>1.45</v>
      </c>
      <c r="S96" s="36">
        <v>2.35</v>
      </c>
      <c r="T96" s="36">
        <v>3.81</v>
      </c>
      <c r="U96" s="21">
        <f t="shared" si="1"/>
        <v>3810</v>
      </c>
      <c r="V96" s="21">
        <f t="shared" si="3"/>
        <v>0</v>
      </c>
    </row>
    <row r="97" ht="14.25" customHeight="1">
      <c r="A97" s="38">
        <v>0.37916666666666665</v>
      </c>
      <c r="B97" s="36">
        <v>105.0</v>
      </c>
      <c r="C97" s="36">
        <v>21.7</v>
      </c>
      <c r="D97" s="36">
        <v>1191.0</v>
      </c>
      <c r="E97" s="36">
        <v>1065.0</v>
      </c>
      <c r="F97" s="36">
        <v>0.89</v>
      </c>
      <c r="G97" s="36">
        <v>16.0</v>
      </c>
      <c r="H97" s="36">
        <v>1.52</v>
      </c>
      <c r="I97" s="36">
        <v>24.0</v>
      </c>
      <c r="J97" s="36">
        <v>84.9</v>
      </c>
      <c r="K97" s="36">
        <v>128.0</v>
      </c>
      <c r="L97" s="36">
        <v>36.9</v>
      </c>
      <c r="M97" s="36">
        <v>76.0</v>
      </c>
      <c r="N97" s="36">
        <v>51.0</v>
      </c>
      <c r="O97" s="36">
        <v>16.0</v>
      </c>
      <c r="P97" s="36">
        <v>49.0</v>
      </c>
      <c r="Q97" s="36">
        <v>0.38</v>
      </c>
      <c r="R97" s="36">
        <v>1.45</v>
      </c>
      <c r="S97" s="36">
        <v>2.35</v>
      </c>
      <c r="T97" s="36">
        <v>3.81</v>
      </c>
      <c r="U97" s="21">
        <f t="shared" si="1"/>
        <v>3810</v>
      </c>
      <c r="V97" s="21">
        <f t="shared" si="3"/>
        <v>144400</v>
      </c>
    </row>
    <row r="98" ht="14.25" customHeight="1">
      <c r="A98" s="38">
        <v>0.38125</v>
      </c>
      <c r="B98" s="36">
        <v>107.0</v>
      </c>
      <c r="C98" s="36">
        <v>24.4</v>
      </c>
      <c r="D98" s="36">
        <v>1344.0</v>
      </c>
      <c r="E98" s="36">
        <v>1179.0</v>
      </c>
      <c r="F98" s="36">
        <v>0.88</v>
      </c>
      <c r="G98" s="36">
        <v>18.0</v>
      </c>
      <c r="H98" s="36">
        <v>1.49</v>
      </c>
      <c r="I98" s="36">
        <v>26.1</v>
      </c>
      <c r="J98" s="36">
        <v>83.6</v>
      </c>
      <c r="K98" s="36">
        <v>128.0</v>
      </c>
      <c r="L98" s="36">
        <v>36.9</v>
      </c>
      <c r="M98" s="36">
        <v>76.0</v>
      </c>
      <c r="N98" s="36">
        <v>51.0</v>
      </c>
      <c r="O98" s="36">
        <v>18.0</v>
      </c>
      <c r="P98" s="36">
        <v>55.0</v>
      </c>
      <c r="Q98" s="36">
        <v>0.37</v>
      </c>
      <c r="R98" s="36">
        <v>1.28</v>
      </c>
      <c r="S98" s="36">
        <v>2.15</v>
      </c>
      <c r="T98" s="36">
        <v>3.43</v>
      </c>
      <c r="U98" s="21">
        <f t="shared" si="1"/>
        <v>3430</v>
      </c>
      <c r="V98" s="21">
        <f t="shared" si="3"/>
        <v>32400</v>
      </c>
    </row>
    <row r="99" ht="14.25" customHeight="1">
      <c r="A99" s="38">
        <v>0.3854166666666667</v>
      </c>
      <c r="B99" s="36">
        <v>109.0</v>
      </c>
      <c r="C99" s="36">
        <v>23.2</v>
      </c>
      <c r="D99" s="36">
        <v>1275.0</v>
      </c>
      <c r="E99" s="36">
        <v>1124.0</v>
      </c>
      <c r="F99" s="36">
        <v>0.88</v>
      </c>
      <c r="G99" s="36">
        <v>17.0</v>
      </c>
      <c r="H99" s="36">
        <v>1.48</v>
      </c>
      <c r="I99" s="36">
        <v>24.6</v>
      </c>
      <c r="J99" s="36">
        <v>84.5</v>
      </c>
      <c r="K99" s="36">
        <v>127.0</v>
      </c>
      <c r="L99" s="36">
        <v>37.3</v>
      </c>
      <c r="M99" s="36">
        <v>75.0</v>
      </c>
      <c r="N99" s="36">
        <v>51.0</v>
      </c>
      <c r="O99" s="36">
        <v>17.0</v>
      </c>
      <c r="P99" s="36">
        <v>52.0</v>
      </c>
      <c r="Q99" s="36">
        <v>0.4</v>
      </c>
      <c r="R99" s="36">
        <v>1.45</v>
      </c>
      <c r="S99" s="36">
        <v>2.16</v>
      </c>
      <c r="T99" s="36">
        <v>3.61</v>
      </c>
      <c r="U99" s="21">
        <f t="shared" si="1"/>
        <v>3610</v>
      </c>
      <c r="V99" s="21">
        <f t="shared" si="3"/>
        <v>16900</v>
      </c>
    </row>
    <row r="100" ht="14.25" customHeight="1">
      <c r="A100" s="38">
        <v>0.3875</v>
      </c>
      <c r="B100" s="36">
        <v>110.0</v>
      </c>
      <c r="C100" s="36">
        <v>25.3</v>
      </c>
      <c r="D100" s="36">
        <v>1389.0</v>
      </c>
      <c r="E100" s="36">
        <v>1232.0</v>
      </c>
      <c r="F100" s="36">
        <v>0.89</v>
      </c>
      <c r="G100" s="36">
        <v>17.0</v>
      </c>
      <c r="H100" s="36">
        <v>1.55</v>
      </c>
      <c r="I100" s="36">
        <v>26.8</v>
      </c>
      <c r="J100" s="36">
        <v>83.2</v>
      </c>
      <c r="K100" s="36">
        <v>127.0</v>
      </c>
      <c r="L100" s="36">
        <v>37.5</v>
      </c>
      <c r="M100" s="36">
        <v>75.0</v>
      </c>
      <c r="N100" s="36">
        <v>52.0</v>
      </c>
      <c r="O100" s="36">
        <v>17.0</v>
      </c>
      <c r="P100" s="36">
        <v>57.0</v>
      </c>
      <c r="Q100" s="36">
        <v>0.39</v>
      </c>
      <c r="R100" s="36">
        <v>1.37</v>
      </c>
      <c r="S100" s="36">
        <v>2.12</v>
      </c>
      <c r="T100" s="36">
        <v>3.48</v>
      </c>
      <c r="U100" s="21">
        <f t="shared" si="1"/>
        <v>3480</v>
      </c>
      <c r="V100" s="21">
        <f t="shared" si="3"/>
        <v>115600</v>
      </c>
    </row>
    <row r="101" ht="14.25" customHeight="1">
      <c r="A101" s="38">
        <v>0.3888888888888889</v>
      </c>
      <c r="B101" s="36">
        <v>112.0</v>
      </c>
      <c r="C101" s="36">
        <v>23.3</v>
      </c>
      <c r="D101" s="36">
        <v>1279.0</v>
      </c>
      <c r="E101" s="36">
        <v>1135.0</v>
      </c>
      <c r="F101" s="36">
        <v>0.89</v>
      </c>
      <c r="G101" s="36">
        <v>19.0</v>
      </c>
      <c r="H101" s="36">
        <v>1.32</v>
      </c>
      <c r="I101" s="36">
        <v>25.3</v>
      </c>
      <c r="J101" s="36">
        <v>84.1</v>
      </c>
      <c r="K101" s="36">
        <v>127.0</v>
      </c>
      <c r="L101" s="36">
        <v>37.5</v>
      </c>
      <c r="M101" s="36">
        <v>77.0</v>
      </c>
      <c r="N101" s="36">
        <v>50.0</v>
      </c>
      <c r="O101" s="36">
        <v>19.0</v>
      </c>
      <c r="P101" s="36">
        <v>52.0</v>
      </c>
      <c r="Q101" s="36">
        <v>0.39</v>
      </c>
      <c r="R101" s="36">
        <v>1.23</v>
      </c>
      <c r="S101" s="36">
        <v>1.91</v>
      </c>
      <c r="T101" s="36">
        <v>3.14</v>
      </c>
      <c r="U101" s="21">
        <f t="shared" si="1"/>
        <v>3140</v>
      </c>
      <c r="V101" s="21">
        <f t="shared" si="3"/>
        <v>72900</v>
      </c>
    </row>
    <row r="102" ht="14.25" customHeight="1">
      <c r="A102" s="38">
        <v>0.38958333333333334</v>
      </c>
      <c r="B102" s="36">
        <v>113.0</v>
      </c>
      <c r="C102" s="36">
        <v>25.5</v>
      </c>
      <c r="D102" s="36">
        <v>1403.0</v>
      </c>
      <c r="E102" s="36">
        <v>1255.0</v>
      </c>
      <c r="F102" s="36">
        <v>0.89</v>
      </c>
      <c r="G102" s="36">
        <v>21.0</v>
      </c>
      <c r="H102" s="36">
        <v>1.34</v>
      </c>
      <c r="I102" s="36">
        <v>27.9</v>
      </c>
      <c r="J102" s="36">
        <v>82.4</v>
      </c>
      <c r="K102" s="36">
        <v>127.0</v>
      </c>
      <c r="L102" s="36">
        <v>37.5</v>
      </c>
      <c r="M102" s="36">
        <v>78.0</v>
      </c>
      <c r="N102" s="36">
        <v>50.0</v>
      </c>
      <c r="O102" s="36">
        <v>21.0</v>
      </c>
      <c r="P102" s="36">
        <v>57.0</v>
      </c>
      <c r="Q102" s="36">
        <v>0.36</v>
      </c>
      <c r="R102" s="36">
        <v>1.02</v>
      </c>
      <c r="S102" s="36">
        <v>1.85</v>
      </c>
      <c r="T102" s="36">
        <v>2.87</v>
      </c>
      <c r="U102" s="21">
        <f t="shared" si="1"/>
        <v>2870</v>
      </c>
      <c r="V102" s="21">
        <f t="shared" si="3"/>
        <v>48400</v>
      </c>
    </row>
    <row r="103" ht="14.25" customHeight="1">
      <c r="A103" s="38">
        <v>0.3909722222222222</v>
      </c>
      <c r="B103" s="36">
        <v>113.0</v>
      </c>
      <c r="C103" s="36">
        <v>27.8</v>
      </c>
      <c r="D103" s="36">
        <v>1531.0</v>
      </c>
      <c r="E103" s="36">
        <v>1379.0</v>
      </c>
      <c r="F103" s="36">
        <v>0.9</v>
      </c>
      <c r="G103" s="36">
        <v>19.0</v>
      </c>
      <c r="H103" s="36">
        <v>1.53</v>
      </c>
      <c r="I103" s="36">
        <v>29.7</v>
      </c>
      <c r="J103" s="36">
        <v>81.3</v>
      </c>
      <c r="K103" s="36">
        <v>127.0</v>
      </c>
      <c r="L103" s="36">
        <v>37.5</v>
      </c>
      <c r="M103" s="36">
        <v>77.0</v>
      </c>
      <c r="N103" s="36">
        <v>51.0</v>
      </c>
      <c r="O103" s="36">
        <v>19.0</v>
      </c>
      <c r="P103" s="36">
        <v>63.0</v>
      </c>
      <c r="Q103" s="36">
        <v>0.33</v>
      </c>
      <c r="R103" s="36">
        <v>1.01</v>
      </c>
      <c r="S103" s="36">
        <v>2.08</v>
      </c>
      <c r="T103" s="36">
        <v>3.09</v>
      </c>
      <c r="U103" s="21">
        <f t="shared" si="1"/>
        <v>3090</v>
      </c>
      <c r="V103" s="21">
        <f t="shared" si="3"/>
        <v>8100</v>
      </c>
    </row>
    <row r="104" ht="14.25" customHeight="1">
      <c r="A104" s="38">
        <v>0.39375</v>
      </c>
      <c r="B104" s="36">
        <v>114.0</v>
      </c>
      <c r="C104" s="36">
        <v>26.6</v>
      </c>
      <c r="D104" s="36">
        <v>1464.0</v>
      </c>
      <c r="E104" s="36">
        <v>1335.0</v>
      </c>
      <c r="F104" s="36">
        <v>0.91</v>
      </c>
      <c r="G104" s="36">
        <v>19.0</v>
      </c>
      <c r="H104" s="36">
        <v>1.53</v>
      </c>
      <c r="I104" s="36">
        <v>28.9</v>
      </c>
      <c r="J104" s="36">
        <v>81.8</v>
      </c>
      <c r="K104" s="36">
        <v>127.0</v>
      </c>
      <c r="L104" s="36">
        <v>37.2</v>
      </c>
      <c r="M104" s="36">
        <v>77.0</v>
      </c>
      <c r="N104" s="36">
        <v>51.0</v>
      </c>
      <c r="O104" s="36">
        <v>19.0</v>
      </c>
      <c r="P104" s="36">
        <v>60.0</v>
      </c>
      <c r="Q104" s="36">
        <v>0.34</v>
      </c>
      <c r="R104" s="36">
        <v>1.1</v>
      </c>
      <c r="S104" s="36">
        <v>2.09</v>
      </c>
      <c r="T104" s="36">
        <v>3.18</v>
      </c>
      <c r="U104" s="21">
        <f t="shared" si="1"/>
        <v>3180</v>
      </c>
      <c r="V104" s="21">
        <f t="shared" si="3"/>
        <v>6400</v>
      </c>
    </row>
    <row r="105" ht="14.25" customHeight="1">
      <c r="A105" s="38">
        <v>0.3958333333333333</v>
      </c>
      <c r="B105" s="36">
        <v>115.0</v>
      </c>
      <c r="C105" s="36">
        <v>25.2</v>
      </c>
      <c r="D105" s="36">
        <v>1386.0</v>
      </c>
      <c r="E105" s="36">
        <v>1286.0</v>
      </c>
      <c r="F105" s="36">
        <v>0.93</v>
      </c>
      <c r="G105" s="36">
        <v>19.0</v>
      </c>
      <c r="H105" s="36">
        <v>1.45</v>
      </c>
      <c r="I105" s="36">
        <v>28.0</v>
      </c>
      <c r="J105" s="36">
        <v>82.3</v>
      </c>
      <c r="K105" s="36">
        <v>128.0</v>
      </c>
      <c r="L105" s="36">
        <v>36.7</v>
      </c>
      <c r="M105" s="36">
        <v>78.0</v>
      </c>
      <c r="N105" s="36">
        <v>51.0</v>
      </c>
      <c r="O105" s="36">
        <v>19.0</v>
      </c>
      <c r="P105" s="36">
        <v>57.0</v>
      </c>
      <c r="Q105" s="36">
        <v>0.36</v>
      </c>
      <c r="R105" s="36">
        <v>1.12</v>
      </c>
      <c r="S105" s="36">
        <v>1.98</v>
      </c>
      <c r="T105" s="36">
        <v>3.1</v>
      </c>
      <c r="U105" s="21">
        <f t="shared" si="1"/>
        <v>3100</v>
      </c>
      <c r="V105" s="21">
        <f t="shared" si="3"/>
        <v>532900</v>
      </c>
    </row>
    <row r="106" ht="14.25" customHeight="1">
      <c r="A106" s="38">
        <v>0.3972222222222222</v>
      </c>
      <c r="B106" s="36">
        <v>117.0</v>
      </c>
      <c r="C106" s="36">
        <v>29.6</v>
      </c>
      <c r="D106" s="36">
        <v>1629.0</v>
      </c>
      <c r="E106" s="36">
        <v>1533.0</v>
      </c>
      <c r="F106" s="36">
        <v>0.94</v>
      </c>
      <c r="G106" s="36">
        <v>25.0</v>
      </c>
      <c r="H106" s="36">
        <v>1.36</v>
      </c>
      <c r="I106" s="36">
        <v>34.5</v>
      </c>
      <c r="J106" s="36">
        <v>78.3</v>
      </c>
      <c r="K106" s="36">
        <v>131.0</v>
      </c>
      <c r="L106" s="36">
        <v>35.6</v>
      </c>
      <c r="M106" s="36">
        <v>80.0</v>
      </c>
      <c r="N106" s="36">
        <v>50.0</v>
      </c>
      <c r="O106" s="36">
        <v>25.0</v>
      </c>
      <c r="P106" s="36">
        <v>67.0</v>
      </c>
      <c r="Q106" s="36">
        <v>0.3</v>
      </c>
      <c r="R106" s="36">
        <v>0.72</v>
      </c>
      <c r="S106" s="36">
        <v>1.65</v>
      </c>
      <c r="T106" s="36">
        <v>2.37</v>
      </c>
      <c r="U106" s="21">
        <f t="shared" si="1"/>
        <v>2370</v>
      </c>
      <c r="V106" s="21">
        <f t="shared" si="3"/>
        <v>100</v>
      </c>
    </row>
    <row r="107" ht="14.25" customHeight="1">
      <c r="A107" s="38">
        <v>0.39861111111111114</v>
      </c>
      <c r="B107" s="36">
        <v>118.0</v>
      </c>
      <c r="C107" s="36">
        <v>24.0</v>
      </c>
      <c r="D107" s="36">
        <v>1321.0</v>
      </c>
      <c r="E107" s="36">
        <v>1255.0</v>
      </c>
      <c r="F107" s="36">
        <v>0.95</v>
      </c>
      <c r="G107" s="36">
        <v>25.0</v>
      </c>
      <c r="H107" s="36">
        <v>1.18</v>
      </c>
      <c r="I107" s="36">
        <v>29.9</v>
      </c>
      <c r="J107" s="36">
        <v>81.1</v>
      </c>
      <c r="K107" s="36">
        <v>131.0</v>
      </c>
      <c r="L107" s="36">
        <v>35.6</v>
      </c>
      <c r="M107" s="36">
        <v>84.0</v>
      </c>
      <c r="N107" s="36">
        <v>47.0</v>
      </c>
      <c r="O107" s="36">
        <v>25.0</v>
      </c>
      <c r="P107" s="36">
        <v>54.0</v>
      </c>
      <c r="Q107" s="36">
        <v>0.38</v>
      </c>
      <c r="R107" s="36">
        <v>0.89</v>
      </c>
      <c r="S107" s="36">
        <v>1.47</v>
      </c>
      <c r="T107" s="36">
        <v>2.36</v>
      </c>
      <c r="U107" s="21">
        <f t="shared" si="1"/>
        <v>2360</v>
      </c>
      <c r="V107" s="21">
        <f t="shared" si="3"/>
        <v>1600</v>
      </c>
    </row>
    <row r="108" ht="14.25" customHeight="1">
      <c r="A108" s="38">
        <v>0.40069444444444446</v>
      </c>
      <c r="B108" s="36">
        <v>119.0</v>
      </c>
      <c r="C108" s="36">
        <v>29.0</v>
      </c>
      <c r="D108" s="36">
        <v>1594.0</v>
      </c>
      <c r="E108" s="36">
        <v>1519.0</v>
      </c>
      <c r="F108" s="36">
        <v>0.95</v>
      </c>
      <c r="G108" s="36">
        <v>25.0</v>
      </c>
      <c r="H108" s="36">
        <v>1.37</v>
      </c>
      <c r="I108" s="36">
        <v>34.2</v>
      </c>
      <c r="J108" s="36">
        <v>78.5</v>
      </c>
      <c r="K108" s="36">
        <v>132.0</v>
      </c>
      <c r="L108" s="36">
        <v>35.2</v>
      </c>
      <c r="M108" s="36">
        <v>81.0</v>
      </c>
      <c r="N108" s="36">
        <v>50.0</v>
      </c>
      <c r="O108" s="36">
        <v>25.0</v>
      </c>
      <c r="P108" s="36">
        <v>65.0</v>
      </c>
      <c r="Q108" s="36">
        <v>0.3</v>
      </c>
      <c r="R108" s="36">
        <v>0.72</v>
      </c>
      <c r="S108" s="36">
        <v>1.67</v>
      </c>
      <c r="T108" s="36">
        <v>2.4</v>
      </c>
      <c r="U108" s="21">
        <f t="shared" si="1"/>
        <v>2400</v>
      </c>
      <c r="V108" s="21">
        <f t="shared" si="3"/>
        <v>160000</v>
      </c>
    </row>
    <row r="109" ht="14.25" customHeight="1">
      <c r="A109" s="38">
        <v>0.4027777777777778</v>
      </c>
      <c r="B109" s="36">
        <v>120.0</v>
      </c>
      <c r="C109" s="36">
        <v>30.6</v>
      </c>
      <c r="D109" s="36">
        <v>1684.0</v>
      </c>
      <c r="E109" s="36">
        <v>1595.0</v>
      </c>
      <c r="F109" s="36">
        <v>0.95</v>
      </c>
      <c r="G109" s="36">
        <v>21.0</v>
      </c>
      <c r="H109" s="36">
        <v>1.62</v>
      </c>
      <c r="I109" s="36">
        <v>34.7</v>
      </c>
      <c r="J109" s="36">
        <v>78.2</v>
      </c>
      <c r="K109" s="36">
        <v>132.0</v>
      </c>
      <c r="L109" s="36">
        <v>35.1</v>
      </c>
      <c r="M109" s="36">
        <v>78.0</v>
      </c>
      <c r="N109" s="36">
        <v>52.0</v>
      </c>
      <c r="O109" s="36">
        <v>21.0</v>
      </c>
      <c r="P109" s="36">
        <v>69.0</v>
      </c>
      <c r="Q109" s="36">
        <v>0.32</v>
      </c>
      <c r="R109" s="36">
        <v>0.91</v>
      </c>
      <c r="S109" s="36">
        <v>1.89</v>
      </c>
      <c r="T109" s="36">
        <v>2.8</v>
      </c>
      <c r="U109" s="21">
        <f t="shared" si="1"/>
        <v>2800</v>
      </c>
      <c r="V109" s="21">
        <f t="shared" si="3"/>
        <v>0</v>
      </c>
    </row>
    <row r="110" ht="14.25" customHeight="1">
      <c r="A110" s="38">
        <v>0.4041666666666667</v>
      </c>
      <c r="B110" s="36">
        <v>121.0</v>
      </c>
      <c r="C110" s="36">
        <v>30.6</v>
      </c>
      <c r="D110" s="36">
        <v>1682.0</v>
      </c>
      <c r="E110" s="36">
        <v>1594.0</v>
      </c>
      <c r="F110" s="36">
        <v>0.95</v>
      </c>
      <c r="G110" s="36">
        <v>21.0</v>
      </c>
      <c r="H110" s="36">
        <v>1.62</v>
      </c>
      <c r="I110" s="36">
        <v>34.7</v>
      </c>
      <c r="J110" s="36">
        <v>78.2</v>
      </c>
      <c r="K110" s="36">
        <v>133.0</v>
      </c>
      <c r="L110" s="36">
        <v>34.6</v>
      </c>
      <c r="M110" s="36">
        <v>78.0</v>
      </c>
      <c r="N110" s="36">
        <v>52.0</v>
      </c>
      <c r="O110" s="36">
        <v>21.0</v>
      </c>
      <c r="P110" s="36">
        <v>69.0</v>
      </c>
      <c r="Q110" s="36">
        <v>0.32</v>
      </c>
      <c r="R110" s="36">
        <v>0.91</v>
      </c>
      <c r="S110" s="36">
        <v>1.89</v>
      </c>
      <c r="T110" s="36">
        <v>2.8</v>
      </c>
      <c r="U110" s="21">
        <f t="shared" si="1"/>
        <v>2800</v>
      </c>
      <c r="V110" s="21">
        <f t="shared" si="3"/>
        <v>52900</v>
      </c>
    </row>
    <row r="111" ht="14.25" customHeight="1">
      <c r="A111" s="38">
        <v>0.40625</v>
      </c>
      <c r="B111" s="36">
        <v>122.0</v>
      </c>
      <c r="C111" s="36">
        <v>25.4</v>
      </c>
      <c r="D111" s="36">
        <v>1396.0</v>
      </c>
      <c r="E111" s="36">
        <v>1336.0</v>
      </c>
      <c r="F111" s="36">
        <v>0.96</v>
      </c>
      <c r="G111" s="36">
        <v>23.0</v>
      </c>
      <c r="H111" s="36">
        <v>1.3</v>
      </c>
      <c r="I111" s="36">
        <v>30.4</v>
      </c>
      <c r="J111" s="36">
        <v>80.9</v>
      </c>
      <c r="K111" s="36">
        <v>133.0</v>
      </c>
      <c r="L111" s="36">
        <v>34.3</v>
      </c>
      <c r="M111" s="36">
        <v>81.0</v>
      </c>
      <c r="N111" s="36">
        <v>50.0</v>
      </c>
      <c r="O111" s="36">
        <v>23.0</v>
      </c>
      <c r="P111" s="36">
        <v>57.0</v>
      </c>
      <c r="Q111" s="36">
        <v>0.32</v>
      </c>
      <c r="R111" s="36">
        <v>0.83</v>
      </c>
      <c r="S111" s="36">
        <v>1.74</v>
      </c>
      <c r="T111" s="36">
        <v>2.57</v>
      </c>
      <c r="U111" s="21">
        <f t="shared" si="1"/>
        <v>2570</v>
      </c>
      <c r="V111" s="21">
        <f t="shared" si="3"/>
        <v>3600</v>
      </c>
    </row>
    <row r="112" ht="14.25" customHeight="1">
      <c r="A112" s="38">
        <v>0.4076388888888889</v>
      </c>
      <c r="B112" s="36">
        <v>123.0</v>
      </c>
      <c r="C112" s="36">
        <v>27.8</v>
      </c>
      <c r="D112" s="36">
        <v>1532.0</v>
      </c>
      <c r="E112" s="36">
        <v>1476.0</v>
      </c>
      <c r="F112" s="36">
        <v>0.96</v>
      </c>
      <c r="G112" s="36">
        <v>24.0</v>
      </c>
      <c r="H112" s="36">
        <v>1.4</v>
      </c>
      <c r="I112" s="36">
        <v>33.5</v>
      </c>
      <c r="J112" s="36">
        <v>78.9</v>
      </c>
      <c r="K112" s="36">
        <v>135.0</v>
      </c>
      <c r="L112" s="36">
        <v>33.4</v>
      </c>
      <c r="M112" s="36">
        <v>81.0</v>
      </c>
      <c r="N112" s="36">
        <v>50.0</v>
      </c>
      <c r="O112" s="36">
        <v>24.0</v>
      </c>
      <c r="P112" s="36">
        <v>63.0</v>
      </c>
      <c r="Q112" s="36">
        <v>0.3</v>
      </c>
      <c r="R112" s="36">
        <v>0.75</v>
      </c>
      <c r="S112" s="36">
        <v>1.76</v>
      </c>
      <c r="T112" s="36">
        <v>2.51</v>
      </c>
      <c r="U112" s="21">
        <f t="shared" si="1"/>
        <v>2510</v>
      </c>
      <c r="V112" s="21">
        <f t="shared" si="3"/>
        <v>32400</v>
      </c>
    </row>
    <row r="113" ht="14.25" customHeight="1">
      <c r="A113" s="38">
        <v>0.41041666666666665</v>
      </c>
      <c r="B113" s="36">
        <v>124.0</v>
      </c>
      <c r="C113" s="36">
        <v>22.6</v>
      </c>
      <c r="D113" s="36">
        <v>1244.0</v>
      </c>
      <c r="E113" s="36">
        <v>1198.0</v>
      </c>
      <c r="F113" s="36">
        <v>0.96</v>
      </c>
      <c r="G113" s="36">
        <v>22.0</v>
      </c>
      <c r="H113" s="36">
        <v>1.27</v>
      </c>
      <c r="I113" s="36">
        <v>28.4</v>
      </c>
      <c r="J113" s="36">
        <v>82.1</v>
      </c>
      <c r="K113" s="36">
        <v>135.0</v>
      </c>
      <c r="L113" s="36">
        <v>33.4</v>
      </c>
      <c r="M113" s="36">
        <v>83.0</v>
      </c>
      <c r="N113" s="36">
        <v>48.0</v>
      </c>
      <c r="O113" s="36">
        <v>22.0</v>
      </c>
      <c r="P113" s="36">
        <v>51.0</v>
      </c>
      <c r="Q113" s="36">
        <v>0.34</v>
      </c>
      <c r="R113" s="36">
        <v>0.9</v>
      </c>
      <c r="S113" s="36">
        <v>1.78</v>
      </c>
      <c r="T113" s="36">
        <v>2.69</v>
      </c>
      <c r="U113" s="21">
        <f t="shared" si="1"/>
        <v>2690</v>
      </c>
      <c r="V113" s="21">
        <f t="shared" si="3"/>
        <v>400</v>
      </c>
    </row>
    <row r="114" ht="14.25" customHeight="1">
      <c r="A114" s="38">
        <v>0.41180555555555554</v>
      </c>
      <c r="B114" s="36">
        <v>125.0</v>
      </c>
      <c r="C114" s="36">
        <v>29.4</v>
      </c>
      <c r="D114" s="36">
        <v>1619.0</v>
      </c>
      <c r="E114" s="36">
        <v>1555.0</v>
      </c>
      <c r="F114" s="36">
        <v>0.96</v>
      </c>
      <c r="G114" s="36">
        <v>22.0</v>
      </c>
      <c r="H114" s="36">
        <v>1.52</v>
      </c>
      <c r="I114" s="36">
        <v>34.2</v>
      </c>
      <c r="J114" s="36">
        <v>78.5</v>
      </c>
      <c r="K114" s="36">
        <v>136.0</v>
      </c>
      <c r="L114" s="36">
        <v>33.2</v>
      </c>
      <c r="M114" s="36">
        <v>79.0</v>
      </c>
      <c r="N114" s="36">
        <v>51.0</v>
      </c>
      <c r="O114" s="36">
        <v>22.0</v>
      </c>
      <c r="P114" s="36">
        <v>66.0</v>
      </c>
      <c r="Q114" s="36">
        <v>0.27</v>
      </c>
      <c r="R114" s="36">
        <v>0.72</v>
      </c>
      <c r="S114" s="36">
        <v>1.95</v>
      </c>
      <c r="T114" s="36">
        <v>2.67</v>
      </c>
      <c r="U114" s="21">
        <f t="shared" si="1"/>
        <v>2670</v>
      </c>
      <c r="V114" s="21">
        <f t="shared" si="3"/>
        <v>62500</v>
      </c>
    </row>
    <row r="115" ht="14.25" customHeight="1">
      <c r="A115" s="38">
        <v>0.41388888888888886</v>
      </c>
      <c r="B115" s="36">
        <v>127.0</v>
      </c>
      <c r="C115" s="36">
        <v>29.6</v>
      </c>
      <c r="D115" s="36">
        <v>1628.0</v>
      </c>
      <c r="E115" s="36">
        <v>1545.0</v>
      </c>
      <c r="F115" s="36">
        <v>0.95</v>
      </c>
      <c r="G115" s="36">
        <v>21.0</v>
      </c>
      <c r="H115" s="36">
        <v>1.65</v>
      </c>
      <c r="I115" s="36">
        <v>34.0</v>
      </c>
      <c r="J115" s="36">
        <v>78.6</v>
      </c>
      <c r="K115" s="36">
        <v>136.0</v>
      </c>
      <c r="L115" s="36">
        <v>33.0</v>
      </c>
      <c r="M115" s="36">
        <v>78.0</v>
      </c>
      <c r="N115" s="36">
        <v>52.0</v>
      </c>
      <c r="O115" s="36">
        <v>21.0</v>
      </c>
      <c r="P115" s="36">
        <v>67.0</v>
      </c>
      <c r="Q115" s="36">
        <v>0.29</v>
      </c>
      <c r="R115" s="36">
        <v>0.86</v>
      </c>
      <c r="S115" s="36">
        <v>2.06</v>
      </c>
      <c r="T115" s="36">
        <v>2.92</v>
      </c>
      <c r="U115" s="21">
        <f t="shared" si="1"/>
        <v>2920</v>
      </c>
      <c r="V115" s="21">
        <f t="shared" si="3"/>
        <v>36100</v>
      </c>
    </row>
    <row r="116" ht="14.25" customHeight="1">
      <c r="A116" s="38">
        <v>0.4152777777777778</v>
      </c>
      <c r="B116" s="36">
        <v>127.0</v>
      </c>
      <c r="C116" s="36">
        <v>25.8</v>
      </c>
      <c r="D116" s="36">
        <v>1419.0</v>
      </c>
      <c r="E116" s="36">
        <v>1350.0</v>
      </c>
      <c r="F116" s="36">
        <v>0.95</v>
      </c>
      <c r="G116" s="36">
        <v>22.0</v>
      </c>
      <c r="H116" s="36">
        <v>1.42</v>
      </c>
      <c r="I116" s="36">
        <v>31.1</v>
      </c>
      <c r="J116" s="36">
        <v>80.4</v>
      </c>
      <c r="K116" s="36">
        <v>136.0</v>
      </c>
      <c r="L116" s="36">
        <v>33.0</v>
      </c>
      <c r="M116" s="36">
        <v>81.0</v>
      </c>
      <c r="N116" s="36">
        <v>50.0</v>
      </c>
      <c r="O116" s="36">
        <v>22.0</v>
      </c>
      <c r="P116" s="36">
        <v>58.0</v>
      </c>
      <c r="Q116" s="36">
        <v>0.31</v>
      </c>
      <c r="R116" s="36">
        <v>0.86</v>
      </c>
      <c r="S116" s="36">
        <v>1.87</v>
      </c>
      <c r="T116" s="36">
        <v>2.73</v>
      </c>
      <c r="U116" s="21">
        <f t="shared" si="1"/>
        <v>2730</v>
      </c>
      <c r="V116" s="21">
        <f t="shared" si="3"/>
        <v>16900</v>
      </c>
    </row>
    <row r="117" ht="14.25" customHeight="1">
      <c r="A117" s="38">
        <v>0.4166666666666667</v>
      </c>
      <c r="B117" s="36">
        <v>128.0</v>
      </c>
      <c r="C117" s="36">
        <v>21.1</v>
      </c>
      <c r="D117" s="36">
        <v>1158.0</v>
      </c>
      <c r="E117" s="36">
        <v>1092.0</v>
      </c>
      <c r="F117" s="36">
        <v>0.94</v>
      </c>
      <c r="G117" s="36">
        <v>23.0</v>
      </c>
      <c r="H117" s="36">
        <v>1.17</v>
      </c>
      <c r="I117" s="36">
        <v>26.9</v>
      </c>
      <c r="J117" s="36">
        <v>83.0</v>
      </c>
      <c r="K117" s="36">
        <v>136.0</v>
      </c>
      <c r="L117" s="36">
        <v>33.0</v>
      </c>
      <c r="M117" s="36">
        <v>82.0</v>
      </c>
      <c r="N117" s="36">
        <v>49.0</v>
      </c>
      <c r="O117" s="36">
        <v>23.0</v>
      </c>
      <c r="P117" s="36">
        <v>47.0</v>
      </c>
      <c r="Q117" s="36">
        <v>0.28</v>
      </c>
      <c r="R117" s="36">
        <v>0.72</v>
      </c>
      <c r="S117" s="36">
        <v>1.88</v>
      </c>
      <c r="T117" s="36">
        <v>2.6</v>
      </c>
      <c r="U117" s="21">
        <f t="shared" si="1"/>
        <v>2600</v>
      </c>
      <c r="V117" s="8">
        <v>0.0</v>
      </c>
    </row>
    <row r="118" ht="14.25" customHeight="1">
      <c r="A118" s="36" t="s">
        <v>81</v>
      </c>
      <c r="U118" s="21">
        <f t="shared" si="1"/>
        <v>0</v>
      </c>
      <c r="V118" s="8">
        <v>0.0</v>
      </c>
    </row>
    <row r="119" ht="14.25" customHeight="1">
      <c r="A119" s="38">
        <v>0.41805555555555557</v>
      </c>
      <c r="B119" s="36">
        <v>129.0</v>
      </c>
      <c r="C119" s="36">
        <v>30.9</v>
      </c>
      <c r="D119" s="36">
        <v>1697.0</v>
      </c>
      <c r="E119" s="36">
        <v>1599.0</v>
      </c>
      <c r="F119" s="36">
        <v>0.94</v>
      </c>
      <c r="G119" s="36">
        <v>25.0</v>
      </c>
      <c r="H119" s="36">
        <v>1.39</v>
      </c>
      <c r="I119" s="36">
        <v>35.2</v>
      </c>
      <c r="J119" s="36">
        <v>77.8</v>
      </c>
      <c r="K119" s="36">
        <v>136.0</v>
      </c>
      <c r="L119" s="36">
        <v>33.2</v>
      </c>
      <c r="M119" s="36">
        <v>78.0</v>
      </c>
      <c r="N119" s="36">
        <v>52.0</v>
      </c>
      <c r="O119" s="36">
        <v>25.0</v>
      </c>
      <c r="P119" s="36">
        <v>69.0</v>
      </c>
      <c r="Q119" s="36">
        <v>0.22</v>
      </c>
      <c r="R119" s="36">
        <v>0.51</v>
      </c>
      <c r="S119" s="36">
        <v>1.85</v>
      </c>
      <c r="T119" s="36">
        <v>2.37</v>
      </c>
      <c r="U119" s="21">
        <f t="shared" si="1"/>
        <v>2370</v>
      </c>
      <c r="V119" s="21">
        <f t="shared" ref="V119:V123" si="4">(U119-U120)^2</f>
        <v>3600</v>
      </c>
      <c r="W119" s="21">
        <f>SQRT(AVERAGE(V119:V278))</f>
        <v>140.2996793</v>
      </c>
    </row>
    <row r="120" ht="14.25" customHeight="1">
      <c r="A120" s="38">
        <v>0.41944444444444445</v>
      </c>
      <c r="B120" s="36">
        <v>130.0</v>
      </c>
      <c r="C120" s="36">
        <v>28.9</v>
      </c>
      <c r="D120" s="36">
        <v>1591.0</v>
      </c>
      <c r="E120" s="36">
        <v>1493.0</v>
      </c>
      <c r="F120" s="36">
        <v>0.94</v>
      </c>
      <c r="G120" s="36">
        <v>25.0</v>
      </c>
      <c r="H120" s="36">
        <v>1.37</v>
      </c>
      <c r="I120" s="36">
        <v>33.8</v>
      </c>
      <c r="J120" s="36">
        <v>78.7</v>
      </c>
      <c r="K120" s="36">
        <v>135.0</v>
      </c>
      <c r="L120" s="36">
        <v>33.3</v>
      </c>
      <c r="M120" s="36">
        <v>79.0</v>
      </c>
      <c r="N120" s="36">
        <v>51.0</v>
      </c>
      <c r="O120" s="36">
        <v>25.0</v>
      </c>
      <c r="P120" s="36">
        <v>65.0</v>
      </c>
      <c r="Q120" s="36">
        <v>0.29</v>
      </c>
      <c r="R120" s="36">
        <v>0.7</v>
      </c>
      <c r="S120" s="36">
        <v>1.73</v>
      </c>
      <c r="T120" s="36">
        <v>2.43</v>
      </c>
      <c r="U120" s="21">
        <f t="shared" si="1"/>
        <v>2430</v>
      </c>
      <c r="V120" s="21">
        <f t="shared" si="4"/>
        <v>40000</v>
      </c>
    </row>
    <row r="121" ht="14.25" customHeight="1">
      <c r="A121" s="38">
        <v>0.4215277777777778</v>
      </c>
      <c r="B121" s="36">
        <v>131.0</v>
      </c>
      <c r="C121" s="36">
        <v>34.7</v>
      </c>
      <c r="D121" s="36">
        <v>1910.0</v>
      </c>
      <c r="E121" s="36">
        <v>1822.0</v>
      </c>
      <c r="F121" s="36">
        <v>0.95</v>
      </c>
      <c r="G121" s="36">
        <v>23.0</v>
      </c>
      <c r="H121" s="36">
        <v>1.74</v>
      </c>
      <c r="I121" s="36">
        <v>39.6</v>
      </c>
      <c r="J121" s="36">
        <v>75.1</v>
      </c>
      <c r="K121" s="36">
        <v>135.0</v>
      </c>
      <c r="L121" s="36">
        <v>33.6</v>
      </c>
      <c r="M121" s="36">
        <v>77.0</v>
      </c>
      <c r="N121" s="36">
        <v>53.0</v>
      </c>
      <c r="O121" s="36">
        <v>23.0</v>
      </c>
      <c r="P121" s="36">
        <v>78.0</v>
      </c>
      <c r="Q121" s="36">
        <v>0.29</v>
      </c>
      <c r="R121" s="36">
        <v>0.76</v>
      </c>
      <c r="S121" s="36">
        <v>1.87</v>
      </c>
      <c r="T121" s="36">
        <v>2.63</v>
      </c>
      <c r="U121" s="21">
        <f t="shared" si="1"/>
        <v>2630</v>
      </c>
      <c r="V121" s="21">
        <f t="shared" si="4"/>
        <v>3600</v>
      </c>
    </row>
    <row r="122" ht="14.25" customHeight="1">
      <c r="A122" s="38">
        <v>0.42291666666666666</v>
      </c>
      <c r="B122" s="36">
        <v>132.0</v>
      </c>
      <c r="C122" s="36">
        <v>28.4</v>
      </c>
      <c r="D122" s="36">
        <v>1562.0</v>
      </c>
      <c r="E122" s="36">
        <v>1501.0</v>
      </c>
      <c r="F122" s="36">
        <v>0.96</v>
      </c>
      <c r="G122" s="36">
        <v>23.0</v>
      </c>
      <c r="H122" s="36">
        <v>1.49</v>
      </c>
      <c r="I122" s="36">
        <v>34.8</v>
      </c>
      <c r="J122" s="36">
        <v>78.1</v>
      </c>
      <c r="K122" s="36">
        <v>134.0</v>
      </c>
      <c r="L122" s="36">
        <v>33.9</v>
      </c>
      <c r="M122" s="36">
        <v>82.0</v>
      </c>
      <c r="N122" s="36">
        <v>50.0</v>
      </c>
      <c r="O122" s="36">
        <v>23.0</v>
      </c>
      <c r="P122" s="36">
        <v>64.0</v>
      </c>
      <c r="Q122" s="36">
        <v>0.33</v>
      </c>
      <c r="R122" s="36">
        <v>0.85</v>
      </c>
      <c r="S122" s="36">
        <v>1.72</v>
      </c>
      <c r="T122" s="36">
        <v>2.57</v>
      </c>
      <c r="U122" s="21">
        <f t="shared" si="1"/>
        <v>2570</v>
      </c>
      <c r="V122" s="21">
        <f t="shared" si="4"/>
        <v>168100</v>
      </c>
    </row>
    <row r="123" ht="14.25" customHeight="1">
      <c r="A123" s="38">
        <v>0.42430555555555555</v>
      </c>
      <c r="B123" s="36">
        <v>133.0</v>
      </c>
      <c r="C123" s="36">
        <v>32.0</v>
      </c>
      <c r="D123" s="36">
        <v>1760.0</v>
      </c>
      <c r="E123" s="36">
        <v>1744.0</v>
      </c>
      <c r="F123" s="36">
        <v>0.99</v>
      </c>
      <c r="G123" s="36">
        <v>28.0</v>
      </c>
      <c r="H123" s="36">
        <v>1.46</v>
      </c>
      <c r="I123" s="36">
        <v>40.4</v>
      </c>
      <c r="J123" s="36">
        <v>74.5</v>
      </c>
      <c r="K123" s="36">
        <v>135.0</v>
      </c>
      <c r="L123" s="36">
        <v>33.3</v>
      </c>
      <c r="M123" s="36">
        <v>83.0</v>
      </c>
      <c r="N123" s="36">
        <v>49.0</v>
      </c>
      <c r="O123" s="36">
        <v>28.0</v>
      </c>
      <c r="P123" s="36">
        <v>72.0</v>
      </c>
      <c r="Q123" s="36">
        <v>0.32</v>
      </c>
      <c r="R123" s="36">
        <v>0.7</v>
      </c>
      <c r="S123" s="36">
        <v>1.47</v>
      </c>
      <c r="T123" s="36">
        <v>2.16</v>
      </c>
      <c r="U123" s="21">
        <f t="shared" si="1"/>
        <v>2160</v>
      </c>
      <c r="V123" s="21">
        <f t="shared" si="4"/>
        <v>90000</v>
      </c>
    </row>
    <row r="124" ht="14.25" customHeight="1">
      <c r="A124" s="38">
        <v>0.4263888888888889</v>
      </c>
      <c r="B124" s="36">
        <v>134.0</v>
      </c>
      <c r="C124" s="36">
        <v>34.9</v>
      </c>
      <c r="D124" s="36">
        <v>1921.0</v>
      </c>
      <c r="E124" s="36">
        <v>1930.0</v>
      </c>
      <c r="F124" s="36">
        <v>1.0</v>
      </c>
      <c r="G124" s="36">
        <v>24.0</v>
      </c>
      <c r="H124" s="36">
        <v>1.79</v>
      </c>
      <c r="I124" s="36">
        <v>43.7</v>
      </c>
      <c r="J124" s="36">
        <v>72.5</v>
      </c>
      <c r="K124" s="36">
        <v>135.0</v>
      </c>
      <c r="L124" s="36">
        <v>33.3</v>
      </c>
      <c r="M124" s="36">
        <v>80.0</v>
      </c>
      <c r="N124" s="36">
        <v>51.0</v>
      </c>
      <c r="O124" s="36">
        <v>24.0</v>
      </c>
      <c r="P124" s="36">
        <v>79.0</v>
      </c>
      <c r="Q124" s="36">
        <v>0.29</v>
      </c>
      <c r="R124" s="36">
        <v>0.72</v>
      </c>
      <c r="S124" s="36">
        <v>1.74</v>
      </c>
      <c r="T124" s="36">
        <v>2.46</v>
      </c>
      <c r="U124" s="21">
        <f t="shared" si="1"/>
        <v>2460</v>
      </c>
      <c r="V124" s="8">
        <v>0.0</v>
      </c>
    </row>
    <row r="125" ht="14.25" customHeight="1">
      <c r="A125" s="36" t="s">
        <v>82</v>
      </c>
      <c r="U125" s="21">
        <f t="shared" si="1"/>
        <v>0</v>
      </c>
      <c r="V125" s="8">
        <v>0.0</v>
      </c>
    </row>
    <row r="126" ht="14.25" customHeight="1">
      <c r="A126" s="38">
        <v>0.42777777777777776</v>
      </c>
      <c r="B126" s="36">
        <v>135.0</v>
      </c>
      <c r="C126" s="36">
        <v>38.7</v>
      </c>
      <c r="D126" s="36">
        <v>2131.0</v>
      </c>
      <c r="E126" s="36">
        <v>2176.0</v>
      </c>
      <c r="F126" s="36">
        <v>1.02</v>
      </c>
      <c r="G126" s="36">
        <v>24.0</v>
      </c>
      <c r="H126" s="36">
        <v>2.02</v>
      </c>
      <c r="I126" s="36">
        <v>47.9</v>
      </c>
      <c r="J126" s="36">
        <v>69.8</v>
      </c>
      <c r="K126" s="36">
        <v>138.0</v>
      </c>
      <c r="L126" s="36">
        <v>32.2</v>
      </c>
      <c r="M126" s="36">
        <v>81.0</v>
      </c>
      <c r="N126" s="36">
        <v>52.0</v>
      </c>
      <c r="O126" s="36">
        <v>24.0</v>
      </c>
      <c r="P126" s="36">
        <v>87.0</v>
      </c>
      <c r="Q126" s="36">
        <v>0.32</v>
      </c>
      <c r="R126" s="36">
        <v>0.82</v>
      </c>
      <c r="S126" s="36">
        <v>1.71</v>
      </c>
      <c r="T126" s="36">
        <v>2.53</v>
      </c>
      <c r="U126" s="21">
        <f t="shared" si="1"/>
        <v>2530</v>
      </c>
      <c r="V126" s="21">
        <f t="shared" ref="V126:V142" si="5">(U126-U127)^2</f>
        <v>12100</v>
      </c>
    </row>
    <row r="127" ht="14.25" customHeight="1">
      <c r="A127" s="38">
        <v>0.42916666666666664</v>
      </c>
      <c r="B127" s="36">
        <v>136.0</v>
      </c>
      <c r="C127" s="36">
        <v>36.3</v>
      </c>
      <c r="D127" s="36">
        <v>1995.0</v>
      </c>
      <c r="E127" s="36">
        <v>2062.0</v>
      </c>
      <c r="F127" s="36">
        <v>1.03</v>
      </c>
      <c r="G127" s="36">
        <v>23.0</v>
      </c>
      <c r="H127" s="36">
        <v>2.04</v>
      </c>
      <c r="I127" s="36">
        <v>46.3</v>
      </c>
      <c r="J127" s="36">
        <v>70.8</v>
      </c>
      <c r="K127" s="36">
        <v>140.0</v>
      </c>
      <c r="L127" s="36">
        <v>31.3</v>
      </c>
      <c r="M127" s="36">
        <v>82.0</v>
      </c>
      <c r="N127" s="36">
        <v>51.0</v>
      </c>
      <c r="O127" s="36">
        <v>23.0</v>
      </c>
      <c r="P127" s="36">
        <v>82.0</v>
      </c>
      <c r="Q127" s="36">
        <v>0.35</v>
      </c>
      <c r="R127" s="36">
        <v>0.93</v>
      </c>
      <c r="S127" s="36">
        <v>1.72</v>
      </c>
      <c r="T127" s="36">
        <v>2.64</v>
      </c>
      <c r="U127" s="21">
        <f t="shared" si="1"/>
        <v>2640</v>
      </c>
      <c r="V127" s="21">
        <f t="shared" si="5"/>
        <v>25600</v>
      </c>
    </row>
    <row r="128" ht="14.25" customHeight="1">
      <c r="A128" s="38">
        <v>0.4305555555555556</v>
      </c>
      <c r="B128" s="36">
        <v>136.0</v>
      </c>
      <c r="C128" s="36">
        <v>33.9</v>
      </c>
      <c r="D128" s="36">
        <v>1862.0</v>
      </c>
      <c r="E128" s="36">
        <v>1981.0</v>
      </c>
      <c r="F128" s="36">
        <v>1.06</v>
      </c>
      <c r="G128" s="36">
        <v>24.0</v>
      </c>
      <c r="H128" s="36">
        <v>1.91</v>
      </c>
      <c r="I128" s="36">
        <v>46.2</v>
      </c>
      <c r="J128" s="36">
        <v>70.9</v>
      </c>
      <c r="K128" s="36">
        <v>141.0</v>
      </c>
      <c r="L128" s="36">
        <v>30.5</v>
      </c>
      <c r="M128" s="36">
        <v>86.0</v>
      </c>
      <c r="N128" s="36">
        <v>49.0</v>
      </c>
      <c r="O128" s="36">
        <v>24.0</v>
      </c>
      <c r="P128" s="36">
        <v>76.0</v>
      </c>
      <c r="Q128" s="36">
        <v>0.35</v>
      </c>
      <c r="R128" s="36">
        <v>0.87</v>
      </c>
      <c r="S128" s="36">
        <v>1.61</v>
      </c>
      <c r="T128" s="36">
        <v>2.48</v>
      </c>
      <c r="U128" s="21">
        <f t="shared" si="1"/>
        <v>2480</v>
      </c>
      <c r="V128" s="21">
        <f t="shared" si="5"/>
        <v>72900</v>
      </c>
    </row>
    <row r="129" ht="14.25" customHeight="1">
      <c r="A129" s="38">
        <v>0.43194444444444446</v>
      </c>
      <c r="B129" s="36">
        <v>137.0</v>
      </c>
      <c r="C129" s="36">
        <v>36.0</v>
      </c>
      <c r="D129" s="36">
        <v>1982.0</v>
      </c>
      <c r="E129" s="36">
        <v>2140.0</v>
      </c>
      <c r="F129" s="36">
        <v>1.08</v>
      </c>
      <c r="G129" s="36">
        <v>27.0</v>
      </c>
      <c r="H129" s="36">
        <v>1.83</v>
      </c>
      <c r="I129" s="36">
        <v>49.8</v>
      </c>
      <c r="J129" s="36">
        <v>68.6</v>
      </c>
      <c r="K129" s="36">
        <v>143.0</v>
      </c>
      <c r="L129" s="36">
        <v>29.5</v>
      </c>
      <c r="M129" s="36">
        <v>86.0</v>
      </c>
      <c r="N129" s="36">
        <v>49.0</v>
      </c>
      <c r="O129" s="36">
        <v>27.0</v>
      </c>
      <c r="P129" s="36">
        <v>81.0</v>
      </c>
      <c r="Q129" s="36">
        <v>0.3</v>
      </c>
      <c r="R129" s="36">
        <v>0.65</v>
      </c>
      <c r="S129" s="36">
        <v>1.55</v>
      </c>
      <c r="T129" s="36">
        <v>2.21</v>
      </c>
      <c r="U129" s="21">
        <f t="shared" si="1"/>
        <v>2210</v>
      </c>
      <c r="V129" s="21">
        <f t="shared" si="5"/>
        <v>0</v>
      </c>
    </row>
    <row r="130" ht="14.25" customHeight="1">
      <c r="A130" s="38">
        <v>0.4326388888888889</v>
      </c>
      <c r="B130" s="36">
        <v>138.0</v>
      </c>
      <c r="C130" s="36">
        <v>36.0</v>
      </c>
      <c r="D130" s="36">
        <v>1982.0</v>
      </c>
      <c r="E130" s="36">
        <v>2140.0</v>
      </c>
      <c r="F130" s="36">
        <v>1.08</v>
      </c>
      <c r="G130" s="36">
        <v>27.0</v>
      </c>
      <c r="H130" s="36">
        <v>1.83</v>
      </c>
      <c r="I130" s="36">
        <v>49.8</v>
      </c>
      <c r="J130" s="36">
        <v>68.6</v>
      </c>
      <c r="K130" s="36">
        <v>145.0</v>
      </c>
      <c r="L130" s="36">
        <v>28.8</v>
      </c>
      <c r="M130" s="36">
        <v>86.0</v>
      </c>
      <c r="N130" s="36">
        <v>49.0</v>
      </c>
      <c r="O130" s="36">
        <v>27.0</v>
      </c>
      <c r="P130" s="36">
        <v>81.0</v>
      </c>
      <c r="Q130" s="36">
        <v>0.3</v>
      </c>
      <c r="R130" s="36">
        <v>0.65</v>
      </c>
      <c r="S130" s="36">
        <v>1.55</v>
      </c>
      <c r="T130" s="36">
        <v>2.21</v>
      </c>
      <c r="U130" s="21">
        <f t="shared" si="1"/>
        <v>2210</v>
      </c>
      <c r="V130" s="21">
        <f t="shared" si="5"/>
        <v>900</v>
      </c>
    </row>
    <row r="131" ht="14.25" customHeight="1">
      <c r="A131" s="38">
        <v>0.4340277777777778</v>
      </c>
      <c r="B131" s="36">
        <v>138.0</v>
      </c>
      <c r="C131" s="36">
        <v>35.1</v>
      </c>
      <c r="D131" s="36">
        <v>1932.0</v>
      </c>
      <c r="E131" s="36">
        <v>2136.0</v>
      </c>
      <c r="F131" s="36">
        <v>1.11</v>
      </c>
      <c r="G131" s="36">
        <v>28.0</v>
      </c>
      <c r="H131" s="36">
        <v>1.85</v>
      </c>
      <c r="I131" s="36">
        <v>50.8</v>
      </c>
      <c r="J131" s="36">
        <v>68.0</v>
      </c>
      <c r="K131" s="36">
        <v>146.0</v>
      </c>
      <c r="L131" s="36">
        <v>28.1</v>
      </c>
      <c r="M131" s="36">
        <v>88.0</v>
      </c>
      <c r="N131" s="36">
        <v>48.0</v>
      </c>
      <c r="O131" s="36">
        <v>28.0</v>
      </c>
      <c r="P131" s="36">
        <v>79.0</v>
      </c>
      <c r="Q131" s="36">
        <v>0.32</v>
      </c>
      <c r="R131" s="36">
        <v>0.69</v>
      </c>
      <c r="S131" s="36">
        <v>1.49</v>
      </c>
      <c r="T131" s="36">
        <v>2.18</v>
      </c>
      <c r="U131" s="21">
        <f t="shared" si="1"/>
        <v>2180</v>
      </c>
      <c r="V131" s="21">
        <f t="shared" si="5"/>
        <v>22500</v>
      </c>
    </row>
    <row r="132" ht="14.25" customHeight="1">
      <c r="A132" s="38">
        <v>0.4354166666666667</v>
      </c>
      <c r="B132" s="36">
        <v>140.0</v>
      </c>
      <c r="C132" s="36">
        <v>35.8</v>
      </c>
      <c r="D132" s="36">
        <v>1971.0</v>
      </c>
      <c r="E132" s="36">
        <v>2229.0</v>
      </c>
      <c r="F132" s="36">
        <v>1.13</v>
      </c>
      <c r="G132" s="36">
        <v>30.0</v>
      </c>
      <c r="H132" s="36">
        <v>1.8</v>
      </c>
      <c r="I132" s="36">
        <v>53.3</v>
      </c>
      <c r="J132" s="36">
        <v>66.4</v>
      </c>
      <c r="K132" s="36">
        <v>147.0</v>
      </c>
      <c r="L132" s="36">
        <v>27.8</v>
      </c>
      <c r="M132" s="36">
        <v>89.0</v>
      </c>
      <c r="N132" s="36">
        <v>48.0</v>
      </c>
      <c r="O132" s="36">
        <v>30.0</v>
      </c>
      <c r="P132" s="36">
        <v>81.0</v>
      </c>
      <c r="Q132" s="36">
        <v>0.33</v>
      </c>
      <c r="R132" s="36">
        <v>0.68</v>
      </c>
      <c r="S132" s="36">
        <v>1.35</v>
      </c>
      <c r="T132" s="36">
        <v>2.03</v>
      </c>
      <c r="U132" s="21">
        <f t="shared" si="1"/>
        <v>2030</v>
      </c>
      <c r="V132" s="21">
        <f t="shared" si="5"/>
        <v>400</v>
      </c>
    </row>
    <row r="133" ht="14.25" customHeight="1">
      <c r="A133" s="38">
        <v>0.4375</v>
      </c>
      <c r="B133" s="36">
        <v>140.0</v>
      </c>
      <c r="C133" s="36">
        <v>35.0</v>
      </c>
      <c r="D133" s="36">
        <v>1926.0</v>
      </c>
      <c r="E133" s="36">
        <v>2206.0</v>
      </c>
      <c r="F133" s="36">
        <v>1.15</v>
      </c>
      <c r="G133" s="36">
        <v>29.0</v>
      </c>
      <c r="H133" s="36">
        <v>1.8</v>
      </c>
      <c r="I133" s="36">
        <v>52.7</v>
      </c>
      <c r="J133" s="36">
        <v>66.8</v>
      </c>
      <c r="K133" s="36">
        <v>148.0</v>
      </c>
      <c r="L133" s="36">
        <v>27.2</v>
      </c>
      <c r="M133" s="36">
        <v>89.0</v>
      </c>
      <c r="N133" s="36">
        <v>48.0</v>
      </c>
      <c r="O133" s="36">
        <v>29.0</v>
      </c>
      <c r="P133" s="36">
        <v>79.0</v>
      </c>
      <c r="Q133" s="36">
        <v>0.34</v>
      </c>
      <c r="R133" s="36">
        <v>0.7</v>
      </c>
      <c r="S133" s="36">
        <v>1.34</v>
      </c>
      <c r="T133" s="36">
        <v>2.05</v>
      </c>
      <c r="U133" s="21">
        <f t="shared" si="1"/>
        <v>2050</v>
      </c>
      <c r="V133" s="21">
        <f t="shared" si="5"/>
        <v>1600</v>
      </c>
    </row>
    <row r="134" ht="14.25" customHeight="1">
      <c r="A134" s="38">
        <v>0.4388888888888889</v>
      </c>
      <c r="B134" s="36">
        <v>142.0</v>
      </c>
      <c r="C134" s="36">
        <v>33.2</v>
      </c>
      <c r="D134" s="36">
        <v>1828.0</v>
      </c>
      <c r="E134" s="36">
        <v>2120.0</v>
      </c>
      <c r="F134" s="36">
        <v>1.16</v>
      </c>
      <c r="G134" s="36">
        <v>29.0</v>
      </c>
      <c r="H134" s="36">
        <v>1.78</v>
      </c>
      <c r="I134" s="36">
        <v>51.1</v>
      </c>
      <c r="J134" s="36">
        <v>67.8</v>
      </c>
      <c r="K134" s="36">
        <v>149.0</v>
      </c>
      <c r="L134" s="36">
        <v>26.7</v>
      </c>
      <c r="M134" s="36">
        <v>90.0</v>
      </c>
      <c r="N134" s="36">
        <v>47.0</v>
      </c>
      <c r="O134" s="36">
        <v>29.0</v>
      </c>
      <c r="P134" s="36">
        <v>75.0</v>
      </c>
      <c r="Q134" s="36">
        <v>0.35</v>
      </c>
      <c r="R134" s="36">
        <v>0.73</v>
      </c>
      <c r="S134" s="36">
        <v>1.36</v>
      </c>
      <c r="T134" s="36">
        <v>2.09</v>
      </c>
      <c r="U134" s="21">
        <f t="shared" si="1"/>
        <v>2090</v>
      </c>
      <c r="V134" s="21">
        <f t="shared" si="5"/>
        <v>6400</v>
      </c>
    </row>
    <row r="135" ht="14.25" customHeight="1">
      <c r="A135" s="38">
        <v>0.44027777777777777</v>
      </c>
      <c r="B135" s="36">
        <v>143.0</v>
      </c>
      <c r="C135" s="36">
        <v>36.3</v>
      </c>
      <c r="D135" s="36">
        <v>1997.0</v>
      </c>
      <c r="E135" s="36">
        <v>2317.0</v>
      </c>
      <c r="F135" s="36">
        <v>1.16</v>
      </c>
      <c r="G135" s="36">
        <v>28.0</v>
      </c>
      <c r="H135" s="36">
        <v>1.98</v>
      </c>
      <c r="I135" s="36">
        <v>54.5</v>
      </c>
      <c r="J135" s="36">
        <v>65.7</v>
      </c>
      <c r="K135" s="36">
        <v>150.0</v>
      </c>
      <c r="L135" s="36">
        <v>25.9</v>
      </c>
      <c r="M135" s="36">
        <v>89.0</v>
      </c>
      <c r="N135" s="36">
        <v>48.0</v>
      </c>
      <c r="O135" s="36">
        <v>28.0</v>
      </c>
      <c r="P135" s="36">
        <v>82.0</v>
      </c>
      <c r="Q135" s="36">
        <v>0.34</v>
      </c>
      <c r="R135" s="36">
        <v>0.73</v>
      </c>
      <c r="S135" s="36">
        <v>1.44</v>
      </c>
      <c r="T135" s="36">
        <v>2.17</v>
      </c>
      <c r="U135" s="21">
        <f t="shared" si="1"/>
        <v>2170</v>
      </c>
      <c r="V135" s="21">
        <f t="shared" si="5"/>
        <v>12100</v>
      </c>
    </row>
    <row r="136" ht="14.25" customHeight="1">
      <c r="A136" s="38">
        <v>0.44166666666666665</v>
      </c>
      <c r="B136" s="36">
        <v>144.0</v>
      </c>
      <c r="C136" s="36">
        <v>33.9</v>
      </c>
      <c r="D136" s="36">
        <v>1867.0</v>
      </c>
      <c r="E136" s="36">
        <v>2189.0</v>
      </c>
      <c r="F136" s="36">
        <v>1.17</v>
      </c>
      <c r="G136" s="36">
        <v>26.0</v>
      </c>
      <c r="H136" s="36">
        <v>1.98</v>
      </c>
      <c r="I136" s="36">
        <v>52.1</v>
      </c>
      <c r="J136" s="36">
        <v>67.2</v>
      </c>
      <c r="K136" s="36">
        <v>152.0</v>
      </c>
      <c r="L136" s="36">
        <v>25.4</v>
      </c>
      <c r="M136" s="36">
        <v>89.0</v>
      </c>
      <c r="N136" s="36">
        <v>48.0</v>
      </c>
      <c r="O136" s="36">
        <v>26.0</v>
      </c>
      <c r="P136" s="36">
        <v>76.0</v>
      </c>
      <c r="Q136" s="36">
        <v>0.36</v>
      </c>
      <c r="R136" s="36">
        <v>0.82</v>
      </c>
      <c r="S136" s="36">
        <v>1.46</v>
      </c>
      <c r="T136" s="36">
        <v>2.28</v>
      </c>
      <c r="U136" s="21">
        <f t="shared" si="1"/>
        <v>2280</v>
      </c>
      <c r="V136" s="21">
        <f t="shared" si="5"/>
        <v>12100</v>
      </c>
    </row>
    <row r="137" ht="14.25" customHeight="1">
      <c r="A137" s="38">
        <v>0.44305555555555554</v>
      </c>
      <c r="B137" s="36">
        <v>144.0</v>
      </c>
      <c r="C137" s="36">
        <v>34.8</v>
      </c>
      <c r="D137" s="36">
        <v>1917.0</v>
      </c>
      <c r="E137" s="36">
        <v>2271.0</v>
      </c>
      <c r="F137" s="36">
        <v>1.18</v>
      </c>
      <c r="G137" s="36">
        <v>28.0</v>
      </c>
      <c r="H137" s="36">
        <v>1.98</v>
      </c>
      <c r="I137" s="36">
        <v>54.6</v>
      </c>
      <c r="J137" s="36">
        <v>65.6</v>
      </c>
      <c r="K137" s="36">
        <v>153.0</v>
      </c>
      <c r="L137" s="36">
        <v>24.6</v>
      </c>
      <c r="M137" s="36">
        <v>90.0</v>
      </c>
      <c r="N137" s="36">
        <v>47.0</v>
      </c>
      <c r="O137" s="36">
        <v>28.0</v>
      </c>
      <c r="P137" s="36">
        <v>78.0</v>
      </c>
      <c r="Q137" s="36">
        <v>0.37</v>
      </c>
      <c r="R137" s="36">
        <v>0.8</v>
      </c>
      <c r="S137" s="36">
        <v>1.37</v>
      </c>
      <c r="T137" s="36">
        <v>2.17</v>
      </c>
      <c r="U137" s="21">
        <f t="shared" si="1"/>
        <v>2170</v>
      </c>
      <c r="V137" s="21">
        <f t="shared" si="5"/>
        <v>0</v>
      </c>
    </row>
    <row r="138" ht="14.25" customHeight="1">
      <c r="A138" s="38">
        <v>0.4444444444444444</v>
      </c>
      <c r="B138" s="36">
        <v>145.0</v>
      </c>
      <c r="C138" s="36">
        <v>34.7</v>
      </c>
      <c r="D138" s="36">
        <v>1907.0</v>
      </c>
      <c r="E138" s="36">
        <v>2275.0</v>
      </c>
      <c r="F138" s="36">
        <v>1.19</v>
      </c>
      <c r="G138" s="36">
        <v>28.0</v>
      </c>
      <c r="H138" s="36">
        <v>1.98</v>
      </c>
      <c r="I138" s="36">
        <v>54.8</v>
      </c>
      <c r="J138" s="36">
        <v>65.5</v>
      </c>
      <c r="K138" s="36">
        <v>154.0</v>
      </c>
      <c r="L138" s="36">
        <v>24.0</v>
      </c>
      <c r="M138" s="36">
        <v>90.0</v>
      </c>
      <c r="N138" s="36">
        <v>47.0</v>
      </c>
      <c r="O138" s="36">
        <v>28.0</v>
      </c>
      <c r="P138" s="36">
        <v>78.0</v>
      </c>
      <c r="Q138" s="36">
        <v>0.36</v>
      </c>
      <c r="R138" s="36">
        <v>0.79</v>
      </c>
      <c r="S138" s="36">
        <v>1.38</v>
      </c>
      <c r="T138" s="36">
        <v>2.17</v>
      </c>
      <c r="U138" s="21">
        <f t="shared" si="1"/>
        <v>2170</v>
      </c>
      <c r="V138" s="21">
        <f t="shared" si="5"/>
        <v>6400</v>
      </c>
    </row>
    <row r="139" ht="14.25" customHeight="1">
      <c r="A139" s="38">
        <v>0.44583333333333336</v>
      </c>
      <c r="B139" s="36">
        <v>146.0</v>
      </c>
      <c r="C139" s="36">
        <v>34.7</v>
      </c>
      <c r="D139" s="36">
        <v>1910.0</v>
      </c>
      <c r="E139" s="36">
        <v>2309.0</v>
      </c>
      <c r="F139" s="36">
        <v>1.21</v>
      </c>
      <c r="G139" s="36">
        <v>29.0</v>
      </c>
      <c r="H139" s="36">
        <v>1.96</v>
      </c>
      <c r="I139" s="36">
        <v>56.3</v>
      </c>
      <c r="J139" s="36">
        <v>64.5</v>
      </c>
      <c r="K139" s="36">
        <v>155.0</v>
      </c>
      <c r="L139" s="36">
        <v>23.4</v>
      </c>
      <c r="M139" s="36">
        <v>92.0</v>
      </c>
      <c r="N139" s="36">
        <v>47.0</v>
      </c>
      <c r="O139" s="36">
        <v>29.0</v>
      </c>
      <c r="P139" s="36">
        <v>78.0</v>
      </c>
      <c r="Q139" s="36">
        <v>0.37</v>
      </c>
      <c r="R139" s="36">
        <v>0.77</v>
      </c>
      <c r="S139" s="36">
        <v>1.33</v>
      </c>
      <c r="T139" s="36">
        <v>2.09</v>
      </c>
      <c r="U139" s="21">
        <f t="shared" si="1"/>
        <v>2090</v>
      </c>
      <c r="V139" s="21">
        <f t="shared" si="5"/>
        <v>2500</v>
      </c>
    </row>
    <row r="140" ht="14.25" customHeight="1">
      <c r="A140" s="38">
        <v>0.44722222222222224</v>
      </c>
      <c r="B140" s="36">
        <v>147.0</v>
      </c>
      <c r="C140" s="36">
        <v>35.0</v>
      </c>
      <c r="D140" s="36">
        <v>1927.0</v>
      </c>
      <c r="E140" s="36">
        <v>2365.0</v>
      </c>
      <c r="F140" s="36">
        <v>1.23</v>
      </c>
      <c r="G140" s="36">
        <v>29.0</v>
      </c>
      <c r="H140" s="36">
        <v>2.0</v>
      </c>
      <c r="I140" s="36">
        <v>58.7</v>
      </c>
      <c r="J140" s="36">
        <v>63.0</v>
      </c>
      <c r="K140" s="36">
        <v>156.0</v>
      </c>
      <c r="L140" s="36">
        <v>23.2</v>
      </c>
      <c r="M140" s="36">
        <v>93.0</v>
      </c>
      <c r="N140" s="36">
        <v>46.0</v>
      </c>
      <c r="O140" s="36">
        <v>29.0</v>
      </c>
      <c r="P140" s="36">
        <v>79.0</v>
      </c>
      <c r="Q140" s="36">
        <v>0.36</v>
      </c>
      <c r="R140" s="36">
        <v>0.73</v>
      </c>
      <c r="S140" s="36">
        <v>1.31</v>
      </c>
      <c r="T140" s="36">
        <v>2.04</v>
      </c>
      <c r="U140" s="21">
        <f t="shared" si="1"/>
        <v>2040</v>
      </c>
      <c r="V140" s="21">
        <f t="shared" si="5"/>
        <v>0</v>
      </c>
    </row>
    <row r="141" ht="14.25" customHeight="1">
      <c r="A141" s="38">
        <v>0.44930555555555557</v>
      </c>
      <c r="B141" s="36">
        <v>148.0</v>
      </c>
      <c r="C141" s="36">
        <v>35.1</v>
      </c>
      <c r="D141" s="36">
        <v>1928.0</v>
      </c>
      <c r="E141" s="36">
        <v>2366.0</v>
      </c>
      <c r="F141" s="36">
        <v>1.23</v>
      </c>
      <c r="G141" s="36">
        <v>29.0</v>
      </c>
      <c r="H141" s="36">
        <v>2.0</v>
      </c>
      <c r="I141" s="36">
        <v>58.7</v>
      </c>
      <c r="J141" s="36">
        <v>63.0</v>
      </c>
      <c r="K141" s="36">
        <v>157.0</v>
      </c>
      <c r="L141" s="36">
        <v>22.8</v>
      </c>
      <c r="M141" s="36">
        <v>93.0</v>
      </c>
      <c r="N141" s="36">
        <v>46.0</v>
      </c>
      <c r="O141" s="36">
        <v>29.0</v>
      </c>
      <c r="P141" s="36">
        <v>79.0</v>
      </c>
      <c r="Q141" s="36">
        <v>0.36</v>
      </c>
      <c r="R141" s="36">
        <v>0.73</v>
      </c>
      <c r="S141" s="36">
        <v>1.31</v>
      </c>
      <c r="T141" s="36">
        <v>2.04</v>
      </c>
      <c r="U141" s="21">
        <f t="shared" si="1"/>
        <v>2040</v>
      </c>
      <c r="V141" s="21">
        <f t="shared" si="5"/>
        <v>4900</v>
      </c>
    </row>
    <row r="142" ht="14.25" customHeight="1">
      <c r="A142" s="38">
        <v>0.45069444444444445</v>
      </c>
      <c r="B142" s="36">
        <v>149.0</v>
      </c>
      <c r="C142" s="36">
        <v>33.6</v>
      </c>
      <c r="D142" s="36">
        <v>1851.0</v>
      </c>
      <c r="E142" s="36">
        <v>2295.0</v>
      </c>
      <c r="F142" s="36">
        <v>1.24</v>
      </c>
      <c r="G142" s="36">
        <v>28.0</v>
      </c>
      <c r="H142" s="36">
        <v>2.01</v>
      </c>
      <c r="I142" s="36">
        <v>57.2</v>
      </c>
      <c r="J142" s="36">
        <v>64.0</v>
      </c>
      <c r="K142" s="36">
        <v>157.0</v>
      </c>
      <c r="L142" s="36">
        <v>22.4</v>
      </c>
      <c r="M142" s="36">
        <v>93.0</v>
      </c>
      <c r="N142" s="36">
        <v>46.0</v>
      </c>
      <c r="O142" s="36">
        <v>28.0</v>
      </c>
      <c r="P142" s="36">
        <v>76.0</v>
      </c>
      <c r="Q142" s="36">
        <v>0.35</v>
      </c>
      <c r="R142" s="36">
        <v>0.75</v>
      </c>
      <c r="S142" s="36">
        <v>1.37</v>
      </c>
      <c r="T142" s="36">
        <v>2.11</v>
      </c>
      <c r="U142" s="21">
        <f t="shared" si="1"/>
        <v>2110</v>
      </c>
      <c r="V142" s="21">
        <f t="shared" si="5"/>
        <v>6400</v>
      </c>
    </row>
    <row r="143" ht="14.25" customHeight="1">
      <c r="A143" s="38">
        <v>0.4527777777777778</v>
      </c>
      <c r="B143" s="36">
        <v>150.0</v>
      </c>
      <c r="C143" s="36">
        <v>32.8</v>
      </c>
      <c r="D143" s="36">
        <v>1805.0</v>
      </c>
      <c r="E143" s="36">
        <v>2221.0</v>
      </c>
      <c r="F143" s="36">
        <v>1.23</v>
      </c>
      <c r="G143" s="36">
        <v>27.0</v>
      </c>
      <c r="H143" s="36">
        <v>2.0</v>
      </c>
      <c r="I143" s="36">
        <v>54.8</v>
      </c>
      <c r="J143" s="36">
        <v>65.5</v>
      </c>
      <c r="K143" s="36">
        <v>159.0</v>
      </c>
      <c r="L143" s="36">
        <v>21.6</v>
      </c>
      <c r="M143" s="36">
        <v>92.0</v>
      </c>
      <c r="N143" s="36">
        <v>47.0</v>
      </c>
      <c r="O143" s="36">
        <v>27.0</v>
      </c>
      <c r="P143" s="36">
        <v>74.0</v>
      </c>
      <c r="Q143" s="36">
        <v>0.35</v>
      </c>
      <c r="R143" s="36">
        <v>0.76</v>
      </c>
      <c r="S143" s="36">
        <v>1.42</v>
      </c>
      <c r="T143" s="36">
        <v>2.19</v>
      </c>
      <c r="U143" s="21">
        <f t="shared" si="1"/>
        <v>2190</v>
      </c>
      <c r="V143" s="8">
        <v>0.0</v>
      </c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9.13"/>
    <col customWidth="1" min="23" max="23" width="6.63"/>
    <col customWidth="1" min="24" max="24" width="7.5"/>
    <col customWidth="1" min="25" max="47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X2" s="36"/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8" t="s">
        <v>92</v>
      </c>
      <c r="V4" s="8" t="s">
        <v>85</v>
      </c>
      <c r="W4" s="8" t="s">
        <v>93</v>
      </c>
    </row>
    <row r="5" ht="14.25" customHeight="1">
      <c r="A5" s="36" t="s">
        <v>87</v>
      </c>
    </row>
    <row r="6" ht="14.25" customHeight="1">
      <c r="A6" s="38">
        <v>0.09722222222222222</v>
      </c>
      <c r="B6" s="36">
        <v>0.0</v>
      </c>
      <c r="C6" s="36">
        <v>6.2</v>
      </c>
      <c r="D6" s="36">
        <v>495.0</v>
      </c>
      <c r="E6" s="36">
        <v>466.0</v>
      </c>
      <c r="F6" s="36">
        <v>0.94</v>
      </c>
      <c r="G6" s="36">
        <v>15.0</v>
      </c>
      <c r="H6" s="36">
        <v>0.86</v>
      </c>
      <c r="I6" s="36">
        <v>12.8</v>
      </c>
      <c r="J6" s="36">
        <v>91.5</v>
      </c>
      <c r="K6" s="36">
        <v>94.0</v>
      </c>
      <c r="L6" s="36">
        <v>47.3</v>
      </c>
      <c r="M6" s="36">
        <v>97.0</v>
      </c>
      <c r="N6" s="36">
        <v>44.0</v>
      </c>
      <c r="O6" s="36">
        <v>15.0</v>
      </c>
      <c r="P6" s="36">
        <v>18.0</v>
      </c>
      <c r="Q6" s="36">
        <v>0.28</v>
      </c>
      <c r="R6" s="36">
        <v>1.14</v>
      </c>
      <c r="S6" s="36">
        <v>2.88</v>
      </c>
      <c r="T6" s="36">
        <v>4.02</v>
      </c>
      <c r="U6" s="21">
        <f t="shared" ref="U6:U107" si="1">1000*T6</f>
        <v>4020</v>
      </c>
      <c r="V6" s="21">
        <f t="shared" ref="V6:V102" si="2">(U6-U7)^2</f>
        <v>0</v>
      </c>
      <c r="W6" s="21">
        <f>SQRT((AVERAGE(V6:V102)))</f>
        <v>78.83821356</v>
      </c>
    </row>
    <row r="7" ht="14.25" customHeight="1">
      <c r="A7" s="38">
        <v>0.10069444444444445</v>
      </c>
      <c r="B7" s="36">
        <v>0.0</v>
      </c>
      <c r="C7" s="36">
        <v>6.3</v>
      </c>
      <c r="D7" s="36">
        <v>506.0</v>
      </c>
      <c r="E7" s="36">
        <v>476.0</v>
      </c>
      <c r="F7" s="36">
        <v>0.94</v>
      </c>
      <c r="G7" s="36">
        <v>15.0</v>
      </c>
      <c r="H7" s="36">
        <v>0.87</v>
      </c>
      <c r="I7" s="36">
        <v>13.0</v>
      </c>
      <c r="J7" s="36">
        <v>91.4</v>
      </c>
      <c r="K7" s="36">
        <v>92.0</v>
      </c>
      <c r="L7" s="36">
        <v>48.1</v>
      </c>
      <c r="M7" s="36">
        <v>97.0</v>
      </c>
      <c r="N7" s="36">
        <v>44.0</v>
      </c>
      <c r="O7" s="36">
        <v>15.0</v>
      </c>
      <c r="P7" s="36">
        <v>18.0</v>
      </c>
      <c r="Q7" s="36">
        <v>0.28</v>
      </c>
      <c r="R7" s="36">
        <v>1.13</v>
      </c>
      <c r="S7" s="36">
        <v>2.9</v>
      </c>
      <c r="T7" s="36">
        <v>4.02</v>
      </c>
      <c r="U7" s="21">
        <f t="shared" si="1"/>
        <v>4020</v>
      </c>
      <c r="V7" s="21">
        <f t="shared" si="2"/>
        <v>6400</v>
      </c>
    </row>
    <row r="8" ht="14.25" customHeight="1">
      <c r="A8" s="38">
        <v>0.10277777777777777</v>
      </c>
      <c r="B8" s="36">
        <v>0.0</v>
      </c>
      <c r="C8" s="36">
        <v>6.6</v>
      </c>
      <c r="D8" s="36">
        <v>525.0</v>
      </c>
      <c r="E8" s="36">
        <v>495.0</v>
      </c>
      <c r="F8" s="36">
        <v>0.94</v>
      </c>
      <c r="G8" s="36">
        <v>15.0</v>
      </c>
      <c r="H8" s="36">
        <v>0.89</v>
      </c>
      <c r="I8" s="36">
        <v>13.6</v>
      </c>
      <c r="J8" s="36">
        <v>91.0</v>
      </c>
      <c r="K8" s="36">
        <v>93.0</v>
      </c>
      <c r="L8" s="36">
        <v>47.7</v>
      </c>
      <c r="M8" s="36">
        <v>98.0</v>
      </c>
      <c r="N8" s="36">
        <v>44.0</v>
      </c>
      <c r="O8" s="36">
        <v>15.0</v>
      </c>
      <c r="P8" s="36">
        <v>19.0</v>
      </c>
      <c r="Q8" s="36">
        <v>0.28</v>
      </c>
      <c r="R8" s="36">
        <v>1.1</v>
      </c>
      <c r="S8" s="36">
        <v>2.84</v>
      </c>
      <c r="T8" s="36">
        <v>3.94</v>
      </c>
      <c r="U8" s="21">
        <f t="shared" si="1"/>
        <v>3940</v>
      </c>
      <c r="V8" s="21">
        <f t="shared" si="2"/>
        <v>6400</v>
      </c>
    </row>
    <row r="9" ht="14.25" customHeight="1">
      <c r="A9" s="38">
        <v>0.10625</v>
      </c>
      <c r="B9" s="36">
        <v>2.0</v>
      </c>
      <c r="C9" s="36">
        <v>6.7</v>
      </c>
      <c r="D9" s="36">
        <v>537.0</v>
      </c>
      <c r="E9" s="36">
        <v>513.0</v>
      </c>
      <c r="F9" s="36">
        <v>0.95</v>
      </c>
      <c r="G9" s="36">
        <v>15.0</v>
      </c>
      <c r="H9" s="36">
        <v>0.94</v>
      </c>
      <c r="I9" s="36">
        <v>14.1</v>
      </c>
      <c r="J9" s="36">
        <v>90.7</v>
      </c>
      <c r="K9" s="36">
        <v>94.0</v>
      </c>
      <c r="L9" s="36">
        <v>47.1</v>
      </c>
      <c r="M9" s="36">
        <v>98.0</v>
      </c>
      <c r="N9" s="36">
        <v>43.0</v>
      </c>
      <c r="O9" s="36">
        <v>15.0</v>
      </c>
      <c r="P9" s="36">
        <v>19.0</v>
      </c>
      <c r="Q9" s="36">
        <v>0.27</v>
      </c>
      <c r="R9" s="36">
        <v>1.1</v>
      </c>
      <c r="S9" s="36">
        <v>2.93</v>
      </c>
      <c r="T9" s="36">
        <v>4.02</v>
      </c>
      <c r="U9" s="21">
        <f t="shared" si="1"/>
        <v>4020</v>
      </c>
      <c r="V9" s="21">
        <f t="shared" si="2"/>
        <v>100</v>
      </c>
    </row>
    <row r="10" ht="14.25" customHeight="1">
      <c r="A10" s="38">
        <v>0.10833333333333334</v>
      </c>
      <c r="B10" s="36">
        <v>4.0</v>
      </c>
      <c r="C10" s="36">
        <v>7.0</v>
      </c>
      <c r="D10" s="36">
        <v>556.0</v>
      </c>
      <c r="E10" s="36">
        <v>520.0</v>
      </c>
      <c r="F10" s="36">
        <v>0.93</v>
      </c>
      <c r="G10" s="36">
        <v>15.0</v>
      </c>
      <c r="H10" s="36">
        <v>0.95</v>
      </c>
      <c r="I10" s="36">
        <v>14.1</v>
      </c>
      <c r="J10" s="36">
        <v>90.6</v>
      </c>
      <c r="K10" s="36">
        <v>95.0</v>
      </c>
      <c r="L10" s="36">
        <v>46.6</v>
      </c>
      <c r="M10" s="36">
        <v>99.0</v>
      </c>
      <c r="N10" s="36">
        <v>43.0</v>
      </c>
      <c r="O10" s="36">
        <v>15.0</v>
      </c>
      <c r="P10" s="36">
        <v>20.0</v>
      </c>
      <c r="Q10" s="36">
        <v>0.27</v>
      </c>
      <c r="R10" s="36">
        <v>1.08</v>
      </c>
      <c r="S10" s="36">
        <v>2.93</v>
      </c>
      <c r="T10" s="36">
        <v>4.01</v>
      </c>
      <c r="U10" s="21">
        <f t="shared" si="1"/>
        <v>4010</v>
      </c>
      <c r="V10" s="21">
        <f t="shared" si="2"/>
        <v>0</v>
      </c>
    </row>
    <row r="11" ht="14.25" customHeight="1">
      <c r="A11" s="38">
        <v>0.1111111111111111</v>
      </c>
      <c r="B11" s="36">
        <v>5.0</v>
      </c>
      <c r="C11" s="36">
        <v>7.0</v>
      </c>
      <c r="D11" s="36">
        <v>556.0</v>
      </c>
      <c r="E11" s="36">
        <v>520.0</v>
      </c>
      <c r="F11" s="36">
        <v>0.93</v>
      </c>
      <c r="G11" s="36">
        <v>15.0</v>
      </c>
      <c r="H11" s="36">
        <v>0.95</v>
      </c>
      <c r="I11" s="36">
        <v>14.1</v>
      </c>
      <c r="J11" s="36">
        <v>90.6</v>
      </c>
      <c r="K11" s="36">
        <v>95.0</v>
      </c>
      <c r="L11" s="36">
        <v>46.6</v>
      </c>
      <c r="M11" s="36">
        <v>99.0</v>
      </c>
      <c r="N11" s="36">
        <v>43.0</v>
      </c>
      <c r="O11" s="36">
        <v>15.0</v>
      </c>
      <c r="P11" s="36">
        <v>20.0</v>
      </c>
      <c r="Q11" s="36">
        <v>0.27</v>
      </c>
      <c r="R11" s="36">
        <v>1.08</v>
      </c>
      <c r="S11" s="36">
        <v>2.93</v>
      </c>
      <c r="T11" s="36">
        <v>4.01</v>
      </c>
      <c r="U11" s="21">
        <f t="shared" si="1"/>
        <v>4010</v>
      </c>
      <c r="V11" s="21">
        <f t="shared" si="2"/>
        <v>4900</v>
      </c>
    </row>
    <row r="12" ht="14.25" customHeight="1">
      <c r="A12" s="38">
        <v>0.11388888888888889</v>
      </c>
      <c r="B12" s="36">
        <v>7.0</v>
      </c>
      <c r="C12" s="36">
        <v>7.0</v>
      </c>
      <c r="D12" s="36">
        <v>557.0</v>
      </c>
      <c r="E12" s="36">
        <v>518.0</v>
      </c>
      <c r="F12" s="36">
        <v>0.93</v>
      </c>
      <c r="G12" s="36">
        <v>15.0</v>
      </c>
      <c r="H12" s="36">
        <v>0.91</v>
      </c>
      <c r="I12" s="36">
        <v>13.8</v>
      </c>
      <c r="J12" s="36">
        <v>90.9</v>
      </c>
      <c r="K12" s="36">
        <v>96.0</v>
      </c>
      <c r="L12" s="36">
        <v>45.8</v>
      </c>
      <c r="M12" s="36">
        <v>98.0</v>
      </c>
      <c r="N12" s="36">
        <v>44.0</v>
      </c>
      <c r="O12" s="36">
        <v>15.0</v>
      </c>
      <c r="P12" s="36">
        <v>20.0</v>
      </c>
      <c r="Q12" s="36">
        <v>0.28</v>
      </c>
      <c r="R12" s="36">
        <v>1.1</v>
      </c>
      <c r="S12" s="36">
        <v>2.84</v>
      </c>
      <c r="T12" s="36">
        <v>3.94</v>
      </c>
      <c r="U12" s="21">
        <f t="shared" si="1"/>
        <v>3940</v>
      </c>
      <c r="V12" s="21">
        <f t="shared" si="2"/>
        <v>8100</v>
      </c>
    </row>
    <row r="13" ht="14.25" customHeight="1">
      <c r="A13" s="38">
        <v>0.11666666666666667</v>
      </c>
      <c r="B13" s="36">
        <v>8.0</v>
      </c>
      <c r="C13" s="36">
        <v>7.1</v>
      </c>
      <c r="D13" s="36">
        <v>567.0</v>
      </c>
      <c r="E13" s="36">
        <v>530.0</v>
      </c>
      <c r="F13" s="36">
        <v>0.94</v>
      </c>
      <c r="G13" s="36">
        <v>16.0</v>
      </c>
      <c r="H13" s="36">
        <v>0.9</v>
      </c>
      <c r="I13" s="36">
        <v>14.1</v>
      </c>
      <c r="J13" s="36">
        <v>90.7</v>
      </c>
      <c r="K13" s="36">
        <v>100.0</v>
      </c>
      <c r="L13" s="36">
        <v>43.7</v>
      </c>
      <c r="M13" s="36">
        <v>98.0</v>
      </c>
      <c r="N13" s="36">
        <v>44.0</v>
      </c>
      <c r="O13" s="36">
        <v>16.0</v>
      </c>
      <c r="P13" s="36">
        <v>20.0</v>
      </c>
      <c r="Q13" s="36">
        <v>0.29</v>
      </c>
      <c r="R13" s="36">
        <v>1.1</v>
      </c>
      <c r="S13" s="36">
        <v>2.75</v>
      </c>
      <c r="T13" s="36">
        <v>3.85</v>
      </c>
      <c r="U13" s="21">
        <f t="shared" si="1"/>
        <v>3850</v>
      </c>
      <c r="V13" s="21">
        <f t="shared" si="2"/>
        <v>400</v>
      </c>
    </row>
    <row r="14" ht="14.25" customHeight="1">
      <c r="A14" s="38">
        <v>0.11944444444444445</v>
      </c>
      <c r="B14" s="36">
        <v>10.0</v>
      </c>
      <c r="C14" s="36">
        <v>7.1</v>
      </c>
      <c r="D14" s="36">
        <v>571.0</v>
      </c>
      <c r="E14" s="36">
        <v>539.0</v>
      </c>
      <c r="F14" s="36">
        <v>0.94</v>
      </c>
      <c r="G14" s="36">
        <v>15.0</v>
      </c>
      <c r="H14" s="36">
        <v>0.93</v>
      </c>
      <c r="I14" s="36">
        <v>14.5</v>
      </c>
      <c r="J14" s="36">
        <v>90.4</v>
      </c>
      <c r="K14" s="36">
        <v>100.0</v>
      </c>
      <c r="L14" s="36">
        <v>43.8</v>
      </c>
      <c r="M14" s="36">
        <v>98.0</v>
      </c>
      <c r="N14" s="36">
        <v>44.0</v>
      </c>
      <c r="O14" s="36">
        <v>15.0</v>
      </c>
      <c r="P14" s="36">
        <v>20.0</v>
      </c>
      <c r="Q14" s="36">
        <v>0.28</v>
      </c>
      <c r="R14" s="36">
        <v>1.09</v>
      </c>
      <c r="S14" s="36">
        <v>2.79</v>
      </c>
      <c r="T14" s="36">
        <v>3.87</v>
      </c>
      <c r="U14" s="21">
        <f t="shared" si="1"/>
        <v>3870</v>
      </c>
      <c r="V14" s="21">
        <f t="shared" si="2"/>
        <v>14400</v>
      </c>
    </row>
    <row r="15" ht="14.25" customHeight="1">
      <c r="A15" s="38">
        <v>0.12222222222222222</v>
      </c>
      <c r="B15" s="36">
        <v>12.0</v>
      </c>
      <c r="C15" s="36">
        <v>7.1</v>
      </c>
      <c r="D15" s="36">
        <v>570.0</v>
      </c>
      <c r="E15" s="36">
        <v>540.0</v>
      </c>
      <c r="F15" s="36">
        <v>0.95</v>
      </c>
      <c r="G15" s="36">
        <v>15.0</v>
      </c>
      <c r="H15" s="36">
        <v>0.95</v>
      </c>
      <c r="I15" s="36">
        <v>14.3</v>
      </c>
      <c r="J15" s="36">
        <v>90.5</v>
      </c>
      <c r="K15" s="36">
        <v>101.0</v>
      </c>
      <c r="L15" s="36">
        <v>43.3</v>
      </c>
      <c r="M15" s="36">
        <v>98.0</v>
      </c>
      <c r="N15" s="36">
        <v>44.0</v>
      </c>
      <c r="O15" s="36">
        <v>15.0</v>
      </c>
      <c r="P15" s="36">
        <v>20.0</v>
      </c>
      <c r="Q15" s="36">
        <v>0.28</v>
      </c>
      <c r="R15" s="36">
        <v>1.12</v>
      </c>
      <c r="S15" s="36">
        <v>2.87</v>
      </c>
      <c r="T15" s="36">
        <v>3.99</v>
      </c>
      <c r="U15" s="21">
        <f t="shared" si="1"/>
        <v>3990</v>
      </c>
      <c r="V15" s="21">
        <f t="shared" si="2"/>
        <v>3600</v>
      </c>
    </row>
    <row r="16" ht="14.25" customHeight="1">
      <c r="A16" s="38">
        <v>0.125</v>
      </c>
      <c r="B16" s="36">
        <v>14.0</v>
      </c>
      <c r="C16" s="36">
        <v>7.1</v>
      </c>
      <c r="D16" s="36">
        <v>569.0</v>
      </c>
      <c r="E16" s="36">
        <v>536.0</v>
      </c>
      <c r="F16" s="36">
        <v>0.94</v>
      </c>
      <c r="G16" s="36">
        <v>15.0</v>
      </c>
      <c r="H16" s="36">
        <v>0.94</v>
      </c>
      <c r="I16" s="36">
        <v>13.9</v>
      </c>
      <c r="J16" s="36">
        <v>90.8</v>
      </c>
      <c r="K16" s="36">
        <v>101.0</v>
      </c>
      <c r="L16" s="36">
        <v>43.2</v>
      </c>
      <c r="M16" s="36">
        <v>97.0</v>
      </c>
      <c r="N16" s="36">
        <v>45.0</v>
      </c>
      <c r="O16" s="36">
        <v>15.0</v>
      </c>
      <c r="P16" s="36">
        <v>20.0</v>
      </c>
      <c r="Q16" s="36">
        <v>0.27</v>
      </c>
      <c r="R16" s="36">
        <v>1.09</v>
      </c>
      <c r="S16" s="36">
        <v>2.96</v>
      </c>
      <c r="T16" s="36">
        <v>4.05</v>
      </c>
      <c r="U16" s="21">
        <f t="shared" si="1"/>
        <v>4050</v>
      </c>
      <c r="V16" s="21">
        <f t="shared" si="2"/>
        <v>1600</v>
      </c>
    </row>
    <row r="17" ht="14.25" customHeight="1">
      <c r="A17" s="38">
        <v>0.1284722222222222</v>
      </c>
      <c r="B17" s="36">
        <v>15.0</v>
      </c>
      <c r="C17" s="36">
        <v>7.2</v>
      </c>
      <c r="D17" s="36">
        <v>579.0</v>
      </c>
      <c r="E17" s="36">
        <v>546.0</v>
      </c>
      <c r="F17" s="36">
        <v>0.94</v>
      </c>
      <c r="G17" s="36">
        <v>15.0</v>
      </c>
      <c r="H17" s="36">
        <v>0.97</v>
      </c>
      <c r="I17" s="36">
        <v>14.2</v>
      </c>
      <c r="J17" s="36">
        <v>90.6</v>
      </c>
      <c r="K17" s="36">
        <v>102.0</v>
      </c>
      <c r="L17" s="36">
        <v>43.0</v>
      </c>
      <c r="M17" s="36">
        <v>98.0</v>
      </c>
      <c r="N17" s="36">
        <v>44.0</v>
      </c>
      <c r="O17" s="36">
        <v>15.0</v>
      </c>
      <c r="P17" s="36">
        <v>21.0</v>
      </c>
      <c r="Q17" s="36">
        <v>0.27</v>
      </c>
      <c r="R17" s="36">
        <v>1.11</v>
      </c>
      <c r="S17" s="36">
        <v>2.99</v>
      </c>
      <c r="T17" s="36">
        <v>4.09</v>
      </c>
      <c r="U17" s="21">
        <f t="shared" si="1"/>
        <v>4090</v>
      </c>
      <c r="V17" s="21">
        <f t="shared" si="2"/>
        <v>16900</v>
      </c>
    </row>
    <row r="18" ht="14.25" customHeight="1">
      <c r="A18" s="38">
        <v>0.13055555555555556</v>
      </c>
      <c r="B18" s="36">
        <v>17.0</v>
      </c>
      <c r="C18" s="36">
        <v>7.2</v>
      </c>
      <c r="D18" s="36">
        <v>579.0</v>
      </c>
      <c r="E18" s="36">
        <v>548.0</v>
      </c>
      <c r="F18" s="36">
        <v>0.95</v>
      </c>
      <c r="G18" s="36">
        <v>15.0</v>
      </c>
      <c r="H18" s="36">
        <v>0.94</v>
      </c>
      <c r="I18" s="36">
        <v>14.3</v>
      </c>
      <c r="J18" s="36">
        <v>90.5</v>
      </c>
      <c r="K18" s="36">
        <v>102.0</v>
      </c>
      <c r="L18" s="36">
        <v>42.8</v>
      </c>
      <c r="M18" s="36">
        <v>98.0</v>
      </c>
      <c r="N18" s="36">
        <v>44.0</v>
      </c>
      <c r="O18" s="36">
        <v>15.0</v>
      </c>
      <c r="P18" s="36">
        <v>21.0</v>
      </c>
      <c r="Q18" s="36">
        <v>0.29</v>
      </c>
      <c r="R18" s="36">
        <v>1.16</v>
      </c>
      <c r="S18" s="36">
        <v>2.8</v>
      </c>
      <c r="T18" s="36">
        <v>3.96</v>
      </c>
      <c r="U18" s="21">
        <f t="shared" si="1"/>
        <v>3960</v>
      </c>
      <c r="V18" s="21">
        <f t="shared" si="2"/>
        <v>900</v>
      </c>
    </row>
    <row r="19" ht="14.25" customHeight="1">
      <c r="A19" s="38">
        <v>0.13333333333333333</v>
      </c>
      <c r="B19" s="36">
        <v>19.0</v>
      </c>
      <c r="C19" s="36">
        <v>7.2</v>
      </c>
      <c r="D19" s="36">
        <v>580.0</v>
      </c>
      <c r="E19" s="36">
        <v>549.0</v>
      </c>
      <c r="F19" s="36">
        <v>0.95</v>
      </c>
      <c r="G19" s="36">
        <v>15.0</v>
      </c>
      <c r="H19" s="36">
        <v>0.96</v>
      </c>
      <c r="I19" s="36">
        <v>14.4</v>
      </c>
      <c r="J19" s="36">
        <v>90.5</v>
      </c>
      <c r="K19" s="36">
        <v>101.0</v>
      </c>
      <c r="L19" s="36">
        <v>43.1</v>
      </c>
      <c r="M19" s="36">
        <v>98.0</v>
      </c>
      <c r="N19" s="36">
        <v>44.0</v>
      </c>
      <c r="O19" s="36">
        <v>15.0</v>
      </c>
      <c r="P19" s="36">
        <v>21.0</v>
      </c>
      <c r="Q19" s="36">
        <v>0.29</v>
      </c>
      <c r="R19" s="36">
        <v>1.16</v>
      </c>
      <c r="S19" s="36">
        <v>2.83</v>
      </c>
      <c r="T19" s="36">
        <v>3.99</v>
      </c>
      <c r="U19" s="21">
        <f t="shared" si="1"/>
        <v>3990</v>
      </c>
      <c r="V19" s="21">
        <f t="shared" si="2"/>
        <v>8100</v>
      </c>
    </row>
    <row r="20" ht="14.25" customHeight="1">
      <c r="A20" s="38">
        <v>0.13680555555555557</v>
      </c>
      <c r="B20" s="36">
        <v>20.0</v>
      </c>
      <c r="C20" s="36">
        <v>7.2</v>
      </c>
      <c r="D20" s="36">
        <v>575.0</v>
      </c>
      <c r="E20" s="36">
        <v>546.0</v>
      </c>
      <c r="F20" s="36">
        <v>0.95</v>
      </c>
      <c r="G20" s="36">
        <v>15.0</v>
      </c>
      <c r="H20" s="36">
        <v>0.97</v>
      </c>
      <c r="I20" s="36">
        <v>14.3</v>
      </c>
      <c r="J20" s="36">
        <v>90.5</v>
      </c>
      <c r="K20" s="36">
        <v>102.0</v>
      </c>
      <c r="L20" s="36">
        <v>42.9</v>
      </c>
      <c r="M20" s="36">
        <v>99.0</v>
      </c>
      <c r="N20" s="36">
        <v>44.0</v>
      </c>
      <c r="O20" s="36">
        <v>15.0</v>
      </c>
      <c r="P20" s="36">
        <v>20.0</v>
      </c>
      <c r="Q20" s="36">
        <v>0.29</v>
      </c>
      <c r="R20" s="36">
        <v>1.17</v>
      </c>
      <c r="S20" s="36">
        <v>2.91</v>
      </c>
      <c r="T20" s="36">
        <v>4.08</v>
      </c>
      <c r="U20" s="21">
        <f t="shared" si="1"/>
        <v>4080</v>
      </c>
      <c r="V20" s="21">
        <f t="shared" si="2"/>
        <v>400</v>
      </c>
    </row>
    <row r="21" ht="14.25" customHeight="1">
      <c r="A21" s="38">
        <v>0.14166666666666666</v>
      </c>
      <c r="B21" s="36">
        <v>23.0</v>
      </c>
      <c r="C21" s="36">
        <v>7.3</v>
      </c>
      <c r="D21" s="36">
        <v>580.0</v>
      </c>
      <c r="E21" s="36">
        <v>549.0</v>
      </c>
      <c r="F21" s="36">
        <v>0.95</v>
      </c>
      <c r="G21" s="36">
        <v>15.0</v>
      </c>
      <c r="H21" s="36">
        <v>0.98</v>
      </c>
      <c r="I21" s="36">
        <v>14.3</v>
      </c>
      <c r="J21" s="36">
        <v>90.5</v>
      </c>
      <c r="K21" s="36">
        <v>102.0</v>
      </c>
      <c r="L21" s="36">
        <v>42.8</v>
      </c>
      <c r="M21" s="36">
        <v>98.0</v>
      </c>
      <c r="N21" s="36">
        <v>44.0</v>
      </c>
      <c r="O21" s="36">
        <v>15.0</v>
      </c>
      <c r="P21" s="36">
        <v>21.0</v>
      </c>
      <c r="Q21" s="36">
        <v>0.29</v>
      </c>
      <c r="R21" s="36">
        <v>1.17</v>
      </c>
      <c r="S21" s="36">
        <v>2.93</v>
      </c>
      <c r="T21" s="36">
        <v>4.1</v>
      </c>
      <c r="U21" s="21">
        <f t="shared" si="1"/>
        <v>4100</v>
      </c>
      <c r="V21" s="21">
        <f t="shared" si="2"/>
        <v>2500</v>
      </c>
    </row>
    <row r="22" ht="14.25" customHeight="1">
      <c r="A22" s="38">
        <v>0.14444444444444443</v>
      </c>
      <c r="B22" s="36">
        <v>25.0</v>
      </c>
      <c r="C22" s="36">
        <v>7.2</v>
      </c>
      <c r="D22" s="36">
        <v>580.0</v>
      </c>
      <c r="E22" s="36">
        <v>547.0</v>
      </c>
      <c r="F22" s="36">
        <v>0.94</v>
      </c>
      <c r="G22" s="36">
        <v>14.0</v>
      </c>
      <c r="H22" s="36">
        <v>0.98</v>
      </c>
      <c r="I22" s="36">
        <v>14.2</v>
      </c>
      <c r="J22" s="36">
        <v>90.6</v>
      </c>
      <c r="K22" s="36">
        <v>101.0</v>
      </c>
      <c r="L22" s="36">
        <v>43.2</v>
      </c>
      <c r="M22" s="36">
        <v>98.0</v>
      </c>
      <c r="N22" s="36">
        <v>45.0</v>
      </c>
      <c r="O22" s="36">
        <v>14.0</v>
      </c>
      <c r="P22" s="36">
        <v>21.0</v>
      </c>
      <c r="Q22" s="36">
        <v>0.27</v>
      </c>
      <c r="R22" s="36">
        <v>1.12</v>
      </c>
      <c r="S22" s="36">
        <v>3.04</v>
      </c>
      <c r="T22" s="36">
        <v>4.15</v>
      </c>
      <c r="U22" s="21">
        <f t="shared" si="1"/>
        <v>4150</v>
      </c>
      <c r="V22" s="21">
        <f t="shared" si="2"/>
        <v>8100</v>
      </c>
    </row>
    <row r="23" ht="14.25" customHeight="1">
      <c r="A23" s="38">
        <v>0.14722222222222223</v>
      </c>
      <c r="B23" s="36">
        <v>27.0</v>
      </c>
      <c r="C23" s="36">
        <v>7.3</v>
      </c>
      <c r="D23" s="36">
        <v>583.0</v>
      </c>
      <c r="E23" s="36">
        <v>550.0</v>
      </c>
      <c r="F23" s="36">
        <v>0.94</v>
      </c>
      <c r="G23" s="36">
        <v>15.0</v>
      </c>
      <c r="H23" s="36">
        <v>0.97</v>
      </c>
      <c r="I23" s="36">
        <v>14.3</v>
      </c>
      <c r="J23" s="36">
        <v>90.5</v>
      </c>
      <c r="K23" s="36">
        <v>101.0</v>
      </c>
      <c r="L23" s="36">
        <v>43.2</v>
      </c>
      <c r="M23" s="36">
        <v>98.0</v>
      </c>
      <c r="N23" s="36">
        <v>44.0</v>
      </c>
      <c r="O23" s="36">
        <v>15.0</v>
      </c>
      <c r="P23" s="36">
        <v>21.0</v>
      </c>
      <c r="Q23" s="36">
        <v>0.29</v>
      </c>
      <c r="R23" s="36">
        <v>1.17</v>
      </c>
      <c r="S23" s="36">
        <v>2.89</v>
      </c>
      <c r="T23" s="36">
        <v>4.06</v>
      </c>
      <c r="U23" s="21">
        <f t="shared" si="1"/>
        <v>4060</v>
      </c>
      <c r="V23" s="21">
        <f t="shared" si="2"/>
        <v>1600</v>
      </c>
    </row>
    <row r="24" ht="14.25" customHeight="1">
      <c r="A24" s="38">
        <v>0.15</v>
      </c>
      <c r="B24" s="36">
        <v>28.0</v>
      </c>
      <c r="C24" s="36">
        <v>7.0</v>
      </c>
      <c r="D24" s="36">
        <v>559.0</v>
      </c>
      <c r="E24" s="36">
        <v>527.0</v>
      </c>
      <c r="F24" s="36">
        <v>0.94</v>
      </c>
      <c r="G24" s="36">
        <v>15.0</v>
      </c>
      <c r="H24" s="36">
        <v>0.92</v>
      </c>
      <c r="I24" s="36">
        <v>13.8</v>
      </c>
      <c r="J24" s="36">
        <v>90.9</v>
      </c>
      <c r="K24" s="36">
        <v>102.0</v>
      </c>
      <c r="L24" s="36">
        <v>43.0</v>
      </c>
      <c r="M24" s="36">
        <v>98.0</v>
      </c>
      <c r="N24" s="36">
        <v>44.0</v>
      </c>
      <c r="O24" s="36">
        <v>15.0</v>
      </c>
      <c r="P24" s="36">
        <v>20.0</v>
      </c>
      <c r="Q24" s="36">
        <v>0.29</v>
      </c>
      <c r="R24" s="36">
        <v>1.15</v>
      </c>
      <c r="S24" s="36">
        <v>2.87</v>
      </c>
      <c r="T24" s="36">
        <v>4.02</v>
      </c>
      <c r="U24" s="21">
        <f t="shared" si="1"/>
        <v>4020</v>
      </c>
      <c r="V24" s="21">
        <f t="shared" si="2"/>
        <v>400</v>
      </c>
    </row>
    <row r="25" ht="14.25" customHeight="1">
      <c r="A25" s="38">
        <v>0.1527777777777778</v>
      </c>
      <c r="B25" s="36">
        <v>30.0</v>
      </c>
      <c r="C25" s="36">
        <v>6.8</v>
      </c>
      <c r="D25" s="36">
        <v>548.0</v>
      </c>
      <c r="E25" s="36">
        <v>514.0</v>
      </c>
      <c r="F25" s="36">
        <v>0.94</v>
      </c>
      <c r="G25" s="36">
        <v>15.0</v>
      </c>
      <c r="H25" s="36">
        <v>0.9</v>
      </c>
      <c r="I25" s="36">
        <v>13.4</v>
      </c>
      <c r="J25" s="36">
        <v>91.1</v>
      </c>
      <c r="K25" s="36">
        <v>99.0</v>
      </c>
      <c r="L25" s="36">
        <v>44.1</v>
      </c>
      <c r="M25" s="36">
        <v>98.0</v>
      </c>
      <c r="N25" s="36">
        <v>44.0</v>
      </c>
      <c r="O25" s="36">
        <v>15.0</v>
      </c>
      <c r="P25" s="36">
        <v>20.0</v>
      </c>
      <c r="Q25" s="36">
        <v>0.29</v>
      </c>
      <c r="R25" s="36">
        <v>1.15</v>
      </c>
      <c r="S25" s="36">
        <v>2.89</v>
      </c>
      <c r="T25" s="36">
        <v>4.04</v>
      </c>
      <c r="U25" s="21">
        <f t="shared" si="1"/>
        <v>4040</v>
      </c>
      <c r="V25" s="21">
        <f t="shared" si="2"/>
        <v>900</v>
      </c>
    </row>
    <row r="26" ht="14.25" customHeight="1">
      <c r="A26" s="38">
        <v>0.15555555555555556</v>
      </c>
      <c r="B26" s="36">
        <v>32.0</v>
      </c>
      <c r="C26" s="36">
        <v>6.6</v>
      </c>
      <c r="D26" s="36">
        <v>530.0</v>
      </c>
      <c r="E26" s="36">
        <v>504.0</v>
      </c>
      <c r="F26" s="36">
        <v>0.95</v>
      </c>
      <c r="G26" s="36">
        <v>15.0</v>
      </c>
      <c r="H26" s="36">
        <v>0.88</v>
      </c>
      <c r="I26" s="36">
        <v>13.1</v>
      </c>
      <c r="J26" s="36">
        <v>91.3</v>
      </c>
      <c r="K26" s="36">
        <v>99.0</v>
      </c>
      <c r="L26" s="36">
        <v>44.4</v>
      </c>
      <c r="M26" s="36">
        <v>98.0</v>
      </c>
      <c r="N26" s="36">
        <v>44.0</v>
      </c>
      <c r="O26" s="36">
        <v>15.0</v>
      </c>
      <c r="P26" s="36">
        <v>19.0</v>
      </c>
      <c r="Q26" s="36">
        <v>0.29</v>
      </c>
      <c r="R26" s="36">
        <v>1.16</v>
      </c>
      <c r="S26" s="36">
        <v>2.85</v>
      </c>
      <c r="T26" s="36">
        <v>4.01</v>
      </c>
      <c r="U26" s="21">
        <f t="shared" si="1"/>
        <v>4010</v>
      </c>
      <c r="V26" s="21">
        <f t="shared" si="2"/>
        <v>14400</v>
      </c>
    </row>
    <row r="27" ht="14.25" customHeight="1">
      <c r="A27" s="38">
        <v>0.15763888888888888</v>
      </c>
      <c r="B27" s="36">
        <v>33.0</v>
      </c>
      <c r="C27" s="36">
        <v>6.5</v>
      </c>
      <c r="D27" s="36">
        <v>524.0</v>
      </c>
      <c r="E27" s="36">
        <v>503.0</v>
      </c>
      <c r="F27" s="36">
        <v>0.96</v>
      </c>
      <c r="G27" s="36">
        <v>15.0</v>
      </c>
      <c r="H27" s="36">
        <v>0.85</v>
      </c>
      <c r="I27" s="36">
        <v>13.1</v>
      </c>
      <c r="J27" s="36">
        <v>91.4</v>
      </c>
      <c r="K27" s="36">
        <v>98.0</v>
      </c>
      <c r="L27" s="36">
        <v>44.9</v>
      </c>
      <c r="M27" s="36">
        <v>97.0</v>
      </c>
      <c r="N27" s="36">
        <v>44.0</v>
      </c>
      <c r="O27" s="36">
        <v>15.0</v>
      </c>
      <c r="P27" s="36">
        <v>19.0</v>
      </c>
      <c r="Q27" s="36">
        <v>0.29</v>
      </c>
      <c r="R27" s="36">
        <v>1.11</v>
      </c>
      <c r="S27" s="36">
        <v>2.78</v>
      </c>
      <c r="T27" s="36">
        <v>3.89</v>
      </c>
      <c r="U27" s="21">
        <f t="shared" si="1"/>
        <v>3890</v>
      </c>
      <c r="V27" s="21">
        <f t="shared" si="2"/>
        <v>0</v>
      </c>
    </row>
    <row r="28" ht="14.25" customHeight="1">
      <c r="A28" s="38">
        <v>0.16041666666666668</v>
      </c>
      <c r="B28" s="36">
        <v>35.0</v>
      </c>
      <c r="C28" s="36">
        <v>6.5</v>
      </c>
      <c r="D28" s="36">
        <v>524.0</v>
      </c>
      <c r="E28" s="36">
        <v>503.0</v>
      </c>
      <c r="F28" s="36">
        <v>0.96</v>
      </c>
      <c r="G28" s="36">
        <v>15.0</v>
      </c>
      <c r="H28" s="36">
        <v>0.85</v>
      </c>
      <c r="I28" s="36">
        <v>13.1</v>
      </c>
      <c r="J28" s="36">
        <v>91.4</v>
      </c>
      <c r="K28" s="36">
        <v>94.0</v>
      </c>
      <c r="L28" s="36">
        <v>47.2</v>
      </c>
      <c r="M28" s="36">
        <v>97.0</v>
      </c>
      <c r="N28" s="36">
        <v>44.0</v>
      </c>
      <c r="O28" s="36">
        <v>15.0</v>
      </c>
      <c r="P28" s="36">
        <v>19.0</v>
      </c>
      <c r="Q28" s="36">
        <v>0.29</v>
      </c>
      <c r="R28" s="36">
        <v>1.11</v>
      </c>
      <c r="S28" s="36">
        <v>2.78</v>
      </c>
      <c r="T28" s="36">
        <v>3.89</v>
      </c>
      <c r="U28" s="21">
        <f t="shared" si="1"/>
        <v>3890</v>
      </c>
      <c r="V28" s="21">
        <f t="shared" si="2"/>
        <v>0</v>
      </c>
    </row>
    <row r="29" ht="14.25" customHeight="1">
      <c r="A29" s="38">
        <v>0.16319444444444445</v>
      </c>
      <c r="B29" s="36">
        <v>36.0</v>
      </c>
      <c r="C29" s="36">
        <v>6.8</v>
      </c>
      <c r="D29" s="36">
        <v>543.0</v>
      </c>
      <c r="E29" s="36">
        <v>520.0</v>
      </c>
      <c r="F29" s="36">
        <v>0.96</v>
      </c>
      <c r="G29" s="36">
        <v>15.0</v>
      </c>
      <c r="H29" s="36">
        <v>0.87</v>
      </c>
      <c r="I29" s="36">
        <v>13.4</v>
      </c>
      <c r="J29" s="36">
        <v>91.1</v>
      </c>
      <c r="K29" s="36">
        <v>99.0</v>
      </c>
      <c r="L29" s="36">
        <v>44.6</v>
      </c>
      <c r="M29" s="36">
        <v>97.0</v>
      </c>
      <c r="N29" s="36">
        <v>45.0</v>
      </c>
      <c r="O29" s="36">
        <v>15.0</v>
      </c>
      <c r="P29" s="36">
        <v>19.0</v>
      </c>
      <c r="Q29" s="36">
        <v>0.29</v>
      </c>
      <c r="R29" s="36">
        <v>1.12</v>
      </c>
      <c r="S29" s="36">
        <v>2.77</v>
      </c>
      <c r="T29" s="36">
        <v>3.89</v>
      </c>
      <c r="U29" s="21">
        <f t="shared" si="1"/>
        <v>3890</v>
      </c>
      <c r="V29" s="21">
        <f t="shared" si="2"/>
        <v>100</v>
      </c>
    </row>
    <row r="30" ht="14.25" customHeight="1">
      <c r="A30" s="38">
        <v>0.16666666666666666</v>
      </c>
      <c r="B30" s="36">
        <v>39.0</v>
      </c>
      <c r="C30" s="36">
        <v>6.6</v>
      </c>
      <c r="D30" s="36">
        <v>529.0</v>
      </c>
      <c r="E30" s="36">
        <v>504.0</v>
      </c>
      <c r="F30" s="36">
        <v>0.95</v>
      </c>
      <c r="G30" s="36">
        <v>15.0</v>
      </c>
      <c r="H30" s="36">
        <v>0.84</v>
      </c>
      <c r="I30" s="36">
        <v>13.0</v>
      </c>
      <c r="J30" s="36">
        <v>91.4</v>
      </c>
      <c r="K30" s="36">
        <v>95.0</v>
      </c>
      <c r="L30" s="36">
        <v>46.4</v>
      </c>
      <c r="M30" s="36">
        <v>97.0</v>
      </c>
      <c r="N30" s="36">
        <v>45.0</v>
      </c>
      <c r="O30" s="36">
        <v>15.0</v>
      </c>
      <c r="P30" s="36">
        <v>19.0</v>
      </c>
      <c r="Q30" s="36">
        <v>0.29</v>
      </c>
      <c r="R30" s="36">
        <v>1.12</v>
      </c>
      <c r="S30" s="36">
        <v>2.76</v>
      </c>
      <c r="T30" s="36">
        <v>3.88</v>
      </c>
      <c r="U30" s="21">
        <f t="shared" si="1"/>
        <v>3880</v>
      </c>
      <c r="V30" s="21">
        <f t="shared" si="2"/>
        <v>2500</v>
      </c>
    </row>
    <row r="31" ht="14.25" customHeight="1">
      <c r="A31" s="38">
        <v>0.1701388888888889</v>
      </c>
      <c r="B31" s="36">
        <v>41.0</v>
      </c>
      <c r="C31" s="36">
        <v>6.9</v>
      </c>
      <c r="D31" s="36">
        <v>553.0</v>
      </c>
      <c r="E31" s="36">
        <v>523.0</v>
      </c>
      <c r="F31" s="36">
        <v>0.95</v>
      </c>
      <c r="G31" s="36">
        <v>16.0</v>
      </c>
      <c r="H31" s="36">
        <v>0.86</v>
      </c>
      <c r="I31" s="36">
        <v>13.5</v>
      </c>
      <c r="J31" s="36">
        <v>91.1</v>
      </c>
      <c r="K31" s="36">
        <v>98.0</v>
      </c>
      <c r="L31" s="36">
        <v>45.1</v>
      </c>
      <c r="M31" s="36">
        <v>96.0</v>
      </c>
      <c r="N31" s="36">
        <v>45.0</v>
      </c>
      <c r="O31" s="36">
        <v>16.0</v>
      </c>
      <c r="P31" s="36">
        <v>20.0</v>
      </c>
      <c r="Q31" s="36">
        <v>0.29</v>
      </c>
      <c r="R31" s="36">
        <v>1.12</v>
      </c>
      <c r="S31" s="36">
        <v>2.71</v>
      </c>
      <c r="T31" s="36">
        <v>3.83</v>
      </c>
      <c r="U31" s="21">
        <f t="shared" si="1"/>
        <v>3830</v>
      </c>
      <c r="V31" s="21">
        <f t="shared" si="2"/>
        <v>400</v>
      </c>
    </row>
    <row r="32" ht="14.25" customHeight="1">
      <c r="A32" s="38">
        <v>0.17222222222222222</v>
      </c>
      <c r="B32" s="36">
        <v>42.0</v>
      </c>
      <c r="C32" s="36">
        <v>7.2</v>
      </c>
      <c r="D32" s="36">
        <v>575.0</v>
      </c>
      <c r="E32" s="36">
        <v>541.0</v>
      </c>
      <c r="F32" s="36">
        <v>0.94</v>
      </c>
      <c r="G32" s="36">
        <v>16.0</v>
      </c>
      <c r="H32" s="36">
        <v>0.89</v>
      </c>
      <c r="I32" s="36">
        <v>14.0</v>
      </c>
      <c r="J32" s="36">
        <v>90.8</v>
      </c>
      <c r="K32" s="36">
        <v>98.0</v>
      </c>
      <c r="L32" s="36">
        <v>45.1</v>
      </c>
      <c r="M32" s="36">
        <v>96.0</v>
      </c>
      <c r="N32" s="36">
        <v>45.0</v>
      </c>
      <c r="O32" s="36">
        <v>16.0</v>
      </c>
      <c r="P32" s="36">
        <v>20.0</v>
      </c>
      <c r="Q32" s="36">
        <v>0.29</v>
      </c>
      <c r="R32" s="36">
        <v>1.1</v>
      </c>
      <c r="S32" s="36">
        <v>2.71</v>
      </c>
      <c r="T32" s="36">
        <v>3.81</v>
      </c>
      <c r="U32" s="21">
        <f t="shared" si="1"/>
        <v>3810</v>
      </c>
      <c r="V32" s="21">
        <f t="shared" si="2"/>
        <v>100</v>
      </c>
    </row>
    <row r="33" ht="14.25" customHeight="1">
      <c r="A33" s="38">
        <v>0.175</v>
      </c>
      <c r="B33" s="36">
        <v>44.0</v>
      </c>
      <c r="C33" s="36">
        <v>7.4</v>
      </c>
      <c r="D33" s="36">
        <v>596.0</v>
      </c>
      <c r="E33" s="36">
        <v>551.0</v>
      </c>
      <c r="F33" s="36">
        <v>0.93</v>
      </c>
      <c r="G33" s="36">
        <v>16.0</v>
      </c>
      <c r="H33" s="36">
        <v>0.91</v>
      </c>
      <c r="I33" s="36">
        <v>14.2</v>
      </c>
      <c r="J33" s="36">
        <v>90.6</v>
      </c>
      <c r="K33" s="36">
        <v>98.0</v>
      </c>
      <c r="L33" s="36">
        <v>45.1</v>
      </c>
      <c r="M33" s="36">
        <v>96.0</v>
      </c>
      <c r="N33" s="36">
        <v>45.0</v>
      </c>
      <c r="O33" s="36">
        <v>16.0</v>
      </c>
      <c r="P33" s="36">
        <v>21.0</v>
      </c>
      <c r="Q33" s="36">
        <v>0.28</v>
      </c>
      <c r="R33" s="36">
        <v>1.09</v>
      </c>
      <c r="S33" s="36">
        <v>2.73</v>
      </c>
      <c r="T33" s="36">
        <v>3.82</v>
      </c>
      <c r="U33" s="21">
        <f t="shared" si="1"/>
        <v>3820</v>
      </c>
      <c r="V33" s="21">
        <f t="shared" si="2"/>
        <v>2500</v>
      </c>
    </row>
    <row r="34" ht="14.25" customHeight="1">
      <c r="A34" s="38">
        <v>0.17777777777777778</v>
      </c>
      <c r="B34" s="36">
        <v>45.0</v>
      </c>
      <c r="C34" s="36">
        <v>7.5</v>
      </c>
      <c r="D34" s="36">
        <v>600.0</v>
      </c>
      <c r="E34" s="36">
        <v>547.0</v>
      </c>
      <c r="F34" s="36">
        <v>0.91</v>
      </c>
      <c r="G34" s="36">
        <v>15.0</v>
      </c>
      <c r="H34" s="36">
        <v>0.92</v>
      </c>
      <c r="I34" s="36">
        <v>14.2</v>
      </c>
      <c r="J34" s="36">
        <v>90.6</v>
      </c>
      <c r="K34" s="36">
        <v>98.0</v>
      </c>
      <c r="L34" s="36">
        <v>45.1</v>
      </c>
      <c r="M34" s="36">
        <v>96.0</v>
      </c>
      <c r="N34" s="36">
        <v>44.0</v>
      </c>
      <c r="O34" s="36">
        <v>15.0</v>
      </c>
      <c r="P34" s="36">
        <v>21.0</v>
      </c>
      <c r="Q34" s="36">
        <v>0.29</v>
      </c>
      <c r="R34" s="36">
        <v>1.11</v>
      </c>
      <c r="S34" s="36">
        <v>2.76</v>
      </c>
      <c r="T34" s="36">
        <v>3.87</v>
      </c>
      <c r="U34" s="21">
        <f t="shared" si="1"/>
        <v>3870</v>
      </c>
      <c r="V34" s="21">
        <f t="shared" si="2"/>
        <v>100</v>
      </c>
    </row>
    <row r="35" ht="14.25" customHeight="1">
      <c r="A35" s="38">
        <v>0.18055555555555555</v>
      </c>
      <c r="B35" s="36">
        <v>47.0</v>
      </c>
      <c r="C35" s="36">
        <v>7.5</v>
      </c>
      <c r="D35" s="36">
        <v>601.0</v>
      </c>
      <c r="E35" s="36">
        <v>547.0</v>
      </c>
      <c r="F35" s="36">
        <v>0.91</v>
      </c>
      <c r="G35" s="36">
        <v>16.0</v>
      </c>
      <c r="H35" s="36">
        <v>0.92</v>
      </c>
      <c r="I35" s="36">
        <v>14.3</v>
      </c>
      <c r="J35" s="36">
        <v>90.6</v>
      </c>
      <c r="K35" s="36">
        <v>97.0</v>
      </c>
      <c r="L35" s="36">
        <v>45.3</v>
      </c>
      <c r="M35" s="36">
        <v>96.0</v>
      </c>
      <c r="N35" s="36">
        <v>44.0</v>
      </c>
      <c r="O35" s="36">
        <v>16.0</v>
      </c>
      <c r="P35" s="36">
        <v>21.0</v>
      </c>
      <c r="Q35" s="36">
        <v>0.28</v>
      </c>
      <c r="R35" s="36">
        <v>1.08</v>
      </c>
      <c r="S35" s="36">
        <v>2.78</v>
      </c>
      <c r="T35" s="36">
        <v>3.86</v>
      </c>
      <c r="U35" s="21">
        <f t="shared" si="1"/>
        <v>3860</v>
      </c>
      <c r="V35" s="21">
        <f t="shared" si="2"/>
        <v>400</v>
      </c>
    </row>
    <row r="36" ht="14.25" customHeight="1">
      <c r="A36" s="38">
        <v>0.18333333333333332</v>
      </c>
      <c r="B36" s="36">
        <v>48.0</v>
      </c>
      <c r="C36" s="36">
        <v>7.4</v>
      </c>
      <c r="D36" s="36">
        <v>589.0</v>
      </c>
      <c r="E36" s="36">
        <v>537.0</v>
      </c>
      <c r="F36" s="36">
        <v>0.91</v>
      </c>
      <c r="G36" s="36">
        <v>15.0</v>
      </c>
      <c r="H36" s="36">
        <v>0.91</v>
      </c>
      <c r="I36" s="36">
        <v>14.1</v>
      </c>
      <c r="J36" s="36">
        <v>90.7</v>
      </c>
      <c r="K36" s="36">
        <v>97.0</v>
      </c>
      <c r="L36" s="36">
        <v>45.7</v>
      </c>
      <c r="M36" s="36">
        <v>97.0</v>
      </c>
      <c r="N36" s="36">
        <v>44.0</v>
      </c>
      <c r="O36" s="36">
        <v>15.0</v>
      </c>
      <c r="P36" s="36">
        <v>21.0</v>
      </c>
      <c r="Q36" s="36">
        <v>0.28</v>
      </c>
      <c r="R36" s="36">
        <v>1.09</v>
      </c>
      <c r="S36" s="36">
        <v>2.79</v>
      </c>
      <c r="T36" s="36">
        <v>3.88</v>
      </c>
      <c r="U36" s="21">
        <f t="shared" si="1"/>
        <v>3880</v>
      </c>
      <c r="V36" s="21">
        <f t="shared" si="2"/>
        <v>0</v>
      </c>
    </row>
    <row r="37" ht="14.25" customHeight="1">
      <c r="A37" s="38">
        <v>0.18611111111111112</v>
      </c>
      <c r="B37" s="36">
        <v>50.0</v>
      </c>
      <c r="C37" s="36">
        <v>7.4</v>
      </c>
      <c r="D37" s="36">
        <v>589.0</v>
      </c>
      <c r="E37" s="36">
        <v>537.0</v>
      </c>
      <c r="F37" s="36">
        <v>0.91</v>
      </c>
      <c r="G37" s="36">
        <v>15.0</v>
      </c>
      <c r="H37" s="36">
        <v>0.91</v>
      </c>
      <c r="I37" s="36">
        <v>14.1</v>
      </c>
      <c r="J37" s="36">
        <v>90.7</v>
      </c>
      <c r="K37" s="36">
        <v>97.0</v>
      </c>
      <c r="L37" s="36">
        <v>45.7</v>
      </c>
      <c r="M37" s="36">
        <v>97.0</v>
      </c>
      <c r="N37" s="36">
        <v>44.0</v>
      </c>
      <c r="O37" s="36">
        <v>15.0</v>
      </c>
      <c r="P37" s="36">
        <v>21.0</v>
      </c>
      <c r="Q37" s="36">
        <v>0.28</v>
      </c>
      <c r="R37" s="36">
        <v>1.09</v>
      </c>
      <c r="S37" s="36">
        <v>2.79</v>
      </c>
      <c r="T37" s="36">
        <v>3.88</v>
      </c>
      <c r="U37" s="21">
        <f t="shared" si="1"/>
        <v>3880</v>
      </c>
      <c r="V37" s="21">
        <f t="shared" si="2"/>
        <v>900</v>
      </c>
    </row>
    <row r="38" ht="14.25" customHeight="1">
      <c r="A38" s="38">
        <v>0.18888888888888888</v>
      </c>
      <c r="B38" s="36">
        <v>52.0</v>
      </c>
      <c r="C38" s="36">
        <v>7.2</v>
      </c>
      <c r="D38" s="36">
        <v>578.0</v>
      </c>
      <c r="E38" s="36">
        <v>529.0</v>
      </c>
      <c r="F38" s="36">
        <v>0.92</v>
      </c>
      <c r="G38" s="36">
        <v>15.0</v>
      </c>
      <c r="H38" s="36">
        <v>0.91</v>
      </c>
      <c r="I38" s="36">
        <v>13.9</v>
      </c>
      <c r="J38" s="36">
        <v>90.8</v>
      </c>
      <c r="K38" s="36">
        <v>97.0</v>
      </c>
      <c r="L38" s="36">
        <v>45.5</v>
      </c>
      <c r="M38" s="36">
        <v>97.0</v>
      </c>
      <c r="N38" s="36">
        <v>44.0</v>
      </c>
      <c r="O38" s="36">
        <v>15.0</v>
      </c>
      <c r="P38" s="36">
        <v>21.0</v>
      </c>
      <c r="Q38" s="36">
        <v>0.29</v>
      </c>
      <c r="R38" s="36">
        <v>1.12</v>
      </c>
      <c r="S38" s="36">
        <v>2.79</v>
      </c>
      <c r="T38" s="36">
        <v>3.91</v>
      </c>
      <c r="U38" s="21">
        <f t="shared" si="1"/>
        <v>3910</v>
      </c>
      <c r="V38" s="21">
        <f t="shared" si="2"/>
        <v>400</v>
      </c>
    </row>
    <row r="39" ht="14.25" customHeight="1">
      <c r="A39" s="38">
        <v>0.19166666666666668</v>
      </c>
      <c r="B39" s="36">
        <v>53.0</v>
      </c>
      <c r="C39" s="36">
        <v>7.1</v>
      </c>
      <c r="D39" s="36">
        <v>570.0</v>
      </c>
      <c r="E39" s="36">
        <v>521.0</v>
      </c>
      <c r="F39" s="36">
        <v>0.91</v>
      </c>
      <c r="G39" s="36">
        <v>15.0</v>
      </c>
      <c r="H39" s="36">
        <v>0.89</v>
      </c>
      <c r="I39" s="36">
        <v>13.7</v>
      </c>
      <c r="J39" s="36">
        <v>91.0</v>
      </c>
      <c r="K39" s="36">
        <v>98.0</v>
      </c>
      <c r="L39" s="36">
        <v>44.7</v>
      </c>
      <c r="M39" s="36">
        <v>96.0</v>
      </c>
      <c r="N39" s="36">
        <v>44.0</v>
      </c>
      <c r="O39" s="36">
        <v>15.0</v>
      </c>
      <c r="P39" s="36">
        <v>20.0</v>
      </c>
      <c r="Q39" s="36">
        <v>0.29</v>
      </c>
      <c r="R39" s="36">
        <v>1.13</v>
      </c>
      <c r="S39" s="36">
        <v>2.77</v>
      </c>
      <c r="T39" s="36">
        <v>3.89</v>
      </c>
      <c r="U39" s="21">
        <f t="shared" si="1"/>
        <v>3890</v>
      </c>
      <c r="V39" s="21">
        <f t="shared" si="2"/>
        <v>3600</v>
      </c>
    </row>
    <row r="40" ht="14.25" customHeight="1">
      <c r="A40" s="38">
        <v>0.19444444444444445</v>
      </c>
      <c r="B40" s="36">
        <v>55.0</v>
      </c>
      <c r="C40" s="36">
        <v>7.2</v>
      </c>
      <c r="D40" s="36">
        <v>576.0</v>
      </c>
      <c r="E40" s="36">
        <v>520.0</v>
      </c>
      <c r="F40" s="36">
        <v>0.9</v>
      </c>
      <c r="G40" s="36">
        <v>15.0</v>
      </c>
      <c r="H40" s="36">
        <v>0.89</v>
      </c>
      <c r="I40" s="36">
        <v>13.5</v>
      </c>
      <c r="J40" s="36">
        <v>91.1</v>
      </c>
      <c r="K40" s="36">
        <v>100.0</v>
      </c>
      <c r="L40" s="36">
        <v>43.9</v>
      </c>
      <c r="M40" s="36">
        <v>96.0</v>
      </c>
      <c r="N40" s="36">
        <v>45.0</v>
      </c>
      <c r="O40" s="36">
        <v>15.0</v>
      </c>
      <c r="P40" s="36">
        <v>20.0</v>
      </c>
      <c r="Q40" s="36">
        <v>0.28</v>
      </c>
      <c r="R40" s="36">
        <v>1.1</v>
      </c>
      <c r="S40" s="36">
        <v>2.85</v>
      </c>
      <c r="T40" s="36">
        <v>3.95</v>
      </c>
      <c r="U40" s="21">
        <f t="shared" si="1"/>
        <v>3950</v>
      </c>
      <c r="V40" s="21">
        <f t="shared" si="2"/>
        <v>100</v>
      </c>
    </row>
    <row r="41" ht="14.25" customHeight="1">
      <c r="A41" s="38">
        <v>0.19722222222222222</v>
      </c>
      <c r="B41" s="36">
        <v>57.0</v>
      </c>
      <c r="C41" s="36">
        <v>7.3</v>
      </c>
      <c r="D41" s="36">
        <v>588.0</v>
      </c>
      <c r="E41" s="36">
        <v>528.0</v>
      </c>
      <c r="F41" s="36">
        <v>0.9</v>
      </c>
      <c r="G41" s="36">
        <v>15.0</v>
      </c>
      <c r="H41" s="36">
        <v>0.9</v>
      </c>
      <c r="I41" s="36">
        <v>13.7</v>
      </c>
      <c r="J41" s="36">
        <v>91.0</v>
      </c>
      <c r="K41" s="36">
        <v>100.0</v>
      </c>
      <c r="L41" s="36">
        <v>44.0</v>
      </c>
      <c r="M41" s="36">
        <v>96.0</v>
      </c>
      <c r="N41" s="36">
        <v>45.0</v>
      </c>
      <c r="O41" s="36">
        <v>15.0</v>
      </c>
      <c r="P41" s="36">
        <v>21.0</v>
      </c>
      <c r="Q41" s="36">
        <v>0.27</v>
      </c>
      <c r="R41" s="36">
        <v>1.08</v>
      </c>
      <c r="S41" s="36">
        <v>2.87</v>
      </c>
      <c r="T41" s="36">
        <v>3.96</v>
      </c>
      <c r="U41" s="21">
        <f t="shared" si="1"/>
        <v>3960</v>
      </c>
      <c r="V41" s="21">
        <f t="shared" si="2"/>
        <v>100</v>
      </c>
    </row>
    <row r="42" ht="14.25" customHeight="1">
      <c r="A42" s="38">
        <v>0.2</v>
      </c>
      <c r="B42" s="36">
        <v>58.0</v>
      </c>
      <c r="C42" s="36">
        <v>7.5</v>
      </c>
      <c r="D42" s="36">
        <v>603.0</v>
      </c>
      <c r="E42" s="36">
        <v>540.0</v>
      </c>
      <c r="F42" s="36">
        <v>0.9</v>
      </c>
      <c r="G42" s="36">
        <v>15.0</v>
      </c>
      <c r="H42" s="36">
        <v>0.92</v>
      </c>
      <c r="I42" s="36">
        <v>14.0</v>
      </c>
      <c r="J42" s="36">
        <v>90.8</v>
      </c>
      <c r="K42" s="36">
        <v>102.0</v>
      </c>
      <c r="L42" s="36">
        <v>42.6</v>
      </c>
      <c r="M42" s="36">
        <v>96.0</v>
      </c>
      <c r="N42" s="36">
        <v>45.0</v>
      </c>
      <c r="O42" s="36">
        <v>15.0</v>
      </c>
      <c r="P42" s="36">
        <v>21.0</v>
      </c>
      <c r="Q42" s="36">
        <v>0.28</v>
      </c>
      <c r="R42" s="36">
        <v>1.11</v>
      </c>
      <c r="S42" s="36">
        <v>2.86</v>
      </c>
      <c r="T42" s="36">
        <v>3.97</v>
      </c>
      <c r="U42" s="21">
        <f t="shared" si="1"/>
        <v>3970</v>
      </c>
      <c r="V42" s="21">
        <f t="shared" si="2"/>
        <v>3600</v>
      </c>
    </row>
    <row r="43" ht="14.25" customHeight="1">
      <c r="A43" s="38">
        <v>0.20277777777777778</v>
      </c>
      <c r="B43" s="36">
        <v>60.0</v>
      </c>
      <c r="C43" s="36">
        <v>7.8</v>
      </c>
      <c r="D43" s="36">
        <v>621.0</v>
      </c>
      <c r="E43" s="36">
        <v>555.0</v>
      </c>
      <c r="F43" s="36">
        <v>0.89</v>
      </c>
      <c r="G43" s="36">
        <v>15.0</v>
      </c>
      <c r="H43" s="36">
        <v>0.96</v>
      </c>
      <c r="I43" s="36">
        <v>14.3</v>
      </c>
      <c r="J43" s="36">
        <v>90.5</v>
      </c>
      <c r="K43" s="36">
        <v>100.0</v>
      </c>
      <c r="L43" s="36">
        <v>43.6</v>
      </c>
      <c r="M43" s="36">
        <v>96.0</v>
      </c>
      <c r="N43" s="36">
        <v>45.0</v>
      </c>
      <c r="O43" s="36">
        <v>15.0</v>
      </c>
      <c r="P43" s="36">
        <v>22.0</v>
      </c>
      <c r="Q43" s="36">
        <v>0.28</v>
      </c>
      <c r="R43" s="36">
        <v>1.12</v>
      </c>
      <c r="S43" s="36">
        <v>2.91</v>
      </c>
      <c r="T43" s="36">
        <v>4.03</v>
      </c>
      <c r="U43" s="21">
        <f t="shared" si="1"/>
        <v>4030</v>
      </c>
      <c r="V43" s="21">
        <f t="shared" si="2"/>
        <v>0</v>
      </c>
    </row>
    <row r="44" ht="14.25" customHeight="1">
      <c r="A44" s="38">
        <v>0.20555555555555555</v>
      </c>
      <c r="B44" s="36">
        <v>62.0</v>
      </c>
      <c r="C44" s="36">
        <v>8.0</v>
      </c>
      <c r="D44" s="36">
        <v>638.0</v>
      </c>
      <c r="E44" s="36">
        <v>569.0</v>
      </c>
      <c r="F44" s="36">
        <v>0.89</v>
      </c>
      <c r="G44" s="36">
        <v>15.0</v>
      </c>
      <c r="H44" s="36">
        <v>0.98</v>
      </c>
      <c r="I44" s="36">
        <v>14.7</v>
      </c>
      <c r="J44" s="36">
        <v>90.3</v>
      </c>
      <c r="K44" s="36">
        <v>102.0</v>
      </c>
      <c r="L44" s="36">
        <v>42.8</v>
      </c>
      <c r="M44" s="36">
        <v>96.0</v>
      </c>
      <c r="N44" s="36">
        <v>45.0</v>
      </c>
      <c r="O44" s="36">
        <v>15.0</v>
      </c>
      <c r="P44" s="36">
        <v>23.0</v>
      </c>
      <c r="Q44" s="36">
        <v>0.28</v>
      </c>
      <c r="R44" s="36">
        <v>1.13</v>
      </c>
      <c r="S44" s="36">
        <v>2.9</v>
      </c>
      <c r="T44" s="36">
        <v>4.03</v>
      </c>
      <c r="U44" s="21">
        <f t="shared" si="1"/>
        <v>4030</v>
      </c>
      <c r="V44" s="21">
        <f t="shared" si="2"/>
        <v>14400</v>
      </c>
    </row>
    <row r="45" ht="14.25" customHeight="1">
      <c r="A45" s="38">
        <v>0.2076388888888889</v>
      </c>
      <c r="B45" s="36">
        <v>63.0</v>
      </c>
      <c r="C45" s="36">
        <v>8.2</v>
      </c>
      <c r="D45" s="36">
        <v>653.0</v>
      </c>
      <c r="E45" s="36">
        <v>580.0</v>
      </c>
      <c r="F45" s="36">
        <v>0.89</v>
      </c>
      <c r="G45" s="36">
        <v>15.0</v>
      </c>
      <c r="H45" s="36">
        <v>0.97</v>
      </c>
      <c r="I45" s="36">
        <v>14.9</v>
      </c>
      <c r="J45" s="36">
        <v>90.1</v>
      </c>
      <c r="K45" s="36">
        <v>103.0</v>
      </c>
      <c r="L45" s="36">
        <v>42.3</v>
      </c>
      <c r="M45" s="36">
        <v>95.0</v>
      </c>
      <c r="N45" s="36">
        <v>45.0</v>
      </c>
      <c r="O45" s="36">
        <v>15.0</v>
      </c>
      <c r="P45" s="36">
        <v>23.0</v>
      </c>
      <c r="Q45" s="36">
        <v>0.28</v>
      </c>
      <c r="R45" s="36">
        <v>1.1</v>
      </c>
      <c r="S45" s="36">
        <v>2.81</v>
      </c>
      <c r="T45" s="36">
        <v>3.91</v>
      </c>
      <c r="U45" s="21">
        <f t="shared" si="1"/>
        <v>3910</v>
      </c>
      <c r="V45" s="21">
        <f t="shared" si="2"/>
        <v>19600</v>
      </c>
    </row>
    <row r="46" ht="14.25" customHeight="1">
      <c r="A46" s="38">
        <v>0.21041666666666667</v>
      </c>
      <c r="B46" s="36">
        <v>65.0</v>
      </c>
      <c r="C46" s="36">
        <v>8.3</v>
      </c>
      <c r="D46" s="36">
        <v>668.0</v>
      </c>
      <c r="E46" s="36">
        <v>599.0</v>
      </c>
      <c r="F46" s="36">
        <v>0.9</v>
      </c>
      <c r="G46" s="36">
        <v>16.0</v>
      </c>
      <c r="H46" s="36">
        <v>0.98</v>
      </c>
      <c r="I46" s="36">
        <v>15.6</v>
      </c>
      <c r="J46" s="36">
        <v>89.7</v>
      </c>
      <c r="K46" s="36">
        <v>102.0</v>
      </c>
      <c r="L46" s="36">
        <v>42.7</v>
      </c>
      <c r="M46" s="36">
        <v>96.0</v>
      </c>
      <c r="N46" s="36">
        <v>44.0</v>
      </c>
      <c r="O46" s="36">
        <v>16.0</v>
      </c>
      <c r="P46" s="36">
        <v>24.0</v>
      </c>
      <c r="Q46" s="36">
        <v>0.3</v>
      </c>
      <c r="R46" s="36">
        <v>1.12</v>
      </c>
      <c r="S46" s="36">
        <v>2.64</v>
      </c>
      <c r="T46" s="36">
        <v>3.77</v>
      </c>
      <c r="U46" s="21">
        <f t="shared" si="1"/>
        <v>3770</v>
      </c>
      <c r="V46" s="21">
        <f t="shared" si="2"/>
        <v>0</v>
      </c>
    </row>
    <row r="47" ht="14.25" customHeight="1">
      <c r="A47" s="38">
        <v>0.21319444444444444</v>
      </c>
      <c r="B47" s="36">
        <v>66.0</v>
      </c>
      <c r="C47" s="36">
        <v>8.3</v>
      </c>
      <c r="D47" s="36">
        <v>668.0</v>
      </c>
      <c r="E47" s="36">
        <v>599.0</v>
      </c>
      <c r="F47" s="36">
        <v>0.9</v>
      </c>
      <c r="G47" s="36">
        <v>16.0</v>
      </c>
      <c r="H47" s="36">
        <v>0.98</v>
      </c>
      <c r="I47" s="36">
        <v>15.6</v>
      </c>
      <c r="J47" s="36">
        <v>89.7</v>
      </c>
      <c r="K47" s="36">
        <v>102.0</v>
      </c>
      <c r="L47" s="36">
        <v>42.5</v>
      </c>
      <c r="M47" s="36">
        <v>96.0</v>
      </c>
      <c r="N47" s="36">
        <v>44.0</v>
      </c>
      <c r="O47" s="36">
        <v>16.0</v>
      </c>
      <c r="P47" s="36">
        <v>24.0</v>
      </c>
      <c r="Q47" s="36">
        <v>0.3</v>
      </c>
      <c r="R47" s="36">
        <v>1.12</v>
      </c>
      <c r="S47" s="36">
        <v>2.64</v>
      </c>
      <c r="T47" s="36">
        <v>3.77</v>
      </c>
      <c r="U47" s="21">
        <f t="shared" si="1"/>
        <v>3770</v>
      </c>
      <c r="V47" s="21">
        <f t="shared" si="2"/>
        <v>0</v>
      </c>
    </row>
    <row r="48" ht="14.25" customHeight="1">
      <c r="A48" s="38">
        <v>0.2152777777777778</v>
      </c>
      <c r="B48" s="36">
        <v>68.0</v>
      </c>
      <c r="C48" s="36">
        <v>8.3</v>
      </c>
      <c r="D48" s="36">
        <v>668.0</v>
      </c>
      <c r="E48" s="36">
        <v>599.0</v>
      </c>
      <c r="F48" s="36">
        <v>0.9</v>
      </c>
      <c r="G48" s="36">
        <v>16.0</v>
      </c>
      <c r="H48" s="36">
        <v>0.98</v>
      </c>
      <c r="I48" s="36">
        <v>15.6</v>
      </c>
      <c r="J48" s="36">
        <v>89.7</v>
      </c>
      <c r="K48" s="36">
        <v>104.0</v>
      </c>
      <c r="L48" s="36">
        <v>41.8</v>
      </c>
      <c r="M48" s="36">
        <v>96.0</v>
      </c>
      <c r="N48" s="36">
        <v>44.0</v>
      </c>
      <c r="O48" s="36">
        <v>16.0</v>
      </c>
      <c r="P48" s="36">
        <v>24.0</v>
      </c>
      <c r="Q48" s="36">
        <v>0.3</v>
      </c>
      <c r="R48" s="36">
        <v>1.12</v>
      </c>
      <c r="S48" s="36">
        <v>2.64</v>
      </c>
      <c r="T48" s="36">
        <v>3.77</v>
      </c>
      <c r="U48" s="21">
        <f t="shared" si="1"/>
        <v>3770</v>
      </c>
      <c r="V48" s="21">
        <f t="shared" si="2"/>
        <v>100</v>
      </c>
    </row>
    <row r="49" ht="14.25" customHeight="1">
      <c r="A49" s="38">
        <v>0.21805555555555556</v>
      </c>
      <c r="B49" s="36">
        <v>70.0</v>
      </c>
      <c r="C49" s="36">
        <v>8.3</v>
      </c>
      <c r="D49" s="36">
        <v>666.0</v>
      </c>
      <c r="E49" s="36">
        <v>598.0</v>
      </c>
      <c r="F49" s="36">
        <v>0.9</v>
      </c>
      <c r="G49" s="36">
        <v>16.0</v>
      </c>
      <c r="H49" s="36">
        <v>0.98</v>
      </c>
      <c r="I49" s="36">
        <v>15.6</v>
      </c>
      <c r="J49" s="36">
        <v>89.7</v>
      </c>
      <c r="K49" s="36">
        <v>103.0</v>
      </c>
      <c r="L49" s="36">
        <v>42.0</v>
      </c>
      <c r="M49" s="36">
        <v>96.0</v>
      </c>
      <c r="N49" s="36">
        <v>44.0</v>
      </c>
      <c r="O49" s="36">
        <v>16.0</v>
      </c>
      <c r="P49" s="36">
        <v>24.0</v>
      </c>
      <c r="Q49" s="36">
        <v>0.3</v>
      </c>
      <c r="R49" s="36">
        <v>1.14</v>
      </c>
      <c r="S49" s="36">
        <v>2.62</v>
      </c>
      <c r="T49" s="36">
        <v>3.76</v>
      </c>
      <c r="U49" s="21">
        <f t="shared" si="1"/>
        <v>3760</v>
      </c>
      <c r="V49" s="21">
        <f t="shared" si="2"/>
        <v>4900</v>
      </c>
    </row>
    <row r="50" ht="14.25" customHeight="1">
      <c r="A50" s="38">
        <v>0.22083333333333333</v>
      </c>
      <c r="B50" s="36">
        <v>71.0</v>
      </c>
      <c r="C50" s="36">
        <v>8.3</v>
      </c>
      <c r="D50" s="36">
        <v>667.0</v>
      </c>
      <c r="E50" s="36">
        <v>598.0</v>
      </c>
      <c r="F50" s="36">
        <v>0.9</v>
      </c>
      <c r="G50" s="36">
        <v>16.0</v>
      </c>
      <c r="H50" s="36">
        <v>0.96</v>
      </c>
      <c r="I50" s="36">
        <v>15.7</v>
      </c>
      <c r="J50" s="36">
        <v>89.6</v>
      </c>
      <c r="K50" s="36">
        <v>103.0</v>
      </c>
      <c r="L50" s="36">
        <v>42.2</v>
      </c>
      <c r="M50" s="36">
        <v>96.0</v>
      </c>
      <c r="N50" s="36">
        <v>44.0</v>
      </c>
      <c r="O50" s="36">
        <v>16.0</v>
      </c>
      <c r="P50" s="36">
        <v>24.0</v>
      </c>
      <c r="Q50" s="36">
        <v>0.3</v>
      </c>
      <c r="R50" s="36">
        <v>1.1</v>
      </c>
      <c r="S50" s="36">
        <v>2.6</v>
      </c>
      <c r="T50" s="36">
        <v>3.69</v>
      </c>
      <c r="U50" s="21">
        <f t="shared" si="1"/>
        <v>3690</v>
      </c>
      <c r="V50" s="21">
        <f t="shared" si="2"/>
        <v>900</v>
      </c>
    </row>
    <row r="51" ht="14.25" customHeight="1">
      <c r="A51" s="38">
        <v>0.22361111111111112</v>
      </c>
      <c r="B51" s="36">
        <v>73.0</v>
      </c>
      <c r="C51" s="36">
        <v>8.4</v>
      </c>
      <c r="D51" s="36">
        <v>670.0</v>
      </c>
      <c r="E51" s="36">
        <v>602.0</v>
      </c>
      <c r="F51" s="36">
        <v>0.9</v>
      </c>
      <c r="G51" s="36">
        <v>16.0</v>
      </c>
      <c r="H51" s="36">
        <v>0.96</v>
      </c>
      <c r="I51" s="36">
        <v>15.8</v>
      </c>
      <c r="J51" s="36">
        <v>89.6</v>
      </c>
      <c r="K51" s="36">
        <v>103.0</v>
      </c>
      <c r="L51" s="36">
        <v>42.2</v>
      </c>
      <c r="M51" s="36">
        <v>96.0</v>
      </c>
      <c r="N51" s="36">
        <v>44.0</v>
      </c>
      <c r="O51" s="36">
        <v>16.0</v>
      </c>
      <c r="P51" s="36">
        <v>24.0</v>
      </c>
      <c r="Q51" s="36">
        <v>0.3</v>
      </c>
      <c r="R51" s="36">
        <v>1.1</v>
      </c>
      <c r="S51" s="36">
        <v>2.56</v>
      </c>
      <c r="T51" s="36">
        <v>3.66</v>
      </c>
      <c r="U51" s="21">
        <f t="shared" si="1"/>
        <v>3660</v>
      </c>
      <c r="V51" s="21">
        <f t="shared" si="2"/>
        <v>1600</v>
      </c>
    </row>
    <row r="52" ht="14.25" customHeight="1">
      <c r="A52" s="38">
        <v>0.2263888888888889</v>
      </c>
      <c r="B52" s="36">
        <v>74.0</v>
      </c>
      <c r="C52" s="36">
        <v>8.7</v>
      </c>
      <c r="D52" s="36">
        <v>698.0</v>
      </c>
      <c r="E52" s="36">
        <v>626.0</v>
      </c>
      <c r="F52" s="36">
        <v>0.9</v>
      </c>
      <c r="G52" s="36">
        <v>16.0</v>
      </c>
      <c r="H52" s="36">
        <v>1.01</v>
      </c>
      <c r="I52" s="36">
        <v>16.3</v>
      </c>
      <c r="J52" s="36">
        <v>89.2</v>
      </c>
      <c r="K52" s="36">
        <v>103.0</v>
      </c>
      <c r="L52" s="36">
        <v>42.3</v>
      </c>
      <c r="M52" s="36">
        <v>96.0</v>
      </c>
      <c r="N52" s="36">
        <v>44.0</v>
      </c>
      <c r="O52" s="36">
        <v>16.0</v>
      </c>
      <c r="P52" s="36">
        <v>25.0</v>
      </c>
      <c r="Q52" s="36">
        <v>0.29</v>
      </c>
      <c r="R52" s="36">
        <v>1.08</v>
      </c>
      <c r="S52" s="36">
        <v>2.62</v>
      </c>
      <c r="T52" s="36">
        <v>3.7</v>
      </c>
      <c r="U52" s="21">
        <f t="shared" si="1"/>
        <v>3700</v>
      </c>
      <c r="V52" s="21">
        <f t="shared" si="2"/>
        <v>10000</v>
      </c>
    </row>
    <row r="53" ht="14.25" customHeight="1">
      <c r="A53" s="38">
        <v>0.22847222222222222</v>
      </c>
      <c r="B53" s="36">
        <v>76.0</v>
      </c>
      <c r="C53" s="36">
        <v>8.5</v>
      </c>
      <c r="D53" s="36">
        <v>684.0</v>
      </c>
      <c r="E53" s="36">
        <v>610.0</v>
      </c>
      <c r="F53" s="36">
        <v>0.89</v>
      </c>
      <c r="G53" s="36">
        <v>16.0</v>
      </c>
      <c r="H53" s="36">
        <v>1.0</v>
      </c>
      <c r="I53" s="36">
        <v>15.8</v>
      </c>
      <c r="J53" s="36">
        <v>89.5</v>
      </c>
      <c r="K53" s="36">
        <v>104.0</v>
      </c>
      <c r="L53" s="36">
        <v>41.6</v>
      </c>
      <c r="M53" s="36">
        <v>96.0</v>
      </c>
      <c r="N53" s="36">
        <v>45.0</v>
      </c>
      <c r="O53" s="36">
        <v>16.0</v>
      </c>
      <c r="P53" s="36">
        <v>24.0</v>
      </c>
      <c r="Q53" s="36">
        <v>0.29</v>
      </c>
      <c r="R53" s="36">
        <v>1.11</v>
      </c>
      <c r="S53" s="36">
        <v>2.68</v>
      </c>
      <c r="T53" s="36">
        <v>3.8</v>
      </c>
      <c r="U53" s="21">
        <f t="shared" si="1"/>
        <v>3800</v>
      </c>
      <c r="V53" s="21">
        <f t="shared" si="2"/>
        <v>10000</v>
      </c>
    </row>
    <row r="54" ht="14.25" customHeight="1">
      <c r="A54" s="38">
        <v>0.23194444444444445</v>
      </c>
      <c r="B54" s="36">
        <v>78.0</v>
      </c>
      <c r="C54" s="36">
        <v>8.7</v>
      </c>
      <c r="D54" s="36">
        <v>699.0</v>
      </c>
      <c r="E54" s="36">
        <v>619.0</v>
      </c>
      <c r="F54" s="36">
        <v>0.89</v>
      </c>
      <c r="G54" s="36">
        <v>15.0</v>
      </c>
      <c r="H54" s="36">
        <v>1.03</v>
      </c>
      <c r="I54" s="36">
        <v>15.8</v>
      </c>
      <c r="J54" s="36">
        <v>89.5</v>
      </c>
      <c r="K54" s="36">
        <v>103.0</v>
      </c>
      <c r="L54" s="36">
        <v>42.1</v>
      </c>
      <c r="M54" s="36">
        <v>95.0</v>
      </c>
      <c r="N54" s="36">
        <v>45.0</v>
      </c>
      <c r="O54" s="36">
        <v>15.0</v>
      </c>
      <c r="P54" s="36">
        <v>25.0</v>
      </c>
      <c r="Q54" s="36">
        <v>0.3</v>
      </c>
      <c r="R54" s="36">
        <v>1.18</v>
      </c>
      <c r="S54" s="36">
        <v>2.71</v>
      </c>
      <c r="T54" s="36">
        <v>3.9</v>
      </c>
      <c r="U54" s="21">
        <f t="shared" si="1"/>
        <v>3900</v>
      </c>
      <c r="V54" s="21">
        <f t="shared" si="2"/>
        <v>0</v>
      </c>
    </row>
    <row r="55" ht="14.25" customHeight="1">
      <c r="A55" s="38">
        <v>0.23472222222222222</v>
      </c>
      <c r="B55" s="36">
        <v>79.0</v>
      </c>
      <c r="C55" s="36">
        <v>8.7</v>
      </c>
      <c r="D55" s="36">
        <v>699.0</v>
      </c>
      <c r="E55" s="36">
        <v>619.0</v>
      </c>
      <c r="F55" s="36">
        <v>0.89</v>
      </c>
      <c r="G55" s="36">
        <v>15.0</v>
      </c>
      <c r="H55" s="36">
        <v>1.03</v>
      </c>
      <c r="I55" s="36">
        <v>15.8</v>
      </c>
      <c r="J55" s="36">
        <v>89.5</v>
      </c>
      <c r="K55" s="36">
        <v>103.0</v>
      </c>
      <c r="L55" s="36">
        <v>42.3</v>
      </c>
      <c r="M55" s="36">
        <v>95.0</v>
      </c>
      <c r="N55" s="36">
        <v>45.0</v>
      </c>
      <c r="O55" s="36">
        <v>15.0</v>
      </c>
      <c r="P55" s="36">
        <v>25.0</v>
      </c>
      <c r="Q55" s="36">
        <v>0.3</v>
      </c>
      <c r="R55" s="36">
        <v>1.18</v>
      </c>
      <c r="S55" s="36">
        <v>2.71</v>
      </c>
      <c r="T55" s="36">
        <v>3.9</v>
      </c>
      <c r="U55" s="21">
        <f t="shared" si="1"/>
        <v>3900</v>
      </c>
      <c r="V55" s="21">
        <f t="shared" si="2"/>
        <v>100</v>
      </c>
    </row>
    <row r="56" ht="14.25" customHeight="1">
      <c r="A56" s="38">
        <v>0.2375</v>
      </c>
      <c r="B56" s="36">
        <v>80.0</v>
      </c>
      <c r="C56" s="36">
        <v>8.8</v>
      </c>
      <c r="D56" s="36">
        <v>701.0</v>
      </c>
      <c r="E56" s="36">
        <v>621.0</v>
      </c>
      <c r="F56" s="36">
        <v>0.89</v>
      </c>
      <c r="G56" s="36">
        <v>15.0</v>
      </c>
      <c r="H56" s="36">
        <v>1.02</v>
      </c>
      <c r="I56" s="36">
        <v>15.8</v>
      </c>
      <c r="J56" s="36">
        <v>89.5</v>
      </c>
      <c r="K56" s="36">
        <v>104.0</v>
      </c>
      <c r="L56" s="36">
        <v>41.5</v>
      </c>
      <c r="M56" s="36">
        <v>95.0</v>
      </c>
      <c r="N56" s="36">
        <v>45.0</v>
      </c>
      <c r="O56" s="36">
        <v>15.0</v>
      </c>
      <c r="P56" s="36">
        <v>25.0</v>
      </c>
      <c r="Q56" s="36">
        <v>0.3</v>
      </c>
      <c r="R56" s="36">
        <v>1.16</v>
      </c>
      <c r="S56" s="36">
        <v>2.73</v>
      </c>
      <c r="T56" s="36">
        <v>3.89</v>
      </c>
      <c r="U56" s="21">
        <f t="shared" si="1"/>
        <v>3890</v>
      </c>
      <c r="V56" s="21">
        <f t="shared" si="2"/>
        <v>1600</v>
      </c>
    </row>
    <row r="57" ht="14.25" customHeight="1">
      <c r="A57" s="38">
        <v>0.24027777777777778</v>
      </c>
      <c r="B57" s="36">
        <v>83.0</v>
      </c>
      <c r="C57" s="36">
        <v>8.9</v>
      </c>
      <c r="D57" s="36">
        <v>712.0</v>
      </c>
      <c r="E57" s="36">
        <v>628.0</v>
      </c>
      <c r="F57" s="36">
        <v>0.88</v>
      </c>
      <c r="G57" s="36">
        <v>15.0</v>
      </c>
      <c r="H57" s="36">
        <v>1.04</v>
      </c>
      <c r="I57" s="36">
        <v>15.8</v>
      </c>
      <c r="J57" s="36">
        <v>89.5</v>
      </c>
      <c r="K57" s="36">
        <v>105.0</v>
      </c>
      <c r="L57" s="36">
        <v>40.8</v>
      </c>
      <c r="M57" s="36">
        <v>95.0</v>
      </c>
      <c r="N57" s="36">
        <v>45.0</v>
      </c>
      <c r="O57" s="36">
        <v>15.0</v>
      </c>
      <c r="P57" s="36">
        <v>25.0</v>
      </c>
      <c r="Q57" s="36">
        <v>0.3</v>
      </c>
      <c r="R57" s="36">
        <v>1.19</v>
      </c>
      <c r="S57" s="36">
        <v>2.74</v>
      </c>
      <c r="T57" s="36">
        <v>3.93</v>
      </c>
      <c r="U57" s="21">
        <f t="shared" si="1"/>
        <v>3930</v>
      </c>
      <c r="V57" s="21">
        <f t="shared" si="2"/>
        <v>12100</v>
      </c>
    </row>
    <row r="58" ht="14.25" customHeight="1">
      <c r="A58" s="38">
        <v>0.24305555555555555</v>
      </c>
      <c r="B58" s="36">
        <v>84.0</v>
      </c>
      <c r="C58" s="36">
        <v>9.2</v>
      </c>
      <c r="D58" s="36">
        <v>735.0</v>
      </c>
      <c r="E58" s="36">
        <v>647.0</v>
      </c>
      <c r="F58" s="36">
        <v>0.88</v>
      </c>
      <c r="G58" s="36">
        <v>15.0</v>
      </c>
      <c r="H58" s="36">
        <v>1.09</v>
      </c>
      <c r="I58" s="36">
        <v>16.2</v>
      </c>
      <c r="J58" s="36">
        <v>89.3</v>
      </c>
      <c r="K58" s="36">
        <v>105.0</v>
      </c>
      <c r="L58" s="36">
        <v>40.8</v>
      </c>
      <c r="M58" s="36">
        <v>94.0</v>
      </c>
      <c r="N58" s="36">
        <v>45.0</v>
      </c>
      <c r="O58" s="36">
        <v>15.0</v>
      </c>
      <c r="P58" s="36">
        <v>26.0</v>
      </c>
      <c r="Q58" s="36">
        <v>0.3</v>
      </c>
      <c r="R58" s="36">
        <v>1.22</v>
      </c>
      <c r="S58" s="36">
        <v>2.82</v>
      </c>
      <c r="T58" s="36">
        <v>4.04</v>
      </c>
      <c r="U58" s="21">
        <f t="shared" si="1"/>
        <v>4040</v>
      </c>
      <c r="V58" s="21">
        <f t="shared" si="2"/>
        <v>100</v>
      </c>
    </row>
    <row r="59" ht="14.25" customHeight="1">
      <c r="A59" s="38">
        <v>0.24583333333333332</v>
      </c>
      <c r="B59" s="36">
        <v>85.0</v>
      </c>
      <c r="C59" s="36">
        <v>9.0</v>
      </c>
      <c r="D59" s="36">
        <v>722.0</v>
      </c>
      <c r="E59" s="36">
        <v>631.0</v>
      </c>
      <c r="F59" s="36">
        <v>0.87</v>
      </c>
      <c r="G59" s="36">
        <v>15.0</v>
      </c>
      <c r="H59" s="36">
        <v>1.07</v>
      </c>
      <c r="I59" s="36">
        <v>15.8</v>
      </c>
      <c r="J59" s="36">
        <v>89.6</v>
      </c>
      <c r="K59" s="36">
        <v>106.0</v>
      </c>
      <c r="L59" s="36">
        <v>40.5</v>
      </c>
      <c r="M59" s="36">
        <v>94.0</v>
      </c>
      <c r="N59" s="36">
        <v>46.0</v>
      </c>
      <c r="O59" s="36">
        <v>15.0</v>
      </c>
      <c r="P59" s="36">
        <v>26.0</v>
      </c>
      <c r="Q59" s="36">
        <v>0.31</v>
      </c>
      <c r="R59" s="36">
        <v>1.25</v>
      </c>
      <c r="S59" s="36">
        <v>2.8</v>
      </c>
      <c r="T59" s="36">
        <v>4.05</v>
      </c>
      <c r="U59" s="21">
        <f t="shared" si="1"/>
        <v>4050</v>
      </c>
      <c r="V59" s="21">
        <f t="shared" si="2"/>
        <v>44100</v>
      </c>
    </row>
    <row r="60" ht="14.25" customHeight="1">
      <c r="A60" s="38">
        <v>0.24791666666666667</v>
      </c>
      <c r="B60" s="36">
        <v>87.0</v>
      </c>
      <c r="C60" s="36">
        <v>9.3</v>
      </c>
      <c r="D60" s="36">
        <v>745.0</v>
      </c>
      <c r="E60" s="36">
        <v>647.0</v>
      </c>
      <c r="F60" s="36">
        <v>0.87</v>
      </c>
      <c r="G60" s="36">
        <v>16.0</v>
      </c>
      <c r="H60" s="36">
        <v>1.05</v>
      </c>
      <c r="I60" s="36">
        <v>16.5</v>
      </c>
      <c r="J60" s="36">
        <v>89.1</v>
      </c>
      <c r="K60" s="36">
        <v>106.0</v>
      </c>
      <c r="L60" s="36">
        <v>40.5</v>
      </c>
      <c r="M60" s="36">
        <v>94.0</v>
      </c>
      <c r="N60" s="36">
        <v>45.0</v>
      </c>
      <c r="O60" s="36">
        <v>16.0</v>
      </c>
      <c r="P60" s="36">
        <v>27.0</v>
      </c>
      <c r="Q60" s="36">
        <v>0.3</v>
      </c>
      <c r="R60" s="36">
        <v>1.15</v>
      </c>
      <c r="S60" s="36">
        <v>2.7</v>
      </c>
      <c r="T60" s="36">
        <v>3.84</v>
      </c>
      <c r="U60" s="21">
        <f t="shared" si="1"/>
        <v>3840</v>
      </c>
      <c r="V60" s="21">
        <f t="shared" si="2"/>
        <v>400</v>
      </c>
    </row>
    <row r="61" ht="14.25" customHeight="1">
      <c r="A61" s="38">
        <v>0.25069444444444444</v>
      </c>
      <c r="B61" s="36">
        <v>89.0</v>
      </c>
      <c r="C61" s="36">
        <v>9.6</v>
      </c>
      <c r="D61" s="36">
        <v>764.0</v>
      </c>
      <c r="E61" s="36">
        <v>669.0</v>
      </c>
      <c r="F61" s="36">
        <v>0.88</v>
      </c>
      <c r="G61" s="36">
        <v>16.0</v>
      </c>
      <c r="H61" s="36">
        <v>1.09</v>
      </c>
      <c r="I61" s="36">
        <v>17.1</v>
      </c>
      <c r="J61" s="36">
        <v>88.7</v>
      </c>
      <c r="K61" s="36">
        <v>107.0</v>
      </c>
      <c r="L61" s="36">
        <v>39.9</v>
      </c>
      <c r="M61" s="36">
        <v>94.0</v>
      </c>
      <c r="N61" s="36">
        <v>45.0</v>
      </c>
      <c r="O61" s="36">
        <v>16.0</v>
      </c>
      <c r="P61" s="36">
        <v>27.0</v>
      </c>
      <c r="Q61" s="36">
        <v>0.3</v>
      </c>
      <c r="R61" s="36">
        <v>1.15</v>
      </c>
      <c r="S61" s="36">
        <v>2.67</v>
      </c>
      <c r="T61" s="36">
        <v>3.82</v>
      </c>
      <c r="U61" s="21">
        <f t="shared" si="1"/>
        <v>3820</v>
      </c>
      <c r="V61" s="21">
        <f t="shared" si="2"/>
        <v>4900</v>
      </c>
    </row>
    <row r="62" ht="14.25" customHeight="1">
      <c r="A62" s="38">
        <v>0.2534722222222222</v>
      </c>
      <c r="B62" s="36">
        <v>90.0</v>
      </c>
      <c r="C62" s="36">
        <v>9.8</v>
      </c>
      <c r="D62" s="36">
        <v>783.0</v>
      </c>
      <c r="E62" s="36">
        <v>677.0</v>
      </c>
      <c r="F62" s="36">
        <v>0.86</v>
      </c>
      <c r="G62" s="36">
        <v>15.0</v>
      </c>
      <c r="H62" s="36">
        <v>1.09</v>
      </c>
      <c r="I62" s="36">
        <v>16.9</v>
      </c>
      <c r="J62" s="36">
        <v>88.8</v>
      </c>
      <c r="K62" s="36">
        <v>107.0</v>
      </c>
      <c r="L62" s="36">
        <v>39.9</v>
      </c>
      <c r="M62" s="36">
        <v>93.0</v>
      </c>
      <c r="N62" s="36">
        <v>46.0</v>
      </c>
      <c r="O62" s="36">
        <v>15.0</v>
      </c>
      <c r="P62" s="36">
        <v>28.0</v>
      </c>
      <c r="Q62" s="36">
        <v>0.29</v>
      </c>
      <c r="R62" s="36">
        <v>1.14</v>
      </c>
      <c r="S62" s="36">
        <v>2.74</v>
      </c>
      <c r="T62" s="36">
        <v>3.89</v>
      </c>
      <c r="U62" s="21">
        <f t="shared" si="1"/>
        <v>3890</v>
      </c>
      <c r="V62" s="21">
        <f t="shared" si="2"/>
        <v>100</v>
      </c>
    </row>
    <row r="63" ht="14.25" customHeight="1">
      <c r="A63" s="38">
        <v>0.25625</v>
      </c>
      <c r="B63" s="36">
        <v>92.0</v>
      </c>
      <c r="C63" s="36">
        <v>9.9</v>
      </c>
      <c r="D63" s="36">
        <v>794.0</v>
      </c>
      <c r="E63" s="36">
        <v>688.0</v>
      </c>
      <c r="F63" s="36">
        <v>0.87</v>
      </c>
      <c r="G63" s="36">
        <v>15.0</v>
      </c>
      <c r="H63" s="36">
        <v>1.12</v>
      </c>
      <c r="I63" s="36">
        <v>17.2</v>
      </c>
      <c r="J63" s="36">
        <v>88.6</v>
      </c>
      <c r="K63" s="36">
        <v>108.0</v>
      </c>
      <c r="L63" s="36">
        <v>39.6</v>
      </c>
      <c r="M63" s="36">
        <v>93.0</v>
      </c>
      <c r="N63" s="36">
        <v>46.0</v>
      </c>
      <c r="O63" s="36">
        <v>15.0</v>
      </c>
      <c r="P63" s="36">
        <v>28.0</v>
      </c>
      <c r="Q63" s="36">
        <v>0.29</v>
      </c>
      <c r="R63" s="36">
        <v>1.13</v>
      </c>
      <c r="S63" s="36">
        <v>2.76</v>
      </c>
      <c r="T63" s="36">
        <v>3.9</v>
      </c>
      <c r="U63" s="21">
        <f t="shared" si="1"/>
        <v>3900</v>
      </c>
      <c r="V63" s="21">
        <f t="shared" si="2"/>
        <v>6400</v>
      </c>
    </row>
    <row r="64" ht="14.25" customHeight="1">
      <c r="A64" s="38">
        <v>0.2590277777777778</v>
      </c>
      <c r="B64" s="36">
        <v>94.0</v>
      </c>
      <c r="C64" s="36">
        <v>10.5</v>
      </c>
      <c r="D64" s="36">
        <v>839.0</v>
      </c>
      <c r="E64" s="36">
        <v>726.0</v>
      </c>
      <c r="F64" s="36">
        <v>0.87</v>
      </c>
      <c r="G64" s="36">
        <v>15.0</v>
      </c>
      <c r="H64" s="36">
        <v>1.2</v>
      </c>
      <c r="I64" s="36">
        <v>18.1</v>
      </c>
      <c r="J64" s="36">
        <v>88.0</v>
      </c>
      <c r="K64" s="36">
        <v>107.0</v>
      </c>
      <c r="L64" s="36">
        <v>39.8</v>
      </c>
      <c r="M64" s="36">
        <v>93.0</v>
      </c>
      <c r="N64" s="36">
        <v>46.0</v>
      </c>
      <c r="O64" s="36">
        <v>15.0</v>
      </c>
      <c r="P64" s="36">
        <v>30.0</v>
      </c>
      <c r="Q64" s="36">
        <v>0.29</v>
      </c>
      <c r="R64" s="36">
        <v>1.15</v>
      </c>
      <c r="S64" s="36">
        <v>2.82</v>
      </c>
      <c r="T64" s="36">
        <v>3.98</v>
      </c>
      <c r="U64" s="21">
        <f t="shared" si="1"/>
        <v>3980</v>
      </c>
      <c r="V64" s="21">
        <f t="shared" si="2"/>
        <v>12100</v>
      </c>
    </row>
    <row r="65" ht="14.25" customHeight="1">
      <c r="A65" s="38">
        <v>0.26180555555555557</v>
      </c>
      <c r="B65" s="36">
        <v>96.0</v>
      </c>
      <c r="C65" s="36">
        <v>10.8</v>
      </c>
      <c r="D65" s="36">
        <v>865.0</v>
      </c>
      <c r="E65" s="36">
        <v>743.0</v>
      </c>
      <c r="F65" s="36">
        <v>0.86</v>
      </c>
      <c r="G65" s="36">
        <v>16.0</v>
      </c>
      <c r="H65" s="36">
        <v>1.19</v>
      </c>
      <c r="I65" s="36">
        <v>18.5</v>
      </c>
      <c r="J65" s="36">
        <v>87.8</v>
      </c>
      <c r="K65" s="36">
        <v>107.0</v>
      </c>
      <c r="L65" s="36">
        <v>39.7</v>
      </c>
      <c r="M65" s="36">
        <v>93.0</v>
      </c>
      <c r="N65" s="36">
        <v>46.0</v>
      </c>
      <c r="O65" s="36">
        <v>16.0</v>
      </c>
      <c r="P65" s="36">
        <v>31.0</v>
      </c>
      <c r="Q65" s="36">
        <v>0.29</v>
      </c>
      <c r="R65" s="36">
        <v>1.12</v>
      </c>
      <c r="S65" s="36">
        <v>2.75</v>
      </c>
      <c r="T65" s="36">
        <v>3.87</v>
      </c>
      <c r="U65" s="21">
        <f t="shared" si="1"/>
        <v>3870</v>
      </c>
      <c r="V65" s="21">
        <f t="shared" si="2"/>
        <v>100</v>
      </c>
    </row>
    <row r="66" ht="14.25" customHeight="1">
      <c r="A66" s="38">
        <v>0.2638888888888889</v>
      </c>
      <c r="B66" s="36">
        <v>97.0</v>
      </c>
      <c r="C66" s="36">
        <v>11.3</v>
      </c>
      <c r="D66" s="36">
        <v>902.0</v>
      </c>
      <c r="E66" s="36">
        <v>771.0</v>
      </c>
      <c r="F66" s="36">
        <v>0.85</v>
      </c>
      <c r="G66" s="36">
        <v>16.0</v>
      </c>
      <c r="H66" s="36">
        <v>1.22</v>
      </c>
      <c r="I66" s="36">
        <v>19.0</v>
      </c>
      <c r="J66" s="36">
        <v>87.4</v>
      </c>
      <c r="K66" s="36">
        <v>108.0</v>
      </c>
      <c r="L66" s="36">
        <v>39.1</v>
      </c>
      <c r="M66" s="36">
        <v>93.0</v>
      </c>
      <c r="N66" s="36">
        <v>46.0</v>
      </c>
      <c r="O66" s="36">
        <v>16.0</v>
      </c>
      <c r="P66" s="36">
        <v>32.0</v>
      </c>
      <c r="Q66" s="36">
        <v>0.29</v>
      </c>
      <c r="R66" s="36">
        <v>1.13</v>
      </c>
      <c r="S66" s="36">
        <v>2.73</v>
      </c>
      <c r="T66" s="36">
        <v>3.86</v>
      </c>
      <c r="U66" s="21">
        <f t="shared" si="1"/>
        <v>3860</v>
      </c>
      <c r="V66" s="21">
        <f t="shared" si="2"/>
        <v>12100</v>
      </c>
    </row>
    <row r="67" ht="14.25" customHeight="1">
      <c r="A67" s="38">
        <v>0.26666666666666666</v>
      </c>
      <c r="B67" s="36">
        <v>99.0</v>
      </c>
      <c r="C67" s="36">
        <v>11.4</v>
      </c>
      <c r="D67" s="36">
        <v>911.0</v>
      </c>
      <c r="E67" s="36">
        <v>785.0</v>
      </c>
      <c r="F67" s="36">
        <v>0.86</v>
      </c>
      <c r="G67" s="36">
        <v>15.0</v>
      </c>
      <c r="H67" s="36">
        <v>1.28</v>
      </c>
      <c r="I67" s="36">
        <v>19.3</v>
      </c>
      <c r="J67" s="36">
        <v>87.2</v>
      </c>
      <c r="K67" s="36">
        <v>108.0</v>
      </c>
      <c r="L67" s="36">
        <v>39.1</v>
      </c>
      <c r="M67" s="36">
        <v>92.0</v>
      </c>
      <c r="N67" s="36">
        <v>46.0</v>
      </c>
      <c r="O67" s="36">
        <v>15.0</v>
      </c>
      <c r="P67" s="36">
        <v>32.0</v>
      </c>
      <c r="Q67" s="36">
        <v>0.29</v>
      </c>
      <c r="R67" s="36">
        <v>1.15</v>
      </c>
      <c r="S67" s="36">
        <v>2.82</v>
      </c>
      <c r="T67" s="36">
        <v>3.97</v>
      </c>
      <c r="U67" s="21">
        <f t="shared" si="1"/>
        <v>3970</v>
      </c>
      <c r="V67" s="21">
        <f t="shared" si="2"/>
        <v>6400</v>
      </c>
    </row>
    <row r="68" ht="14.25" customHeight="1">
      <c r="A68" s="38">
        <v>0.26944444444444443</v>
      </c>
      <c r="B68" s="36">
        <v>100.0</v>
      </c>
      <c r="C68" s="36">
        <v>11.6</v>
      </c>
      <c r="D68" s="36">
        <v>925.0</v>
      </c>
      <c r="E68" s="36">
        <v>797.0</v>
      </c>
      <c r="F68" s="36">
        <v>0.86</v>
      </c>
      <c r="G68" s="36">
        <v>15.0</v>
      </c>
      <c r="H68" s="36">
        <v>1.29</v>
      </c>
      <c r="I68" s="36">
        <v>19.9</v>
      </c>
      <c r="J68" s="36">
        <v>86.8</v>
      </c>
      <c r="K68" s="36">
        <v>109.0</v>
      </c>
      <c r="L68" s="36">
        <v>38.9</v>
      </c>
      <c r="M68" s="36">
        <v>93.0</v>
      </c>
      <c r="N68" s="36">
        <v>46.0</v>
      </c>
      <c r="O68" s="36">
        <v>15.0</v>
      </c>
      <c r="P68" s="36">
        <v>33.0</v>
      </c>
      <c r="Q68" s="36">
        <v>0.29</v>
      </c>
      <c r="R68" s="36">
        <v>1.15</v>
      </c>
      <c r="S68" s="36">
        <v>2.75</v>
      </c>
      <c r="T68" s="36">
        <v>3.89</v>
      </c>
      <c r="U68" s="21">
        <f t="shared" si="1"/>
        <v>3890</v>
      </c>
      <c r="V68" s="21">
        <f t="shared" si="2"/>
        <v>16900</v>
      </c>
    </row>
    <row r="69" ht="14.25" customHeight="1">
      <c r="A69" s="38">
        <v>0.27152777777777776</v>
      </c>
      <c r="B69" s="36">
        <v>101.0</v>
      </c>
      <c r="C69" s="36">
        <v>11.4</v>
      </c>
      <c r="D69" s="36">
        <v>915.0</v>
      </c>
      <c r="E69" s="36">
        <v>783.0</v>
      </c>
      <c r="F69" s="36">
        <v>0.85</v>
      </c>
      <c r="G69" s="36">
        <v>16.0</v>
      </c>
      <c r="H69" s="36">
        <v>1.22</v>
      </c>
      <c r="I69" s="36">
        <v>19.5</v>
      </c>
      <c r="J69" s="36">
        <v>87.1</v>
      </c>
      <c r="K69" s="36">
        <v>111.0</v>
      </c>
      <c r="L69" s="36">
        <v>37.6</v>
      </c>
      <c r="M69" s="36">
        <v>92.0</v>
      </c>
      <c r="N69" s="36">
        <v>46.0</v>
      </c>
      <c r="O69" s="36">
        <v>16.0</v>
      </c>
      <c r="P69" s="36">
        <v>33.0</v>
      </c>
      <c r="Q69" s="36">
        <v>0.29</v>
      </c>
      <c r="R69" s="36">
        <v>1.08</v>
      </c>
      <c r="S69" s="36">
        <v>2.68</v>
      </c>
      <c r="T69" s="36">
        <v>3.76</v>
      </c>
      <c r="U69" s="21">
        <f t="shared" si="1"/>
        <v>3760</v>
      </c>
      <c r="V69" s="21">
        <f t="shared" si="2"/>
        <v>12100</v>
      </c>
    </row>
    <row r="70" ht="14.25" customHeight="1">
      <c r="A70" s="38">
        <v>0.2743055555555556</v>
      </c>
      <c r="B70" s="36">
        <v>103.0</v>
      </c>
      <c r="C70" s="36">
        <v>11.7</v>
      </c>
      <c r="D70" s="36">
        <v>934.0</v>
      </c>
      <c r="E70" s="36">
        <v>808.0</v>
      </c>
      <c r="F70" s="36">
        <v>0.86</v>
      </c>
      <c r="G70" s="36">
        <v>16.0</v>
      </c>
      <c r="H70" s="36">
        <v>1.29</v>
      </c>
      <c r="I70" s="36">
        <v>20.1</v>
      </c>
      <c r="J70" s="36">
        <v>86.7</v>
      </c>
      <c r="K70" s="36">
        <v>110.0</v>
      </c>
      <c r="L70" s="36">
        <v>38.0</v>
      </c>
      <c r="M70" s="36">
        <v>93.0</v>
      </c>
      <c r="N70" s="36">
        <v>46.0</v>
      </c>
      <c r="O70" s="36">
        <v>16.0</v>
      </c>
      <c r="P70" s="36">
        <v>33.0</v>
      </c>
      <c r="Q70" s="36">
        <v>0.3</v>
      </c>
      <c r="R70" s="36">
        <v>1.16</v>
      </c>
      <c r="S70" s="36">
        <v>2.71</v>
      </c>
      <c r="T70" s="36">
        <v>3.87</v>
      </c>
      <c r="U70" s="21">
        <f t="shared" si="1"/>
        <v>3870</v>
      </c>
      <c r="V70" s="21">
        <f t="shared" si="2"/>
        <v>57600</v>
      </c>
    </row>
    <row r="71" ht="14.25" customHeight="1">
      <c r="A71" s="38">
        <v>0.27708333333333335</v>
      </c>
      <c r="B71" s="36">
        <v>105.0</v>
      </c>
      <c r="C71" s="36">
        <v>11.5</v>
      </c>
      <c r="D71" s="36">
        <v>924.0</v>
      </c>
      <c r="E71" s="36">
        <v>790.0</v>
      </c>
      <c r="F71" s="36">
        <v>0.86</v>
      </c>
      <c r="G71" s="36">
        <v>17.0</v>
      </c>
      <c r="H71" s="36">
        <v>1.19</v>
      </c>
      <c r="I71" s="36">
        <v>19.6</v>
      </c>
      <c r="J71" s="36">
        <v>87.0</v>
      </c>
      <c r="K71" s="36">
        <v>112.0</v>
      </c>
      <c r="L71" s="36">
        <v>37.0</v>
      </c>
      <c r="M71" s="36">
        <v>92.0</v>
      </c>
      <c r="N71" s="36">
        <v>46.0</v>
      </c>
      <c r="O71" s="36">
        <v>17.0</v>
      </c>
      <c r="P71" s="36">
        <v>33.0</v>
      </c>
      <c r="Q71" s="36">
        <v>0.29</v>
      </c>
      <c r="R71" s="36">
        <v>1.06</v>
      </c>
      <c r="S71" s="36">
        <v>2.57</v>
      </c>
      <c r="T71" s="36">
        <v>3.63</v>
      </c>
      <c r="U71" s="21">
        <f t="shared" si="1"/>
        <v>3630</v>
      </c>
      <c r="V71" s="21">
        <f t="shared" si="2"/>
        <v>0</v>
      </c>
    </row>
    <row r="72" ht="14.25" customHeight="1">
      <c r="A72" s="38">
        <v>0.2791666666666667</v>
      </c>
      <c r="B72" s="36">
        <v>106.0</v>
      </c>
      <c r="C72" s="36">
        <v>11.8</v>
      </c>
      <c r="D72" s="36">
        <v>946.0</v>
      </c>
      <c r="E72" s="36">
        <v>811.0</v>
      </c>
      <c r="F72" s="36">
        <v>0.86</v>
      </c>
      <c r="G72" s="36">
        <v>17.0</v>
      </c>
      <c r="H72" s="36">
        <v>1.22</v>
      </c>
      <c r="I72" s="36">
        <v>20.1</v>
      </c>
      <c r="J72" s="36">
        <v>86.7</v>
      </c>
      <c r="K72" s="36">
        <v>113.0</v>
      </c>
      <c r="L72" s="36">
        <v>36.4</v>
      </c>
      <c r="M72" s="36">
        <v>92.0</v>
      </c>
      <c r="N72" s="36">
        <v>46.0</v>
      </c>
      <c r="O72" s="36">
        <v>17.0</v>
      </c>
      <c r="P72" s="36">
        <v>34.0</v>
      </c>
      <c r="Q72" s="36">
        <v>0.3</v>
      </c>
      <c r="R72" s="36">
        <v>1.08</v>
      </c>
      <c r="S72" s="36">
        <v>2.56</v>
      </c>
      <c r="T72" s="36">
        <v>3.63</v>
      </c>
      <c r="U72" s="21">
        <f t="shared" si="1"/>
        <v>3630</v>
      </c>
      <c r="V72" s="21">
        <f t="shared" si="2"/>
        <v>900</v>
      </c>
    </row>
    <row r="73" ht="14.25" customHeight="1">
      <c r="A73" s="38">
        <v>0.28194444444444444</v>
      </c>
      <c r="B73" s="36">
        <v>108.0</v>
      </c>
      <c r="C73" s="36">
        <v>11.9</v>
      </c>
      <c r="D73" s="36">
        <v>951.0</v>
      </c>
      <c r="E73" s="36">
        <v>823.0</v>
      </c>
      <c r="F73" s="36">
        <v>0.87</v>
      </c>
      <c r="G73" s="36">
        <v>16.0</v>
      </c>
      <c r="H73" s="36">
        <v>1.25</v>
      </c>
      <c r="I73" s="36">
        <v>20.5</v>
      </c>
      <c r="J73" s="36">
        <v>86.4</v>
      </c>
      <c r="K73" s="36">
        <v>115.0</v>
      </c>
      <c r="L73" s="36">
        <v>35.7</v>
      </c>
      <c r="M73" s="36">
        <v>92.0</v>
      </c>
      <c r="N73" s="36">
        <v>46.0</v>
      </c>
      <c r="O73" s="36">
        <v>16.0</v>
      </c>
      <c r="P73" s="36">
        <v>34.0</v>
      </c>
      <c r="Q73" s="36">
        <v>0.3</v>
      </c>
      <c r="R73" s="36">
        <v>1.1</v>
      </c>
      <c r="S73" s="36">
        <v>2.55</v>
      </c>
      <c r="T73" s="36">
        <v>3.66</v>
      </c>
      <c r="U73" s="21">
        <f t="shared" si="1"/>
        <v>3660</v>
      </c>
      <c r="V73" s="21">
        <f t="shared" si="2"/>
        <v>6400</v>
      </c>
    </row>
    <row r="74" ht="14.25" customHeight="1">
      <c r="A74" s="38">
        <v>0.2847222222222222</v>
      </c>
      <c r="B74" s="36">
        <v>109.0</v>
      </c>
      <c r="C74" s="36">
        <v>12.3</v>
      </c>
      <c r="D74" s="36">
        <v>987.0</v>
      </c>
      <c r="E74" s="36">
        <v>859.0</v>
      </c>
      <c r="F74" s="36">
        <v>0.87</v>
      </c>
      <c r="G74" s="36">
        <v>17.0</v>
      </c>
      <c r="H74" s="36">
        <v>1.27</v>
      </c>
      <c r="I74" s="36">
        <v>21.3</v>
      </c>
      <c r="J74" s="36">
        <v>85.9</v>
      </c>
      <c r="K74" s="36">
        <v>115.0</v>
      </c>
      <c r="L74" s="36">
        <v>35.3</v>
      </c>
      <c r="M74" s="36">
        <v>92.0</v>
      </c>
      <c r="N74" s="36">
        <v>46.0</v>
      </c>
      <c r="O74" s="36">
        <v>17.0</v>
      </c>
      <c r="P74" s="36">
        <v>35.0</v>
      </c>
      <c r="Q74" s="36">
        <v>0.3</v>
      </c>
      <c r="R74" s="36">
        <v>1.08</v>
      </c>
      <c r="S74" s="36">
        <v>2.5</v>
      </c>
      <c r="T74" s="36">
        <v>3.58</v>
      </c>
      <c r="U74" s="21">
        <f t="shared" si="1"/>
        <v>3580</v>
      </c>
      <c r="V74" s="21">
        <f t="shared" si="2"/>
        <v>100</v>
      </c>
    </row>
    <row r="75" ht="14.25" customHeight="1">
      <c r="A75" s="38">
        <v>0.28680555555555554</v>
      </c>
      <c r="B75" s="36">
        <v>110.0</v>
      </c>
      <c r="C75" s="36">
        <v>12.2</v>
      </c>
      <c r="D75" s="36">
        <v>979.0</v>
      </c>
      <c r="E75" s="36">
        <v>852.0</v>
      </c>
      <c r="F75" s="36">
        <v>0.87</v>
      </c>
      <c r="G75" s="36">
        <v>17.0</v>
      </c>
      <c r="H75" s="36">
        <v>1.26</v>
      </c>
      <c r="I75" s="36">
        <v>21.2</v>
      </c>
      <c r="J75" s="36">
        <v>86.0</v>
      </c>
      <c r="K75" s="36">
        <v>116.0</v>
      </c>
      <c r="L75" s="36">
        <v>35.0</v>
      </c>
      <c r="M75" s="36">
        <v>92.0</v>
      </c>
      <c r="N75" s="36">
        <v>46.0</v>
      </c>
      <c r="O75" s="36">
        <v>17.0</v>
      </c>
      <c r="P75" s="36">
        <v>35.0</v>
      </c>
      <c r="Q75" s="36">
        <v>0.3</v>
      </c>
      <c r="R75" s="36">
        <v>1.06</v>
      </c>
      <c r="S75" s="36">
        <v>2.51</v>
      </c>
      <c r="T75" s="36">
        <v>3.57</v>
      </c>
      <c r="U75" s="21">
        <f t="shared" si="1"/>
        <v>3570</v>
      </c>
      <c r="V75" s="21">
        <f t="shared" si="2"/>
        <v>12100</v>
      </c>
    </row>
    <row r="76" ht="14.25" customHeight="1">
      <c r="A76" s="38">
        <v>0.28958333333333336</v>
      </c>
      <c r="B76" s="36">
        <v>113.0</v>
      </c>
      <c r="C76" s="36">
        <v>12.5</v>
      </c>
      <c r="D76" s="36">
        <v>998.0</v>
      </c>
      <c r="E76" s="36">
        <v>879.0</v>
      </c>
      <c r="F76" s="36">
        <v>0.88</v>
      </c>
      <c r="G76" s="36">
        <v>16.0</v>
      </c>
      <c r="H76" s="36">
        <v>1.33</v>
      </c>
      <c r="I76" s="36">
        <v>21.8</v>
      </c>
      <c r="J76" s="36">
        <v>85.6</v>
      </c>
      <c r="K76" s="36">
        <v>117.0</v>
      </c>
      <c r="L76" s="36">
        <v>34.4</v>
      </c>
      <c r="M76" s="36">
        <v>93.0</v>
      </c>
      <c r="N76" s="36">
        <v>46.0</v>
      </c>
      <c r="O76" s="36">
        <v>16.0</v>
      </c>
      <c r="P76" s="36">
        <v>36.0</v>
      </c>
      <c r="Q76" s="36">
        <v>0.31</v>
      </c>
      <c r="R76" s="36">
        <v>1.15</v>
      </c>
      <c r="S76" s="36">
        <v>2.52</v>
      </c>
      <c r="T76" s="36">
        <v>3.68</v>
      </c>
      <c r="U76" s="21">
        <f t="shared" si="1"/>
        <v>3680</v>
      </c>
      <c r="V76" s="21">
        <f t="shared" si="2"/>
        <v>400</v>
      </c>
    </row>
    <row r="77" ht="14.25" customHeight="1">
      <c r="A77" s="38">
        <v>0.2916666666666667</v>
      </c>
      <c r="B77" s="36">
        <v>113.0</v>
      </c>
      <c r="C77" s="36">
        <v>13.0</v>
      </c>
      <c r="D77" s="36">
        <v>1040.0</v>
      </c>
      <c r="E77" s="36">
        <v>904.0</v>
      </c>
      <c r="F77" s="36">
        <v>0.87</v>
      </c>
      <c r="G77" s="36">
        <v>16.0</v>
      </c>
      <c r="H77" s="36">
        <v>1.36</v>
      </c>
      <c r="I77" s="36">
        <v>22.2</v>
      </c>
      <c r="J77" s="36">
        <v>85.3</v>
      </c>
      <c r="K77" s="36">
        <v>118.0</v>
      </c>
      <c r="L77" s="36">
        <v>33.6</v>
      </c>
      <c r="M77" s="36">
        <v>92.0</v>
      </c>
      <c r="N77" s="36">
        <v>46.0</v>
      </c>
      <c r="O77" s="36">
        <v>16.0</v>
      </c>
      <c r="P77" s="36">
        <v>37.0</v>
      </c>
      <c r="Q77" s="36">
        <v>0.31</v>
      </c>
      <c r="R77" s="36">
        <v>1.15</v>
      </c>
      <c r="S77" s="36">
        <v>2.51</v>
      </c>
      <c r="T77" s="36">
        <v>3.66</v>
      </c>
      <c r="U77" s="21">
        <f t="shared" si="1"/>
        <v>3660</v>
      </c>
      <c r="V77" s="21">
        <f t="shared" si="2"/>
        <v>0</v>
      </c>
    </row>
    <row r="78" ht="14.25" customHeight="1">
      <c r="A78" s="38">
        <v>0.29444444444444445</v>
      </c>
      <c r="B78" s="36">
        <v>115.0</v>
      </c>
      <c r="C78" s="36">
        <v>13.0</v>
      </c>
      <c r="D78" s="36">
        <v>1039.0</v>
      </c>
      <c r="E78" s="36">
        <v>904.0</v>
      </c>
      <c r="F78" s="36">
        <v>0.87</v>
      </c>
      <c r="G78" s="36">
        <v>16.0</v>
      </c>
      <c r="H78" s="36">
        <v>1.36</v>
      </c>
      <c r="I78" s="36">
        <v>22.2</v>
      </c>
      <c r="J78" s="36">
        <v>85.3</v>
      </c>
      <c r="K78" s="36">
        <v>120.0</v>
      </c>
      <c r="L78" s="36">
        <v>32.7</v>
      </c>
      <c r="M78" s="36">
        <v>92.0</v>
      </c>
      <c r="N78" s="36">
        <v>46.0</v>
      </c>
      <c r="O78" s="36">
        <v>16.0</v>
      </c>
      <c r="P78" s="36">
        <v>37.0</v>
      </c>
      <c r="Q78" s="36">
        <v>0.31</v>
      </c>
      <c r="R78" s="36">
        <v>1.15</v>
      </c>
      <c r="S78" s="36">
        <v>2.51</v>
      </c>
      <c r="T78" s="36">
        <v>3.66</v>
      </c>
      <c r="U78" s="21">
        <f t="shared" si="1"/>
        <v>3660</v>
      </c>
      <c r="V78" s="21">
        <f t="shared" si="2"/>
        <v>3600</v>
      </c>
    </row>
    <row r="79" ht="14.25" customHeight="1">
      <c r="A79" s="38">
        <v>0.2965277777777778</v>
      </c>
      <c r="B79" s="36">
        <v>116.0</v>
      </c>
      <c r="C79" s="36">
        <v>13.0</v>
      </c>
      <c r="D79" s="36">
        <v>1043.0</v>
      </c>
      <c r="E79" s="36">
        <v>917.0</v>
      </c>
      <c r="F79" s="36">
        <v>0.88</v>
      </c>
      <c r="G79" s="36">
        <v>17.0</v>
      </c>
      <c r="H79" s="36">
        <v>1.36</v>
      </c>
      <c r="I79" s="36">
        <v>22.7</v>
      </c>
      <c r="J79" s="36">
        <v>85.0</v>
      </c>
      <c r="K79" s="36">
        <v>120.0</v>
      </c>
      <c r="L79" s="36">
        <v>32.6</v>
      </c>
      <c r="M79" s="36">
        <v>93.0</v>
      </c>
      <c r="N79" s="36">
        <v>46.0</v>
      </c>
      <c r="O79" s="36">
        <v>17.0</v>
      </c>
      <c r="P79" s="36">
        <v>37.0</v>
      </c>
      <c r="Q79" s="36">
        <v>0.31</v>
      </c>
      <c r="R79" s="36">
        <v>1.11</v>
      </c>
      <c r="S79" s="36">
        <v>2.49</v>
      </c>
      <c r="T79" s="36">
        <v>3.6</v>
      </c>
      <c r="U79" s="21">
        <f t="shared" si="1"/>
        <v>3600</v>
      </c>
      <c r="V79" s="21">
        <f t="shared" si="2"/>
        <v>2500</v>
      </c>
    </row>
    <row r="80" ht="14.25" customHeight="1">
      <c r="A80" s="38">
        <v>0.29930555555555555</v>
      </c>
      <c r="B80" s="36">
        <v>118.0</v>
      </c>
      <c r="C80" s="36">
        <v>13.4</v>
      </c>
      <c r="D80" s="36">
        <v>1075.0</v>
      </c>
      <c r="E80" s="36">
        <v>947.0</v>
      </c>
      <c r="F80" s="36">
        <v>0.88</v>
      </c>
      <c r="G80" s="36">
        <v>17.0</v>
      </c>
      <c r="H80" s="36">
        <v>1.37</v>
      </c>
      <c r="I80" s="36">
        <v>23.2</v>
      </c>
      <c r="J80" s="36">
        <v>84.6</v>
      </c>
      <c r="K80" s="36">
        <v>120.0</v>
      </c>
      <c r="L80" s="36">
        <v>32.6</v>
      </c>
      <c r="M80" s="36">
        <v>93.0</v>
      </c>
      <c r="N80" s="36">
        <v>46.0</v>
      </c>
      <c r="O80" s="36">
        <v>17.0</v>
      </c>
      <c r="P80" s="36">
        <v>38.0</v>
      </c>
      <c r="Q80" s="36">
        <v>0.3</v>
      </c>
      <c r="R80" s="36">
        <v>1.06</v>
      </c>
      <c r="S80" s="36">
        <v>2.49</v>
      </c>
      <c r="T80" s="36">
        <v>3.55</v>
      </c>
      <c r="U80" s="21">
        <f t="shared" si="1"/>
        <v>3550</v>
      </c>
      <c r="V80" s="21">
        <f t="shared" si="2"/>
        <v>1600</v>
      </c>
    </row>
    <row r="81" ht="14.25" customHeight="1">
      <c r="A81" s="38">
        <v>0.30069444444444443</v>
      </c>
      <c r="B81" s="36">
        <v>119.0</v>
      </c>
      <c r="C81" s="36">
        <v>12.9</v>
      </c>
      <c r="D81" s="36">
        <v>1033.0</v>
      </c>
      <c r="E81" s="36">
        <v>902.0</v>
      </c>
      <c r="F81" s="36">
        <v>0.87</v>
      </c>
      <c r="G81" s="36">
        <v>17.0</v>
      </c>
      <c r="H81" s="36">
        <v>1.31</v>
      </c>
      <c r="I81" s="36">
        <v>21.8</v>
      </c>
      <c r="J81" s="36">
        <v>85.6</v>
      </c>
      <c r="K81" s="36">
        <v>122.0</v>
      </c>
      <c r="L81" s="36">
        <v>31.6</v>
      </c>
      <c r="M81" s="36">
        <v>93.0</v>
      </c>
      <c r="N81" s="36">
        <v>46.0</v>
      </c>
      <c r="O81" s="36">
        <v>17.0</v>
      </c>
      <c r="P81" s="36">
        <v>37.0</v>
      </c>
      <c r="Q81" s="36">
        <v>0.29</v>
      </c>
      <c r="R81" s="36">
        <v>1.06</v>
      </c>
      <c r="S81" s="36">
        <v>2.53</v>
      </c>
      <c r="T81" s="36">
        <v>3.59</v>
      </c>
      <c r="U81" s="21">
        <f t="shared" si="1"/>
        <v>3590</v>
      </c>
      <c r="V81" s="21">
        <f t="shared" si="2"/>
        <v>52900</v>
      </c>
    </row>
    <row r="82" ht="14.25" customHeight="1">
      <c r="A82" s="38">
        <v>0.30416666666666664</v>
      </c>
      <c r="B82" s="36">
        <v>120.0</v>
      </c>
      <c r="C82" s="36">
        <v>14.5</v>
      </c>
      <c r="D82" s="36">
        <v>1159.0</v>
      </c>
      <c r="E82" s="36">
        <v>1042.0</v>
      </c>
      <c r="F82" s="36">
        <v>0.9</v>
      </c>
      <c r="G82" s="36">
        <v>16.0</v>
      </c>
      <c r="H82" s="36">
        <v>1.64</v>
      </c>
      <c r="I82" s="36">
        <v>25.8</v>
      </c>
      <c r="J82" s="36">
        <v>83.0</v>
      </c>
      <c r="K82" s="36">
        <v>122.0</v>
      </c>
      <c r="L82" s="36">
        <v>31.6</v>
      </c>
      <c r="M82" s="36">
        <v>94.0</v>
      </c>
      <c r="N82" s="36">
        <v>46.0</v>
      </c>
      <c r="O82" s="36">
        <v>16.0</v>
      </c>
      <c r="P82" s="36">
        <v>41.0</v>
      </c>
      <c r="Q82" s="36">
        <v>0.29</v>
      </c>
      <c r="R82" s="36">
        <v>1.12</v>
      </c>
      <c r="S82" s="36">
        <v>2.7</v>
      </c>
      <c r="T82" s="36">
        <v>3.82</v>
      </c>
      <c r="U82" s="21">
        <f t="shared" si="1"/>
        <v>3820</v>
      </c>
      <c r="V82" s="21">
        <f t="shared" si="2"/>
        <v>400</v>
      </c>
    </row>
    <row r="83" ht="14.25" customHeight="1">
      <c r="A83" s="38">
        <v>0.30625</v>
      </c>
      <c r="B83" s="36">
        <v>122.0</v>
      </c>
      <c r="C83" s="36">
        <v>14.4</v>
      </c>
      <c r="D83" s="36">
        <v>1154.0</v>
      </c>
      <c r="E83" s="36">
        <v>1045.0</v>
      </c>
      <c r="F83" s="36">
        <v>0.91</v>
      </c>
      <c r="G83" s="36">
        <v>16.0</v>
      </c>
      <c r="H83" s="36">
        <v>1.64</v>
      </c>
      <c r="I83" s="36">
        <v>25.8</v>
      </c>
      <c r="J83" s="36">
        <v>82.9</v>
      </c>
      <c r="K83" s="36">
        <v>122.0</v>
      </c>
      <c r="L83" s="36">
        <v>31.3</v>
      </c>
      <c r="M83" s="36">
        <v>94.0</v>
      </c>
      <c r="N83" s="36">
        <v>46.0</v>
      </c>
      <c r="O83" s="36">
        <v>16.0</v>
      </c>
      <c r="P83" s="36">
        <v>41.0</v>
      </c>
      <c r="Q83" s="36">
        <v>0.28</v>
      </c>
      <c r="R83" s="36">
        <v>1.05</v>
      </c>
      <c r="S83" s="36">
        <v>2.75</v>
      </c>
      <c r="T83" s="36">
        <v>3.8</v>
      </c>
      <c r="U83" s="21">
        <f t="shared" si="1"/>
        <v>3800</v>
      </c>
      <c r="V83" s="21">
        <f t="shared" si="2"/>
        <v>62500</v>
      </c>
    </row>
    <row r="84" ht="14.25" customHeight="1">
      <c r="A84" s="38">
        <v>0.3090277777777778</v>
      </c>
      <c r="B84" s="36">
        <v>124.0</v>
      </c>
      <c r="C84" s="36">
        <v>12.6</v>
      </c>
      <c r="D84" s="36">
        <v>1008.0</v>
      </c>
      <c r="E84" s="36">
        <v>892.0</v>
      </c>
      <c r="F84" s="36">
        <v>0.88</v>
      </c>
      <c r="G84" s="36">
        <v>17.0</v>
      </c>
      <c r="H84" s="36">
        <v>1.26</v>
      </c>
      <c r="I84" s="36">
        <v>21.3</v>
      </c>
      <c r="J84" s="36">
        <v>85.9</v>
      </c>
      <c r="K84" s="36">
        <v>122.0</v>
      </c>
      <c r="L84" s="36">
        <v>31.7</v>
      </c>
      <c r="M84" s="36">
        <v>92.0</v>
      </c>
      <c r="N84" s="36">
        <v>47.0</v>
      </c>
      <c r="O84" s="36">
        <v>17.0</v>
      </c>
      <c r="P84" s="36">
        <v>36.0</v>
      </c>
      <c r="Q84" s="36">
        <v>0.26</v>
      </c>
      <c r="R84" s="36">
        <v>0.93</v>
      </c>
      <c r="S84" s="36">
        <v>2.62</v>
      </c>
      <c r="T84" s="36">
        <v>3.55</v>
      </c>
      <c r="U84" s="21">
        <f t="shared" si="1"/>
        <v>3550</v>
      </c>
      <c r="V84" s="21">
        <f t="shared" si="2"/>
        <v>3600</v>
      </c>
    </row>
    <row r="85" ht="14.25" customHeight="1">
      <c r="A85" s="38">
        <v>0.3111111111111111</v>
      </c>
      <c r="B85" s="36">
        <v>125.0</v>
      </c>
      <c r="C85" s="36">
        <v>13.5</v>
      </c>
      <c r="D85" s="36">
        <v>1077.0</v>
      </c>
      <c r="E85" s="36">
        <v>948.0</v>
      </c>
      <c r="F85" s="36">
        <v>0.88</v>
      </c>
      <c r="G85" s="36">
        <v>17.0</v>
      </c>
      <c r="H85" s="36">
        <v>1.33</v>
      </c>
      <c r="I85" s="36">
        <v>22.9</v>
      </c>
      <c r="J85" s="36">
        <v>84.9</v>
      </c>
      <c r="K85" s="36">
        <v>117.0</v>
      </c>
      <c r="L85" s="36">
        <v>34.2</v>
      </c>
      <c r="M85" s="36">
        <v>92.0</v>
      </c>
      <c r="N85" s="36">
        <v>47.0</v>
      </c>
      <c r="O85" s="36">
        <v>17.0</v>
      </c>
      <c r="P85" s="36">
        <v>38.0</v>
      </c>
      <c r="Q85" s="36">
        <v>0.27</v>
      </c>
      <c r="R85" s="36">
        <v>0.95</v>
      </c>
      <c r="S85" s="36">
        <v>2.54</v>
      </c>
      <c r="T85" s="36">
        <v>3.49</v>
      </c>
      <c r="U85" s="21">
        <f t="shared" si="1"/>
        <v>3490</v>
      </c>
      <c r="V85" s="21">
        <f t="shared" si="2"/>
        <v>900</v>
      </c>
    </row>
    <row r="86" ht="14.25" customHeight="1">
      <c r="A86" s="38">
        <v>0.3138888888888889</v>
      </c>
      <c r="B86" s="36">
        <v>127.0</v>
      </c>
      <c r="C86" s="36">
        <v>13.5</v>
      </c>
      <c r="D86" s="36">
        <v>1083.0</v>
      </c>
      <c r="E86" s="36">
        <v>946.0</v>
      </c>
      <c r="F86" s="36">
        <v>0.87</v>
      </c>
      <c r="G86" s="36">
        <v>17.0</v>
      </c>
      <c r="H86" s="36">
        <v>1.32</v>
      </c>
      <c r="I86" s="36">
        <v>22.6</v>
      </c>
      <c r="J86" s="36">
        <v>85.1</v>
      </c>
      <c r="K86" s="36">
        <v>117.0</v>
      </c>
      <c r="L86" s="36">
        <v>34.5</v>
      </c>
      <c r="M86" s="36">
        <v>91.0</v>
      </c>
      <c r="N86" s="36">
        <v>48.0</v>
      </c>
      <c r="O86" s="36">
        <v>17.0</v>
      </c>
      <c r="P86" s="36">
        <v>39.0</v>
      </c>
      <c r="Q86" s="36">
        <v>0.27</v>
      </c>
      <c r="R86" s="36">
        <v>0.94</v>
      </c>
      <c r="S86" s="36">
        <v>2.58</v>
      </c>
      <c r="T86" s="36">
        <v>3.52</v>
      </c>
      <c r="U86" s="21">
        <f t="shared" si="1"/>
        <v>3520</v>
      </c>
      <c r="V86" s="21">
        <f t="shared" si="2"/>
        <v>400</v>
      </c>
    </row>
    <row r="87" ht="14.25" customHeight="1">
      <c r="A87" s="38">
        <v>0.3159722222222222</v>
      </c>
      <c r="B87" s="36">
        <v>128.0</v>
      </c>
      <c r="C87" s="36">
        <v>13.7</v>
      </c>
      <c r="D87" s="36">
        <v>1093.0</v>
      </c>
      <c r="E87" s="36">
        <v>946.0</v>
      </c>
      <c r="F87" s="36">
        <v>0.87</v>
      </c>
      <c r="G87" s="36">
        <v>17.0</v>
      </c>
      <c r="H87" s="36">
        <v>1.34</v>
      </c>
      <c r="I87" s="36">
        <v>22.7</v>
      </c>
      <c r="J87" s="36">
        <v>85.0</v>
      </c>
      <c r="K87" s="36">
        <v>117.0</v>
      </c>
      <c r="L87" s="36">
        <v>34.5</v>
      </c>
      <c r="M87" s="36">
        <v>91.0</v>
      </c>
      <c r="N87" s="36">
        <v>48.0</v>
      </c>
      <c r="O87" s="36">
        <v>17.0</v>
      </c>
      <c r="P87" s="36">
        <v>39.0</v>
      </c>
      <c r="Q87" s="36">
        <v>0.27</v>
      </c>
      <c r="R87" s="36">
        <v>0.97</v>
      </c>
      <c r="S87" s="36">
        <v>2.57</v>
      </c>
      <c r="T87" s="36">
        <v>3.54</v>
      </c>
      <c r="U87" s="21">
        <f t="shared" si="1"/>
        <v>3540</v>
      </c>
      <c r="V87" s="21">
        <f t="shared" si="2"/>
        <v>2500</v>
      </c>
    </row>
    <row r="88" ht="14.25" customHeight="1">
      <c r="A88" s="38">
        <v>0.31875</v>
      </c>
      <c r="B88" s="36">
        <v>130.0</v>
      </c>
      <c r="C88" s="36">
        <v>14.3</v>
      </c>
      <c r="D88" s="36">
        <v>1141.0</v>
      </c>
      <c r="E88" s="36">
        <v>987.0</v>
      </c>
      <c r="F88" s="36">
        <v>0.87</v>
      </c>
      <c r="G88" s="36">
        <v>17.0</v>
      </c>
      <c r="H88" s="36">
        <v>1.38</v>
      </c>
      <c r="I88" s="36">
        <v>23.8</v>
      </c>
      <c r="J88" s="36">
        <v>84.3</v>
      </c>
      <c r="K88" s="36">
        <v>119.0</v>
      </c>
      <c r="L88" s="36">
        <v>33.0</v>
      </c>
      <c r="M88" s="36">
        <v>91.0</v>
      </c>
      <c r="N88" s="36">
        <v>47.0</v>
      </c>
      <c r="O88" s="36">
        <v>17.0</v>
      </c>
      <c r="P88" s="36">
        <v>41.0</v>
      </c>
      <c r="Q88" s="36">
        <v>0.29</v>
      </c>
      <c r="R88" s="36">
        <v>1.01</v>
      </c>
      <c r="S88" s="36">
        <v>2.47</v>
      </c>
      <c r="T88" s="36">
        <v>3.49</v>
      </c>
      <c r="U88" s="21">
        <f t="shared" si="1"/>
        <v>3490</v>
      </c>
      <c r="V88" s="21">
        <f t="shared" si="2"/>
        <v>0</v>
      </c>
    </row>
    <row r="89" ht="14.25" customHeight="1">
      <c r="A89" s="38">
        <v>0.32083333333333336</v>
      </c>
      <c r="B89" s="36">
        <v>131.0</v>
      </c>
      <c r="C89" s="36">
        <v>14.3</v>
      </c>
      <c r="D89" s="36">
        <v>1141.0</v>
      </c>
      <c r="E89" s="36">
        <v>987.0</v>
      </c>
      <c r="F89" s="36">
        <v>0.87</v>
      </c>
      <c r="G89" s="36">
        <v>17.0</v>
      </c>
      <c r="H89" s="36">
        <v>1.38</v>
      </c>
      <c r="I89" s="36">
        <v>23.8</v>
      </c>
      <c r="J89" s="36">
        <v>84.3</v>
      </c>
      <c r="K89" s="36">
        <v>119.0</v>
      </c>
      <c r="L89" s="36">
        <v>33.0</v>
      </c>
      <c r="M89" s="36">
        <v>91.0</v>
      </c>
      <c r="N89" s="36">
        <v>47.0</v>
      </c>
      <c r="O89" s="36">
        <v>17.0</v>
      </c>
      <c r="P89" s="36">
        <v>41.0</v>
      </c>
      <c r="Q89" s="36">
        <v>0.29</v>
      </c>
      <c r="R89" s="36">
        <v>1.01</v>
      </c>
      <c r="S89" s="36">
        <v>2.47</v>
      </c>
      <c r="T89" s="36">
        <v>3.49</v>
      </c>
      <c r="U89" s="21">
        <f t="shared" si="1"/>
        <v>3490</v>
      </c>
      <c r="V89" s="21">
        <f t="shared" si="2"/>
        <v>4900</v>
      </c>
    </row>
    <row r="90" ht="14.25" customHeight="1">
      <c r="A90" s="38">
        <v>0.3229166666666667</v>
      </c>
      <c r="B90" s="36">
        <v>132.0</v>
      </c>
      <c r="C90" s="36">
        <v>15.2</v>
      </c>
      <c r="D90" s="36">
        <v>1214.0</v>
      </c>
      <c r="E90" s="36">
        <v>1054.0</v>
      </c>
      <c r="F90" s="36">
        <v>0.87</v>
      </c>
      <c r="G90" s="36">
        <v>18.0</v>
      </c>
      <c r="H90" s="36">
        <v>1.44</v>
      </c>
      <c r="I90" s="36">
        <v>25.2</v>
      </c>
      <c r="J90" s="36">
        <v>83.3</v>
      </c>
      <c r="K90" s="36">
        <v>119.0</v>
      </c>
      <c r="L90" s="36">
        <v>33.0</v>
      </c>
      <c r="M90" s="36">
        <v>91.0</v>
      </c>
      <c r="N90" s="36">
        <v>47.0</v>
      </c>
      <c r="O90" s="36">
        <v>18.0</v>
      </c>
      <c r="P90" s="36">
        <v>43.0</v>
      </c>
      <c r="Q90" s="36">
        <v>0.31</v>
      </c>
      <c r="R90" s="36">
        <v>1.05</v>
      </c>
      <c r="S90" s="36">
        <v>2.37</v>
      </c>
      <c r="T90" s="36">
        <v>3.42</v>
      </c>
      <c r="U90" s="21">
        <f t="shared" si="1"/>
        <v>3420</v>
      </c>
      <c r="V90" s="21">
        <f t="shared" si="2"/>
        <v>0</v>
      </c>
    </row>
    <row r="91" ht="14.25" customHeight="1">
      <c r="A91" s="38">
        <v>0.32569444444444445</v>
      </c>
      <c r="B91" s="36">
        <v>134.0</v>
      </c>
      <c r="C91" s="36">
        <v>15.2</v>
      </c>
      <c r="D91" s="36">
        <v>1214.0</v>
      </c>
      <c r="E91" s="36">
        <v>1054.0</v>
      </c>
      <c r="F91" s="36">
        <v>0.87</v>
      </c>
      <c r="G91" s="36">
        <v>18.0</v>
      </c>
      <c r="H91" s="36">
        <v>1.44</v>
      </c>
      <c r="I91" s="36">
        <v>25.2</v>
      </c>
      <c r="J91" s="36">
        <v>83.3</v>
      </c>
      <c r="K91" s="36">
        <v>124.0</v>
      </c>
      <c r="L91" s="36">
        <v>30.6</v>
      </c>
      <c r="M91" s="36">
        <v>91.0</v>
      </c>
      <c r="N91" s="36">
        <v>47.0</v>
      </c>
      <c r="O91" s="36">
        <v>18.0</v>
      </c>
      <c r="P91" s="36">
        <v>43.0</v>
      </c>
      <c r="Q91" s="36">
        <v>0.31</v>
      </c>
      <c r="R91" s="36">
        <v>1.05</v>
      </c>
      <c r="S91" s="36">
        <v>2.37</v>
      </c>
      <c r="T91" s="36">
        <v>3.42</v>
      </c>
      <c r="U91" s="21">
        <f t="shared" si="1"/>
        <v>3420</v>
      </c>
      <c r="V91" s="21">
        <f t="shared" si="2"/>
        <v>1600</v>
      </c>
    </row>
    <row r="92" ht="14.25" customHeight="1">
      <c r="A92" s="38">
        <v>0.3277777777777778</v>
      </c>
      <c r="B92" s="36">
        <v>135.0</v>
      </c>
      <c r="C92" s="36">
        <v>15.6</v>
      </c>
      <c r="D92" s="36">
        <v>1249.0</v>
      </c>
      <c r="E92" s="36">
        <v>1089.0</v>
      </c>
      <c r="F92" s="36">
        <v>0.87</v>
      </c>
      <c r="G92" s="36">
        <v>18.0</v>
      </c>
      <c r="H92" s="36">
        <v>1.47</v>
      </c>
      <c r="I92" s="36">
        <v>26.1</v>
      </c>
      <c r="J92" s="36">
        <v>82.8</v>
      </c>
      <c r="K92" s="36">
        <v>129.0</v>
      </c>
      <c r="L92" s="36">
        <v>27.8</v>
      </c>
      <c r="M92" s="36">
        <v>91.0</v>
      </c>
      <c r="N92" s="36">
        <v>47.0</v>
      </c>
      <c r="O92" s="36">
        <v>18.0</v>
      </c>
      <c r="P92" s="36">
        <v>44.0</v>
      </c>
      <c r="Q92" s="36">
        <v>0.31</v>
      </c>
      <c r="R92" s="36">
        <v>1.03</v>
      </c>
      <c r="S92" s="36">
        <v>2.34</v>
      </c>
      <c r="T92" s="36">
        <v>3.38</v>
      </c>
      <c r="U92" s="21">
        <f t="shared" si="1"/>
        <v>3380</v>
      </c>
      <c r="V92" s="21">
        <f t="shared" si="2"/>
        <v>4900</v>
      </c>
    </row>
    <row r="93" ht="14.25" customHeight="1">
      <c r="A93" s="38">
        <v>0.33055555555555555</v>
      </c>
      <c r="B93" s="36">
        <v>137.0</v>
      </c>
      <c r="C93" s="36">
        <v>16.0</v>
      </c>
      <c r="D93" s="36">
        <v>1280.0</v>
      </c>
      <c r="E93" s="36">
        <v>1113.0</v>
      </c>
      <c r="F93" s="36">
        <v>0.87</v>
      </c>
      <c r="G93" s="36">
        <v>18.0</v>
      </c>
      <c r="H93" s="36">
        <v>1.48</v>
      </c>
      <c r="I93" s="36">
        <v>26.8</v>
      </c>
      <c r="J93" s="36">
        <v>82.3</v>
      </c>
      <c r="K93" s="36">
        <v>130.0</v>
      </c>
      <c r="L93" s="36">
        <v>26.9</v>
      </c>
      <c r="M93" s="36">
        <v>91.0</v>
      </c>
      <c r="N93" s="36">
        <v>47.0</v>
      </c>
      <c r="O93" s="36">
        <v>18.0</v>
      </c>
      <c r="P93" s="36">
        <v>46.0</v>
      </c>
      <c r="Q93" s="36">
        <v>0.32</v>
      </c>
      <c r="R93" s="36">
        <v>1.05</v>
      </c>
      <c r="S93" s="36">
        <v>2.26</v>
      </c>
      <c r="T93" s="36">
        <v>3.31</v>
      </c>
      <c r="U93" s="21">
        <f t="shared" si="1"/>
        <v>3310</v>
      </c>
      <c r="V93" s="21">
        <f t="shared" si="2"/>
        <v>19600</v>
      </c>
    </row>
    <row r="94" ht="14.25" customHeight="1">
      <c r="A94" s="38">
        <v>0.3333333333333333</v>
      </c>
      <c r="B94" s="36">
        <v>138.0</v>
      </c>
      <c r="C94" s="36">
        <v>15.6</v>
      </c>
      <c r="D94" s="36">
        <v>1251.0</v>
      </c>
      <c r="E94" s="36">
        <v>1089.0</v>
      </c>
      <c r="F94" s="36">
        <v>0.87</v>
      </c>
      <c r="G94" s="36">
        <v>17.0</v>
      </c>
      <c r="H94" s="36">
        <v>1.49</v>
      </c>
      <c r="I94" s="36">
        <v>25.9</v>
      </c>
      <c r="J94" s="36">
        <v>82.9</v>
      </c>
      <c r="K94" s="36">
        <v>130.0</v>
      </c>
      <c r="L94" s="36">
        <v>27.1</v>
      </c>
      <c r="M94" s="36">
        <v>90.0</v>
      </c>
      <c r="N94" s="36">
        <v>48.0</v>
      </c>
      <c r="O94" s="36">
        <v>17.0</v>
      </c>
      <c r="P94" s="36">
        <v>45.0</v>
      </c>
      <c r="Q94" s="36">
        <v>0.29</v>
      </c>
      <c r="R94" s="36">
        <v>1.0</v>
      </c>
      <c r="S94" s="36">
        <v>2.45</v>
      </c>
      <c r="T94" s="36">
        <v>3.45</v>
      </c>
      <c r="U94" s="21">
        <f t="shared" si="1"/>
        <v>3450</v>
      </c>
      <c r="V94" s="21">
        <f t="shared" si="2"/>
        <v>900</v>
      </c>
    </row>
    <row r="95" ht="14.25" customHeight="1">
      <c r="A95" s="38">
        <v>0.33541666666666664</v>
      </c>
      <c r="B95" s="36">
        <v>140.0</v>
      </c>
      <c r="C95" s="36">
        <v>16.4</v>
      </c>
      <c r="D95" s="36">
        <v>1308.0</v>
      </c>
      <c r="E95" s="36">
        <v>1139.0</v>
      </c>
      <c r="F95" s="36">
        <v>0.87</v>
      </c>
      <c r="G95" s="36">
        <v>17.0</v>
      </c>
      <c r="H95" s="36">
        <v>1.57</v>
      </c>
      <c r="I95" s="36">
        <v>27.1</v>
      </c>
      <c r="J95" s="36">
        <v>82.1</v>
      </c>
      <c r="K95" s="36">
        <v>130.0</v>
      </c>
      <c r="L95" s="36">
        <v>26.7</v>
      </c>
      <c r="M95" s="36">
        <v>90.0</v>
      </c>
      <c r="N95" s="36">
        <v>48.0</v>
      </c>
      <c r="O95" s="36">
        <v>17.0</v>
      </c>
      <c r="P95" s="36">
        <v>47.0</v>
      </c>
      <c r="Q95" s="36">
        <v>0.3</v>
      </c>
      <c r="R95" s="36">
        <v>1.03</v>
      </c>
      <c r="S95" s="36">
        <v>2.45</v>
      </c>
      <c r="T95" s="36">
        <v>3.48</v>
      </c>
      <c r="U95" s="21">
        <f t="shared" si="1"/>
        <v>3480</v>
      </c>
      <c r="V95" s="21">
        <f t="shared" si="2"/>
        <v>1600</v>
      </c>
    </row>
    <row r="96" ht="14.25" customHeight="1">
      <c r="A96" s="38">
        <v>0.33819444444444446</v>
      </c>
      <c r="B96" s="36">
        <v>141.0</v>
      </c>
      <c r="C96" s="36">
        <v>16.4</v>
      </c>
      <c r="D96" s="36">
        <v>1316.0</v>
      </c>
      <c r="E96" s="36">
        <v>1155.0</v>
      </c>
      <c r="F96" s="36">
        <v>0.88</v>
      </c>
      <c r="G96" s="36">
        <v>17.0</v>
      </c>
      <c r="H96" s="36">
        <v>1.6</v>
      </c>
      <c r="I96" s="36">
        <v>27.3</v>
      </c>
      <c r="J96" s="36">
        <v>82.0</v>
      </c>
      <c r="K96" s="36">
        <v>131.0</v>
      </c>
      <c r="L96" s="36">
        <v>26.4</v>
      </c>
      <c r="M96" s="36">
        <v>91.0</v>
      </c>
      <c r="N96" s="36">
        <v>48.0</v>
      </c>
      <c r="O96" s="36">
        <v>17.0</v>
      </c>
      <c r="P96" s="36">
        <v>47.0</v>
      </c>
      <c r="Q96" s="36">
        <v>0.3</v>
      </c>
      <c r="R96" s="36">
        <v>1.04</v>
      </c>
      <c r="S96" s="36">
        <v>2.48</v>
      </c>
      <c r="T96" s="36">
        <v>3.52</v>
      </c>
      <c r="U96" s="21">
        <f t="shared" si="1"/>
        <v>3520</v>
      </c>
      <c r="V96" s="21">
        <f t="shared" si="2"/>
        <v>0</v>
      </c>
    </row>
    <row r="97" ht="14.25" customHeight="1">
      <c r="A97" s="38">
        <v>0.3402777777777778</v>
      </c>
      <c r="B97" s="36">
        <v>143.0</v>
      </c>
      <c r="C97" s="36">
        <v>16.9</v>
      </c>
      <c r="D97" s="36">
        <v>1349.0</v>
      </c>
      <c r="E97" s="36">
        <v>1177.0</v>
      </c>
      <c r="F97" s="36">
        <v>0.87</v>
      </c>
      <c r="G97" s="36">
        <v>17.0</v>
      </c>
      <c r="H97" s="36">
        <v>1.62</v>
      </c>
      <c r="I97" s="36">
        <v>27.6</v>
      </c>
      <c r="J97" s="36">
        <v>81.7</v>
      </c>
      <c r="K97" s="36">
        <v>131.0</v>
      </c>
      <c r="L97" s="36">
        <v>26.4</v>
      </c>
      <c r="M97" s="36">
        <v>90.0</v>
      </c>
      <c r="N97" s="36">
        <v>49.0</v>
      </c>
      <c r="O97" s="36">
        <v>17.0</v>
      </c>
      <c r="P97" s="36">
        <v>48.0</v>
      </c>
      <c r="Q97" s="36">
        <v>0.3</v>
      </c>
      <c r="R97" s="36">
        <v>1.05</v>
      </c>
      <c r="S97" s="36">
        <v>2.48</v>
      </c>
      <c r="T97" s="36">
        <v>3.52</v>
      </c>
      <c r="U97" s="21">
        <f t="shared" si="1"/>
        <v>3520</v>
      </c>
      <c r="V97" s="21">
        <f t="shared" si="2"/>
        <v>52900</v>
      </c>
    </row>
    <row r="98" ht="14.25" customHeight="1">
      <c r="A98" s="38">
        <v>0.3423611111111111</v>
      </c>
      <c r="B98" s="36">
        <v>144.0</v>
      </c>
      <c r="C98" s="36">
        <v>17.9</v>
      </c>
      <c r="D98" s="36">
        <v>1432.0</v>
      </c>
      <c r="E98" s="36">
        <v>1259.0</v>
      </c>
      <c r="F98" s="36">
        <v>0.88</v>
      </c>
      <c r="G98" s="36">
        <v>18.0</v>
      </c>
      <c r="H98" s="36">
        <v>1.62</v>
      </c>
      <c r="I98" s="36">
        <v>29.5</v>
      </c>
      <c r="J98" s="36">
        <v>80.5</v>
      </c>
      <c r="K98" s="36">
        <v>131.0</v>
      </c>
      <c r="L98" s="36">
        <v>26.4</v>
      </c>
      <c r="M98" s="36">
        <v>92.0</v>
      </c>
      <c r="N98" s="36">
        <v>48.0</v>
      </c>
      <c r="O98" s="36">
        <v>18.0</v>
      </c>
      <c r="P98" s="36">
        <v>51.0</v>
      </c>
      <c r="Q98" s="36">
        <v>0.33</v>
      </c>
      <c r="R98" s="36">
        <v>1.08</v>
      </c>
      <c r="S98" s="36">
        <v>2.2</v>
      </c>
      <c r="T98" s="36">
        <v>3.29</v>
      </c>
      <c r="U98" s="21">
        <f t="shared" si="1"/>
        <v>3290</v>
      </c>
      <c r="V98" s="21">
        <f t="shared" si="2"/>
        <v>400</v>
      </c>
    </row>
    <row r="99" ht="14.25" customHeight="1">
      <c r="A99" s="38">
        <v>0.34444444444444444</v>
      </c>
      <c r="B99" s="36">
        <v>145.0</v>
      </c>
      <c r="C99" s="36">
        <v>17.9</v>
      </c>
      <c r="D99" s="36">
        <v>1434.0</v>
      </c>
      <c r="E99" s="36">
        <v>1270.0</v>
      </c>
      <c r="F99" s="36">
        <v>0.89</v>
      </c>
      <c r="G99" s="36">
        <v>18.0</v>
      </c>
      <c r="H99" s="36">
        <v>1.61</v>
      </c>
      <c r="I99" s="36">
        <v>29.6</v>
      </c>
      <c r="J99" s="36">
        <v>80.4</v>
      </c>
      <c r="K99" s="36">
        <v>130.0</v>
      </c>
      <c r="L99" s="36">
        <v>26.9</v>
      </c>
      <c r="M99" s="36">
        <v>92.0</v>
      </c>
      <c r="N99" s="36">
        <v>48.0</v>
      </c>
      <c r="O99" s="36">
        <v>18.0</v>
      </c>
      <c r="P99" s="36">
        <v>51.0</v>
      </c>
      <c r="Q99" s="36">
        <v>0.33</v>
      </c>
      <c r="R99" s="36">
        <v>1.09</v>
      </c>
      <c r="S99" s="36">
        <v>2.18</v>
      </c>
      <c r="T99" s="36">
        <v>3.27</v>
      </c>
      <c r="U99" s="21">
        <f t="shared" si="1"/>
        <v>3270</v>
      </c>
      <c r="V99" s="21">
        <f t="shared" si="2"/>
        <v>400</v>
      </c>
    </row>
    <row r="100" ht="14.25" customHeight="1">
      <c r="A100" s="38">
        <v>0.34652777777777777</v>
      </c>
      <c r="B100" s="36">
        <v>146.0</v>
      </c>
      <c r="C100" s="36">
        <v>17.9</v>
      </c>
      <c r="D100" s="36">
        <v>1431.0</v>
      </c>
      <c r="E100" s="36">
        <v>1275.0</v>
      </c>
      <c r="F100" s="36">
        <v>0.89</v>
      </c>
      <c r="G100" s="36">
        <v>18.0</v>
      </c>
      <c r="H100" s="36">
        <v>1.6</v>
      </c>
      <c r="I100" s="36">
        <v>29.5</v>
      </c>
      <c r="J100" s="36">
        <v>80.5</v>
      </c>
      <c r="K100" s="36">
        <v>130.0</v>
      </c>
      <c r="L100" s="36">
        <v>26.9</v>
      </c>
      <c r="M100" s="36">
        <v>92.0</v>
      </c>
      <c r="N100" s="36">
        <v>48.0</v>
      </c>
      <c r="O100" s="36">
        <v>18.0</v>
      </c>
      <c r="P100" s="36">
        <v>51.0</v>
      </c>
      <c r="Q100" s="36">
        <v>0.33</v>
      </c>
      <c r="R100" s="36">
        <v>1.08</v>
      </c>
      <c r="S100" s="36">
        <v>2.16</v>
      </c>
      <c r="T100" s="36">
        <v>3.25</v>
      </c>
      <c r="U100" s="21">
        <f t="shared" si="1"/>
        <v>3250</v>
      </c>
      <c r="V100" s="21">
        <f t="shared" si="2"/>
        <v>900</v>
      </c>
    </row>
    <row r="101" ht="14.25" customHeight="1">
      <c r="A101" s="38">
        <v>0.34930555555555554</v>
      </c>
      <c r="B101" s="36">
        <v>148.0</v>
      </c>
      <c r="C101" s="36">
        <v>18.2</v>
      </c>
      <c r="D101" s="36">
        <v>1454.0</v>
      </c>
      <c r="E101" s="36">
        <v>1296.0</v>
      </c>
      <c r="F101" s="36">
        <v>0.89</v>
      </c>
      <c r="G101" s="36">
        <v>18.0</v>
      </c>
      <c r="H101" s="36">
        <v>1.64</v>
      </c>
      <c r="I101" s="36">
        <v>30.0</v>
      </c>
      <c r="J101" s="36">
        <v>80.1</v>
      </c>
      <c r="K101" s="36">
        <v>132.0</v>
      </c>
      <c r="L101" s="36">
        <v>25.9</v>
      </c>
      <c r="M101" s="36">
        <v>92.0</v>
      </c>
      <c r="N101" s="36">
        <v>48.0</v>
      </c>
      <c r="O101" s="36">
        <v>18.0</v>
      </c>
      <c r="P101" s="36">
        <v>52.0</v>
      </c>
      <c r="Q101" s="36">
        <v>0.33</v>
      </c>
      <c r="R101" s="36">
        <v>1.09</v>
      </c>
      <c r="S101" s="36">
        <v>2.18</v>
      </c>
      <c r="T101" s="36">
        <v>3.28</v>
      </c>
      <c r="U101" s="21">
        <f t="shared" si="1"/>
        <v>3280</v>
      </c>
      <c r="V101" s="21">
        <f t="shared" si="2"/>
        <v>400</v>
      </c>
    </row>
    <row r="102" ht="14.25" customHeight="1">
      <c r="A102" s="38">
        <v>0.35138888888888886</v>
      </c>
      <c r="B102" s="36">
        <v>149.0</v>
      </c>
      <c r="C102" s="36">
        <v>18.2</v>
      </c>
      <c r="D102" s="36">
        <v>1454.0</v>
      </c>
      <c r="E102" s="36">
        <v>1305.0</v>
      </c>
      <c r="F102" s="36">
        <v>0.9</v>
      </c>
      <c r="G102" s="36">
        <v>18.0</v>
      </c>
      <c r="H102" s="36">
        <v>1.64</v>
      </c>
      <c r="I102" s="36">
        <v>30.2</v>
      </c>
      <c r="J102" s="36">
        <v>80.0</v>
      </c>
      <c r="K102" s="36">
        <v>131.0</v>
      </c>
      <c r="L102" s="36">
        <v>26.2</v>
      </c>
      <c r="M102" s="36">
        <v>93.0</v>
      </c>
      <c r="N102" s="36">
        <v>48.0</v>
      </c>
      <c r="O102" s="36">
        <v>18.0</v>
      </c>
      <c r="P102" s="36">
        <v>52.0</v>
      </c>
      <c r="Q102" s="36">
        <v>0.34</v>
      </c>
      <c r="R102" s="36">
        <v>1.1</v>
      </c>
      <c r="S102" s="36">
        <v>2.17</v>
      </c>
      <c r="T102" s="36">
        <v>3.26</v>
      </c>
      <c r="U102" s="21">
        <f t="shared" si="1"/>
        <v>3260</v>
      </c>
      <c r="V102" s="21">
        <f t="shared" si="2"/>
        <v>100</v>
      </c>
    </row>
    <row r="103" ht="14.25" customHeight="1">
      <c r="A103" s="38">
        <v>0.3541666666666667</v>
      </c>
      <c r="B103" s="36">
        <v>150.0</v>
      </c>
      <c r="C103" s="36">
        <v>18.0</v>
      </c>
      <c r="D103" s="36">
        <v>1439.0</v>
      </c>
      <c r="E103" s="36">
        <v>1298.0</v>
      </c>
      <c r="F103" s="36">
        <v>0.9</v>
      </c>
      <c r="G103" s="36">
        <v>18.0</v>
      </c>
      <c r="H103" s="36">
        <v>1.63</v>
      </c>
      <c r="I103" s="36">
        <v>30.1</v>
      </c>
      <c r="J103" s="36">
        <v>80.1</v>
      </c>
      <c r="K103" s="36">
        <v>133.0</v>
      </c>
      <c r="L103" s="36">
        <v>25.1</v>
      </c>
      <c r="M103" s="36">
        <v>93.0</v>
      </c>
      <c r="N103" s="36">
        <v>48.0</v>
      </c>
      <c r="O103" s="36">
        <v>18.0</v>
      </c>
      <c r="P103" s="36">
        <v>51.0</v>
      </c>
      <c r="Q103" s="36">
        <v>0.34</v>
      </c>
      <c r="R103" s="36">
        <v>1.11</v>
      </c>
      <c r="S103" s="36">
        <v>2.14</v>
      </c>
      <c r="T103" s="36">
        <v>3.25</v>
      </c>
      <c r="U103" s="21">
        <f t="shared" si="1"/>
        <v>3250</v>
      </c>
      <c r="V103" s="8">
        <v>0.0</v>
      </c>
    </row>
    <row r="104" ht="14.25" customHeight="1">
      <c r="A104" s="36" t="s">
        <v>80</v>
      </c>
      <c r="U104" s="21">
        <f t="shared" si="1"/>
        <v>0</v>
      </c>
    </row>
    <row r="105" ht="14.25" customHeight="1">
      <c r="A105" s="38">
        <v>0.35625</v>
      </c>
      <c r="B105" s="36">
        <v>152.0</v>
      </c>
      <c r="C105" s="36">
        <v>18.2</v>
      </c>
      <c r="D105" s="36">
        <v>1458.0</v>
      </c>
      <c r="E105" s="36">
        <v>1321.0</v>
      </c>
      <c r="F105" s="36">
        <v>0.91</v>
      </c>
      <c r="G105" s="36">
        <v>19.0</v>
      </c>
      <c r="H105" s="36">
        <v>1.64</v>
      </c>
      <c r="I105" s="36">
        <v>30.5</v>
      </c>
      <c r="J105" s="36">
        <v>79.8</v>
      </c>
      <c r="K105" s="36">
        <v>135.0</v>
      </c>
      <c r="L105" s="36">
        <v>24.2</v>
      </c>
      <c r="M105" s="36">
        <v>93.0</v>
      </c>
      <c r="N105" s="36">
        <v>48.0</v>
      </c>
      <c r="O105" s="36">
        <v>19.0</v>
      </c>
      <c r="P105" s="36">
        <v>52.0</v>
      </c>
      <c r="Q105" s="36">
        <v>0.33</v>
      </c>
      <c r="R105" s="36">
        <v>1.08</v>
      </c>
      <c r="S105" s="36">
        <v>2.15</v>
      </c>
      <c r="T105" s="36">
        <v>3.23</v>
      </c>
      <c r="U105" s="21">
        <f t="shared" si="1"/>
        <v>3230</v>
      </c>
      <c r="V105" s="21">
        <f t="shared" ref="V105:V106" si="3">(U105-U106)^2</f>
        <v>900</v>
      </c>
      <c r="W105" s="21">
        <f>SQRT((AVERAGE(V105:V107)))</f>
        <v>47.25815626</v>
      </c>
    </row>
    <row r="106" ht="14.25" customHeight="1">
      <c r="A106" s="38">
        <v>0.35833333333333334</v>
      </c>
      <c r="B106" s="36">
        <v>153.0</v>
      </c>
      <c r="C106" s="36">
        <v>18.5</v>
      </c>
      <c r="D106" s="36">
        <v>1479.0</v>
      </c>
      <c r="E106" s="36">
        <v>1361.0</v>
      </c>
      <c r="F106" s="36">
        <v>0.92</v>
      </c>
      <c r="G106" s="36">
        <v>19.0</v>
      </c>
      <c r="H106" s="36">
        <v>1.68</v>
      </c>
      <c r="I106" s="36">
        <v>31.5</v>
      </c>
      <c r="J106" s="36">
        <v>79.2</v>
      </c>
      <c r="K106" s="36">
        <v>136.0</v>
      </c>
      <c r="L106" s="36">
        <v>23.6</v>
      </c>
      <c r="M106" s="36">
        <v>93.0</v>
      </c>
      <c r="N106" s="36">
        <v>48.0</v>
      </c>
      <c r="O106" s="36">
        <v>19.0</v>
      </c>
      <c r="P106" s="36">
        <v>53.0</v>
      </c>
      <c r="Q106" s="36">
        <v>0.33</v>
      </c>
      <c r="R106" s="36">
        <v>1.07</v>
      </c>
      <c r="S106" s="36">
        <v>2.13</v>
      </c>
      <c r="T106" s="36">
        <v>3.2</v>
      </c>
      <c r="U106" s="21">
        <f t="shared" si="1"/>
        <v>3200</v>
      </c>
      <c r="V106" s="21">
        <f t="shared" si="3"/>
        <v>900</v>
      </c>
    </row>
    <row r="107" ht="14.25" customHeight="1">
      <c r="A107" s="38">
        <v>0.36041666666666666</v>
      </c>
      <c r="B107" s="36">
        <v>155.0</v>
      </c>
      <c r="C107" s="36">
        <v>19.0</v>
      </c>
      <c r="D107" s="36">
        <v>1523.0</v>
      </c>
      <c r="E107" s="36">
        <v>1419.0</v>
      </c>
      <c r="F107" s="36">
        <v>0.93</v>
      </c>
      <c r="G107" s="36">
        <v>19.0</v>
      </c>
      <c r="H107" s="36">
        <v>1.73</v>
      </c>
      <c r="I107" s="36">
        <v>32.7</v>
      </c>
      <c r="J107" s="36">
        <v>78.3</v>
      </c>
      <c r="K107" s="36">
        <v>139.0</v>
      </c>
      <c r="L107" s="36">
        <v>22.2</v>
      </c>
      <c r="M107" s="36">
        <v>94.0</v>
      </c>
      <c r="N107" s="36">
        <v>48.0</v>
      </c>
      <c r="O107" s="36">
        <v>19.0</v>
      </c>
      <c r="P107" s="36">
        <v>54.0</v>
      </c>
      <c r="Q107" s="36">
        <v>0.33</v>
      </c>
      <c r="R107" s="36">
        <v>1.04</v>
      </c>
      <c r="S107" s="36">
        <v>2.13</v>
      </c>
      <c r="T107" s="36">
        <v>3.17</v>
      </c>
      <c r="U107" s="21">
        <f t="shared" si="1"/>
        <v>3170</v>
      </c>
      <c r="V107" s="21">
        <f>(U107-U109)^2</f>
        <v>4900</v>
      </c>
    </row>
    <row r="108" ht="14.25" customHeight="1">
      <c r="A108" s="36" t="s">
        <v>81</v>
      </c>
      <c r="V108" s="8"/>
    </row>
    <row r="109" ht="14.25" customHeight="1">
      <c r="A109" s="38">
        <v>0.3625</v>
      </c>
      <c r="B109" s="36">
        <v>156.0</v>
      </c>
      <c r="C109" s="36">
        <v>19.6</v>
      </c>
      <c r="D109" s="36">
        <v>1565.0</v>
      </c>
      <c r="E109" s="36">
        <v>1478.0</v>
      </c>
      <c r="F109" s="36">
        <v>0.94</v>
      </c>
      <c r="G109" s="36">
        <v>19.0</v>
      </c>
      <c r="H109" s="36">
        <v>1.76</v>
      </c>
      <c r="I109" s="36">
        <v>34.0</v>
      </c>
      <c r="J109" s="36">
        <v>77.5</v>
      </c>
      <c r="K109" s="36">
        <v>139.0</v>
      </c>
      <c r="L109" s="36">
        <v>22.2</v>
      </c>
      <c r="M109" s="36">
        <v>94.0</v>
      </c>
      <c r="N109" s="36">
        <v>48.0</v>
      </c>
      <c r="O109" s="36">
        <v>19.0</v>
      </c>
      <c r="P109" s="36">
        <v>56.0</v>
      </c>
      <c r="Q109" s="36">
        <v>0.32</v>
      </c>
      <c r="R109" s="36">
        <v>0.98</v>
      </c>
      <c r="S109" s="36">
        <v>2.12</v>
      </c>
      <c r="T109" s="36">
        <v>3.1</v>
      </c>
      <c r="U109" s="21">
        <f t="shared" ref="U109:U119" si="4">1000*T109</f>
        <v>3100</v>
      </c>
      <c r="V109" s="21">
        <f t="shared" ref="V109:V115" si="5">(U109-U110)^2</f>
        <v>100</v>
      </c>
      <c r="W109" s="21">
        <f>SQRT(AVERAGE(V109:V119))</f>
        <v>34.64101615</v>
      </c>
    </row>
    <row r="110" ht="14.25" customHeight="1">
      <c r="A110" s="38">
        <v>0.3645833333333333</v>
      </c>
      <c r="B110" s="36">
        <v>158.0</v>
      </c>
      <c r="C110" s="36">
        <v>19.4</v>
      </c>
      <c r="D110" s="36">
        <v>1555.0</v>
      </c>
      <c r="E110" s="36">
        <v>1498.0</v>
      </c>
      <c r="F110" s="36">
        <v>0.96</v>
      </c>
      <c r="G110" s="36">
        <v>19.0</v>
      </c>
      <c r="H110" s="36">
        <v>1.79</v>
      </c>
      <c r="I110" s="36">
        <v>34.8</v>
      </c>
      <c r="J110" s="36">
        <v>77.0</v>
      </c>
      <c r="K110" s="36">
        <v>139.0</v>
      </c>
      <c r="L110" s="36">
        <v>22.2</v>
      </c>
      <c r="M110" s="36">
        <v>95.0</v>
      </c>
      <c r="N110" s="36">
        <v>48.0</v>
      </c>
      <c r="O110" s="36">
        <v>19.0</v>
      </c>
      <c r="P110" s="36">
        <v>55.0</v>
      </c>
      <c r="Q110" s="36">
        <v>0.32</v>
      </c>
      <c r="R110" s="36">
        <v>1.0</v>
      </c>
      <c r="S110" s="36">
        <v>2.09</v>
      </c>
      <c r="T110" s="36">
        <v>3.09</v>
      </c>
      <c r="U110" s="21">
        <f t="shared" si="4"/>
        <v>3090</v>
      </c>
      <c r="V110" s="21">
        <f t="shared" si="5"/>
        <v>2500</v>
      </c>
    </row>
    <row r="111" ht="14.25" customHeight="1">
      <c r="A111" s="38">
        <v>0.36666666666666664</v>
      </c>
      <c r="B111" s="36">
        <v>159.0</v>
      </c>
      <c r="C111" s="36">
        <v>20.0</v>
      </c>
      <c r="D111" s="36">
        <v>1599.0</v>
      </c>
      <c r="E111" s="36">
        <v>1564.0</v>
      </c>
      <c r="F111" s="36">
        <v>0.98</v>
      </c>
      <c r="G111" s="36">
        <v>20.0</v>
      </c>
      <c r="H111" s="36">
        <v>1.84</v>
      </c>
      <c r="I111" s="36">
        <v>36.2</v>
      </c>
      <c r="J111" s="36">
        <v>76.0</v>
      </c>
      <c r="K111" s="36">
        <v>141.0</v>
      </c>
      <c r="L111" s="36">
        <v>21.1</v>
      </c>
      <c r="M111" s="36">
        <v>95.0</v>
      </c>
      <c r="N111" s="36">
        <v>48.0</v>
      </c>
      <c r="O111" s="36">
        <v>20.0</v>
      </c>
      <c r="P111" s="36">
        <v>57.0</v>
      </c>
      <c r="Q111" s="36">
        <v>0.31</v>
      </c>
      <c r="R111" s="36">
        <v>0.96</v>
      </c>
      <c r="S111" s="36">
        <v>2.09</v>
      </c>
      <c r="T111" s="36">
        <v>3.04</v>
      </c>
      <c r="U111" s="21">
        <f t="shared" si="4"/>
        <v>3040</v>
      </c>
      <c r="V111" s="21">
        <f t="shared" si="5"/>
        <v>1600</v>
      </c>
    </row>
    <row r="112" ht="14.25" customHeight="1">
      <c r="A112" s="38">
        <v>0.36875</v>
      </c>
      <c r="B112" s="36">
        <v>160.0</v>
      </c>
      <c r="C112" s="36">
        <v>20.3</v>
      </c>
      <c r="D112" s="36">
        <v>1624.0</v>
      </c>
      <c r="E112" s="36">
        <v>1596.0</v>
      </c>
      <c r="F112" s="36">
        <v>0.98</v>
      </c>
      <c r="G112" s="36">
        <v>20.0</v>
      </c>
      <c r="H112" s="36">
        <v>1.89</v>
      </c>
      <c r="I112" s="36">
        <v>36.9</v>
      </c>
      <c r="J112" s="36">
        <v>75.6</v>
      </c>
      <c r="K112" s="36">
        <v>142.0</v>
      </c>
      <c r="L112" s="36">
        <v>20.1</v>
      </c>
      <c r="M112" s="36">
        <v>96.0</v>
      </c>
      <c r="N112" s="36">
        <v>48.0</v>
      </c>
      <c r="O112" s="36">
        <v>20.0</v>
      </c>
      <c r="P112" s="36">
        <v>58.0</v>
      </c>
      <c r="Q112" s="36">
        <v>0.32</v>
      </c>
      <c r="R112" s="36">
        <v>0.98</v>
      </c>
      <c r="S112" s="36">
        <v>2.1</v>
      </c>
      <c r="T112" s="36">
        <v>3.08</v>
      </c>
      <c r="U112" s="21">
        <f t="shared" si="4"/>
        <v>3080</v>
      </c>
      <c r="V112" s="21">
        <f t="shared" si="5"/>
        <v>400</v>
      </c>
    </row>
    <row r="113" ht="14.25" customHeight="1">
      <c r="A113" s="38">
        <v>0.3715277777777778</v>
      </c>
      <c r="B113" s="36">
        <v>161.0</v>
      </c>
      <c r="C113" s="36">
        <v>19.9</v>
      </c>
      <c r="D113" s="36">
        <v>1592.0</v>
      </c>
      <c r="E113" s="36">
        <v>1556.0</v>
      </c>
      <c r="F113" s="36">
        <v>0.98</v>
      </c>
      <c r="G113" s="36">
        <v>20.0</v>
      </c>
      <c r="H113" s="36">
        <v>1.83</v>
      </c>
      <c r="I113" s="36">
        <v>35.9</v>
      </c>
      <c r="J113" s="36">
        <v>76.2</v>
      </c>
      <c r="K113" s="36">
        <v>145.0</v>
      </c>
      <c r="L113" s="36">
        <v>18.6</v>
      </c>
      <c r="M113" s="36">
        <v>95.0</v>
      </c>
      <c r="N113" s="36">
        <v>48.0</v>
      </c>
      <c r="O113" s="36">
        <v>20.0</v>
      </c>
      <c r="P113" s="36">
        <v>57.0</v>
      </c>
      <c r="Q113" s="36">
        <v>0.32</v>
      </c>
      <c r="R113" s="36">
        <v>0.98</v>
      </c>
      <c r="S113" s="36">
        <v>2.07</v>
      </c>
      <c r="T113" s="36">
        <v>3.06</v>
      </c>
      <c r="U113" s="21">
        <f t="shared" si="4"/>
        <v>3060</v>
      </c>
      <c r="V113" s="21">
        <f t="shared" si="5"/>
        <v>8100</v>
      </c>
    </row>
    <row r="114" ht="14.25" customHeight="1">
      <c r="A114" s="38">
        <v>0.3736111111111111</v>
      </c>
      <c r="B114" s="36">
        <v>163.0</v>
      </c>
      <c r="C114" s="36">
        <v>19.8</v>
      </c>
      <c r="D114" s="36">
        <v>1584.0</v>
      </c>
      <c r="E114" s="36">
        <v>1541.0</v>
      </c>
      <c r="F114" s="36">
        <v>0.97</v>
      </c>
      <c r="G114" s="36">
        <v>19.0</v>
      </c>
      <c r="H114" s="36">
        <v>1.82</v>
      </c>
      <c r="I114" s="36">
        <v>34.6</v>
      </c>
      <c r="J114" s="36">
        <v>77.1</v>
      </c>
      <c r="K114" s="36">
        <v>145.0</v>
      </c>
      <c r="L114" s="36">
        <v>18.6</v>
      </c>
      <c r="M114" s="36">
        <v>95.0</v>
      </c>
      <c r="N114" s="36">
        <v>49.0</v>
      </c>
      <c r="O114" s="36">
        <v>19.0</v>
      </c>
      <c r="P114" s="36">
        <v>56.0</v>
      </c>
      <c r="Q114" s="36">
        <v>0.3</v>
      </c>
      <c r="R114" s="36">
        <v>0.94</v>
      </c>
      <c r="S114" s="36">
        <v>2.21</v>
      </c>
      <c r="T114" s="36">
        <v>3.15</v>
      </c>
      <c r="U114" s="21">
        <f t="shared" si="4"/>
        <v>3150</v>
      </c>
      <c r="V114" s="21">
        <f t="shared" si="5"/>
        <v>100</v>
      </c>
    </row>
    <row r="115" ht="14.25" customHeight="1">
      <c r="A115" s="38">
        <v>0.37569444444444444</v>
      </c>
      <c r="B115" s="36">
        <v>164.0</v>
      </c>
      <c r="C115" s="36">
        <v>20.1</v>
      </c>
      <c r="D115" s="36">
        <v>1606.0</v>
      </c>
      <c r="E115" s="36">
        <v>1574.0</v>
      </c>
      <c r="F115" s="36">
        <v>0.98</v>
      </c>
      <c r="G115" s="36">
        <v>19.0</v>
      </c>
      <c r="H115" s="36">
        <v>1.86</v>
      </c>
      <c r="I115" s="36">
        <v>35.5</v>
      </c>
      <c r="J115" s="36">
        <v>76.5</v>
      </c>
      <c r="K115" s="36">
        <v>146.0</v>
      </c>
      <c r="L115" s="36">
        <v>18.0</v>
      </c>
      <c r="M115" s="36">
        <v>95.0</v>
      </c>
      <c r="N115" s="36">
        <v>49.0</v>
      </c>
      <c r="O115" s="36">
        <v>19.0</v>
      </c>
      <c r="P115" s="36">
        <v>57.0</v>
      </c>
      <c r="Q115" s="36">
        <v>0.3</v>
      </c>
      <c r="R115" s="36">
        <v>0.93</v>
      </c>
      <c r="S115" s="36">
        <v>2.21</v>
      </c>
      <c r="T115" s="36">
        <v>3.14</v>
      </c>
      <c r="U115" s="21">
        <f t="shared" si="4"/>
        <v>3140</v>
      </c>
      <c r="V115" s="21">
        <f t="shared" si="5"/>
        <v>400</v>
      </c>
    </row>
    <row r="116" ht="14.25" customHeight="1">
      <c r="A116" s="38">
        <v>0.3770833333333333</v>
      </c>
      <c r="B116" s="36">
        <v>165.0</v>
      </c>
      <c r="C116" s="36">
        <v>20.3</v>
      </c>
      <c r="D116" s="36">
        <v>1628.0</v>
      </c>
      <c r="E116" s="36">
        <v>1591.0</v>
      </c>
      <c r="F116" s="36">
        <v>0.98</v>
      </c>
      <c r="G116" s="36">
        <v>19.0</v>
      </c>
      <c r="H116" s="36">
        <v>1.9</v>
      </c>
      <c r="I116" s="36">
        <v>36.0</v>
      </c>
      <c r="J116" s="36">
        <v>76.2</v>
      </c>
      <c r="K116" s="36">
        <v>147.0</v>
      </c>
      <c r="L116" s="36">
        <v>17.4</v>
      </c>
      <c r="M116" s="36">
        <v>95.0</v>
      </c>
      <c r="N116" s="36">
        <v>49.0</v>
      </c>
      <c r="O116" s="36">
        <v>19.0</v>
      </c>
      <c r="P116" s="36">
        <v>58.0</v>
      </c>
      <c r="Q116" s="36">
        <v>0.32</v>
      </c>
      <c r="R116" s="36">
        <v>1.0</v>
      </c>
      <c r="S116" s="36">
        <v>2.16</v>
      </c>
      <c r="T116" s="36">
        <v>3.16</v>
      </c>
      <c r="U116" s="21">
        <f t="shared" si="4"/>
        <v>3160</v>
      </c>
      <c r="V116" s="8">
        <v>0.0</v>
      </c>
    </row>
    <row r="117" ht="14.25" customHeight="1">
      <c r="A117" s="36" t="s">
        <v>82</v>
      </c>
      <c r="U117" s="21">
        <f t="shared" si="4"/>
        <v>0</v>
      </c>
      <c r="V117" s="8">
        <v>0.0</v>
      </c>
    </row>
    <row r="118" ht="14.25" customHeight="1">
      <c r="A118" s="38">
        <v>0.37916666666666665</v>
      </c>
      <c r="B118" s="36">
        <v>166.0</v>
      </c>
      <c r="C118" s="36">
        <v>21.0</v>
      </c>
      <c r="D118" s="36">
        <v>1677.0</v>
      </c>
      <c r="E118" s="36">
        <v>1619.0</v>
      </c>
      <c r="F118" s="36">
        <v>0.97</v>
      </c>
      <c r="G118" s="36">
        <v>20.0</v>
      </c>
      <c r="H118" s="36">
        <v>1.81</v>
      </c>
      <c r="I118" s="36">
        <v>36.6</v>
      </c>
      <c r="J118" s="36">
        <v>75.8</v>
      </c>
      <c r="K118" s="36">
        <v>147.0</v>
      </c>
      <c r="L118" s="36">
        <v>17.4</v>
      </c>
      <c r="M118" s="36">
        <v>94.0</v>
      </c>
      <c r="N118" s="36">
        <v>49.0</v>
      </c>
      <c r="O118" s="36">
        <v>20.0</v>
      </c>
      <c r="P118" s="36">
        <v>60.0</v>
      </c>
      <c r="Q118" s="36">
        <v>0.29</v>
      </c>
      <c r="R118" s="36">
        <v>0.88</v>
      </c>
      <c r="S118" s="36">
        <v>2.1</v>
      </c>
      <c r="T118" s="36">
        <v>2.97</v>
      </c>
      <c r="U118" s="21">
        <f t="shared" si="4"/>
        <v>2970</v>
      </c>
      <c r="V118" s="8">
        <v>0.0</v>
      </c>
    </row>
    <row r="119" ht="14.25" customHeight="1">
      <c r="A119" s="36" t="s">
        <v>88</v>
      </c>
      <c r="U119" s="21">
        <f t="shared" si="4"/>
        <v>0</v>
      </c>
      <c r="V119" s="21">
        <f>(U119-U120)^2</f>
        <v>0</v>
      </c>
    </row>
    <row r="120" ht="14.25" customHeight="1">
      <c r="A120" s="38"/>
    </row>
    <row r="121" ht="14.25" customHeight="1">
      <c r="A121" s="38"/>
    </row>
    <row r="122" ht="14.25" customHeight="1">
      <c r="A122" s="38"/>
    </row>
    <row r="123" ht="14.25" customHeight="1">
      <c r="A123" s="38"/>
    </row>
    <row r="124" ht="14.25" customHeight="1">
      <c r="A124" s="38"/>
    </row>
    <row r="125" ht="14.25" customHeight="1">
      <c r="A125" s="38"/>
    </row>
    <row r="126" ht="14.25" customHeight="1">
      <c r="A126" s="38"/>
    </row>
    <row r="127" ht="14.25" customHeight="1">
      <c r="A127" s="38"/>
    </row>
    <row r="128" ht="14.25" customHeight="1">
      <c r="A128" s="38"/>
    </row>
    <row r="129" ht="14.25" customHeight="1">
      <c r="A129" s="38"/>
    </row>
    <row r="130" ht="14.25" customHeight="1">
      <c r="A130" s="38"/>
    </row>
    <row r="131" ht="14.25" customHeight="1">
      <c r="A131" s="38"/>
    </row>
    <row r="132" ht="14.25" customHeight="1">
      <c r="A132" s="38"/>
    </row>
    <row r="133" ht="14.25" customHeight="1">
      <c r="A133" s="38"/>
    </row>
    <row r="134" ht="14.25" customHeight="1">
      <c r="A134" s="38"/>
    </row>
    <row r="135" ht="14.25" customHeight="1">
      <c r="A135" s="38"/>
    </row>
    <row r="136" ht="14.25" customHeight="1">
      <c r="A136" s="38"/>
    </row>
    <row r="137" ht="14.25" customHeight="1">
      <c r="A137" s="38"/>
    </row>
    <row r="138" ht="14.25" customHeight="1">
      <c r="A138" s="38"/>
    </row>
    <row r="139" ht="14.25" customHeight="1">
      <c r="A139" s="38"/>
    </row>
    <row r="140" ht="14.25" customHeight="1">
      <c r="A140" s="38"/>
    </row>
    <row r="141" ht="14.25" customHeight="1">
      <c r="A141" s="38"/>
    </row>
    <row r="142" ht="14.25" customHeight="1">
      <c r="A142" s="38"/>
    </row>
    <row r="143" ht="14.25" customHeight="1">
      <c r="A143" s="38"/>
    </row>
    <row r="144" ht="14.25" customHeight="1">
      <c r="A144" s="38"/>
    </row>
    <row r="145" ht="14.25" customHeight="1">
      <c r="A145" s="38"/>
    </row>
    <row r="146" ht="14.25" customHeight="1">
      <c r="A146" s="38"/>
    </row>
    <row r="147" ht="14.25" customHeight="1">
      <c r="A147" s="38"/>
    </row>
    <row r="148" ht="14.25" customHeight="1">
      <c r="A148" s="38"/>
    </row>
    <row r="149" ht="14.25" customHeight="1">
      <c r="A149" s="38"/>
    </row>
    <row r="150" ht="14.25" customHeight="1">
      <c r="A150" s="38"/>
    </row>
    <row r="151" ht="14.25" customHeight="1">
      <c r="A151" s="38"/>
    </row>
    <row r="152" ht="14.25" customHeight="1">
      <c r="A152" s="38"/>
    </row>
    <row r="153" ht="14.25" customHeight="1">
      <c r="A153" s="38"/>
    </row>
    <row r="154" ht="14.25" customHeight="1">
      <c r="A154" s="38"/>
    </row>
    <row r="155" ht="14.25" customHeight="1">
      <c r="A155" s="38"/>
    </row>
    <row r="156" ht="14.25" customHeight="1">
      <c r="A156" s="38"/>
    </row>
    <row r="157" ht="14.25" customHeight="1">
      <c r="A157" s="38"/>
    </row>
    <row r="158" ht="14.25" customHeight="1">
      <c r="A158" s="38"/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24" width="6.63"/>
    <col customWidth="1" min="25" max="25" width="9.13"/>
    <col customWidth="1" min="26" max="51" width="6.63"/>
  </cols>
  <sheetData>
    <row r="1" ht="14.25" customHeight="1">
      <c r="Y1" s="45"/>
    </row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Y2" s="45"/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  <c r="Y3" s="45"/>
      <c r="Z3" s="36"/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8" t="s">
        <v>92</v>
      </c>
      <c r="V4" s="8" t="s">
        <v>85</v>
      </c>
      <c r="W4" s="8" t="s">
        <v>52</v>
      </c>
      <c r="Y4" s="45"/>
    </row>
    <row r="5" ht="14.25" customHeight="1">
      <c r="A5" s="36" t="s">
        <v>87</v>
      </c>
      <c r="Y5" s="45"/>
    </row>
    <row r="6" ht="14.25" customHeight="1">
      <c r="A6" s="38">
        <v>0.08958333333333333</v>
      </c>
      <c r="B6" s="36">
        <v>0.0</v>
      </c>
      <c r="C6" s="36">
        <v>6.5</v>
      </c>
      <c r="D6" s="36">
        <v>415.0</v>
      </c>
      <c r="E6" s="36">
        <v>339.0</v>
      </c>
      <c r="F6" s="36">
        <v>0.82</v>
      </c>
      <c r="G6" s="36">
        <v>18.0</v>
      </c>
      <c r="H6" s="36">
        <v>0.63</v>
      </c>
      <c r="I6" s="36">
        <v>11.3</v>
      </c>
      <c r="J6" s="36">
        <v>93.2</v>
      </c>
      <c r="K6" s="36">
        <v>69.0</v>
      </c>
      <c r="L6" s="36">
        <v>64.9</v>
      </c>
      <c r="M6" s="36">
        <v>101.0</v>
      </c>
      <c r="N6" s="36">
        <v>44.0</v>
      </c>
      <c r="O6" s="36">
        <v>18.0</v>
      </c>
      <c r="P6" s="36">
        <v>16.0</v>
      </c>
      <c r="Q6" s="36">
        <v>0.26</v>
      </c>
      <c r="R6" s="36">
        <v>0.85</v>
      </c>
      <c r="S6" s="36">
        <v>2.49</v>
      </c>
      <c r="T6" s="36">
        <v>3.35</v>
      </c>
      <c r="U6" s="21">
        <f t="shared" ref="U6:U151" si="1">T6*1000</f>
        <v>3350</v>
      </c>
      <c r="V6" s="21">
        <f t="shared" ref="V6:V150" si="2">(U6-U7)^2</f>
        <v>16900</v>
      </c>
      <c r="W6" s="8">
        <f>SQRT(AVERAGE(V6:V150))</f>
        <v>159.3348242</v>
      </c>
      <c r="Y6" s="45"/>
    </row>
    <row r="7" ht="14.25" customHeight="1">
      <c r="A7" s="38">
        <v>0.09236111111111112</v>
      </c>
      <c r="B7" s="36">
        <v>1.0</v>
      </c>
      <c r="C7" s="36">
        <v>5.7</v>
      </c>
      <c r="D7" s="36">
        <v>366.0</v>
      </c>
      <c r="E7" s="36">
        <v>300.0</v>
      </c>
      <c r="F7" s="36">
        <v>0.82</v>
      </c>
      <c r="G7" s="36">
        <v>17.0</v>
      </c>
      <c r="H7" s="36">
        <v>0.6</v>
      </c>
      <c r="I7" s="36">
        <v>10.4</v>
      </c>
      <c r="J7" s="36">
        <v>93.8</v>
      </c>
      <c r="K7" s="36">
        <v>66.0</v>
      </c>
      <c r="L7" s="36">
        <v>66.1</v>
      </c>
      <c r="M7" s="36">
        <v>102.0</v>
      </c>
      <c r="N7" s="36">
        <v>44.0</v>
      </c>
      <c r="O7" s="36">
        <v>17.0</v>
      </c>
      <c r="P7" s="36">
        <v>14.0</v>
      </c>
      <c r="Q7" s="36">
        <v>0.26</v>
      </c>
      <c r="R7" s="36">
        <v>0.89</v>
      </c>
      <c r="S7" s="36">
        <v>2.58</v>
      </c>
      <c r="T7" s="36">
        <v>3.48</v>
      </c>
      <c r="U7" s="21">
        <f t="shared" si="1"/>
        <v>3480</v>
      </c>
      <c r="V7" s="21">
        <f t="shared" si="2"/>
        <v>0</v>
      </c>
      <c r="Y7" s="45"/>
    </row>
    <row r="8" ht="14.25" customHeight="1">
      <c r="A8" s="38">
        <v>0.09791666666666667</v>
      </c>
      <c r="B8" s="36">
        <v>4.0</v>
      </c>
      <c r="C8" s="36">
        <v>5.7</v>
      </c>
      <c r="D8" s="36">
        <v>367.0</v>
      </c>
      <c r="E8" s="36">
        <v>301.0</v>
      </c>
      <c r="F8" s="36">
        <v>0.82</v>
      </c>
      <c r="G8" s="36">
        <v>17.0</v>
      </c>
      <c r="H8" s="36">
        <v>0.6</v>
      </c>
      <c r="I8" s="36">
        <v>10.4</v>
      </c>
      <c r="J8" s="36">
        <v>93.8</v>
      </c>
      <c r="K8" s="36">
        <v>66.0</v>
      </c>
      <c r="L8" s="36">
        <v>66.1</v>
      </c>
      <c r="M8" s="36">
        <v>102.0</v>
      </c>
      <c r="N8" s="36">
        <v>44.0</v>
      </c>
      <c r="O8" s="36">
        <v>17.0</v>
      </c>
      <c r="P8" s="36">
        <v>14.0</v>
      </c>
      <c r="Q8" s="36">
        <v>0.26</v>
      </c>
      <c r="R8" s="36">
        <v>0.89</v>
      </c>
      <c r="S8" s="36">
        <v>2.58</v>
      </c>
      <c r="T8" s="36">
        <v>3.48</v>
      </c>
      <c r="U8" s="21">
        <f t="shared" si="1"/>
        <v>3480</v>
      </c>
      <c r="V8" s="21">
        <f t="shared" si="2"/>
        <v>3600</v>
      </c>
      <c r="Y8" s="45"/>
    </row>
    <row r="9" ht="14.25" customHeight="1">
      <c r="A9" s="38">
        <v>0.1</v>
      </c>
      <c r="B9" s="36">
        <v>5.0</v>
      </c>
      <c r="C9" s="36">
        <v>4.6</v>
      </c>
      <c r="D9" s="36">
        <v>298.0</v>
      </c>
      <c r="E9" s="36">
        <v>247.0</v>
      </c>
      <c r="F9" s="36">
        <v>0.83</v>
      </c>
      <c r="G9" s="36">
        <v>17.0</v>
      </c>
      <c r="H9" s="36">
        <v>0.53</v>
      </c>
      <c r="I9" s="36">
        <v>9.0</v>
      </c>
      <c r="J9" s="36">
        <v>94.6</v>
      </c>
      <c r="K9" s="36">
        <v>63.0</v>
      </c>
      <c r="L9" s="36">
        <v>67.6</v>
      </c>
      <c r="M9" s="36">
        <v>102.0</v>
      </c>
      <c r="N9" s="36">
        <v>44.0</v>
      </c>
      <c r="O9" s="36">
        <v>17.0</v>
      </c>
      <c r="P9" s="36">
        <v>11.0</v>
      </c>
      <c r="Q9" s="36">
        <v>0.26</v>
      </c>
      <c r="R9" s="36">
        <v>0.93</v>
      </c>
      <c r="S9" s="36">
        <v>2.61</v>
      </c>
      <c r="T9" s="36">
        <v>3.54</v>
      </c>
      <c r="U9" s="21">
        <f t="shared" si="1"/>
        <v>3540</v>
      </c>
      <c r="V9" s="21">
        <f t="shared" si="2"/>
        <v>129600</v>
      </c>
      <c r="Y9" s="45"/>
    </row>
    <row r="10" ht="14.25" customHeight="1">
      <c r="A10" s="38">
        <v>0.10277777777777777</v>
      </c>
      <c r="B10" s="36">
        <v>8.0</v>
      </c>
      <c r="C10" s="36">
        <v>4.6</v>
      </c>
      <c r="D10" s="36">
        <v>296.0</v>
      </c>
      <c r="E10" s="36">
        <v>250.0</v>
      </c>
      <c r="F10" s="36">
        <v>0.85</v>
      </c>
      <c r="G10" s="36">
        <v>15.0</v>
      </c>
      <c r="H10" s="36">
        <v>0.56</v>
      </c>
      <c r="I10" s="36">
        <v>8.7</v>
      </c>
      <c r="J10" s="36">
        <v>94.8</v>
      </c>
      <c r="K10" s="36">
        <v>71.0</v>
      </c>
      <c r="L10" s="36">
        <v>63.6</v>
      </c>
      <c r="M10" s="36">
        <v>103.0</v>
      </c>
      <c r="N10" s="36">
        <v>44.0</v>
      </c>
      <c r="O10" s="36">
        <v>15.0</v>
      </c>
      <c r="P10" s="36">
        <v>11.0</v>
      </c>
      <c r="Q10" s="36">
        <v>0.27</v>
      </c>
      <c r="R10" s="36">
        <v>1.04</v>
      </c>
      <c r="S10" s="36">
        <v>2.86</v>
      </c>
      <c r="T10" s="36">
        <v>3.9</v>
      </c>
      <c r="U10" s="21">
        <f t="shared" si="1"/>
        <v>3900</v>
      </c>
      <c r="V10" s="21">
        <f t="shared" si="2"/>
        <v>3600</v>
      </c>
      <c r="Y10" s="45"/>
    </row>
    <row r="11" ht="14.25" customHeight="1">
      <c r="A11" s="38">
        <v>0.10555555555555556</v>
      </c>
      <c r="B11" s="36">
        <v>9.0</v>
      </c>
      <c r="C11" s="36">
        <v>5.9</v>
      </c>
      <c r="D11" s="36">
        <v>375.0</v>
      </c>
      <c r="E11" s="36">
        <v>319.0</v>
      </c>
      <c r="F11" s="36">
        <v>0.85</v>
      </c>
      <c r="G11" s="36">
        <v>15.0</v>
      </c>
      <c r="H11" s="36">
        <v>0.67</v>
      </c>
      <c r="I11" s="36">
        <v>10.1</v>
      </c>
      <c r="J11" s="36">
        <v>93.9</v>
      </c>
      <c r="K11" s="36">
        <v>73.0</v>
      </c>
      <c r="L11" s="36">
        <v>62.8</v>
      </c>
      <c r="M11" s="36">
        <v>103.0</v>
      </c>
      <c r="N11" s="36">
        <v>44.0</v>
      </c>
      <c r="O11" s="36">
        <v>15.0</v>
      </c>
      <c r="P11" s="36">
        <v>14.0</v>
      </c>
      <c r="Q11" s="36">
        <v>0.29</v>
      </c>
      <c r="R11" s="36">
        <v>1.17</v>
      </c>
      <c r="S11" s="36">
        <v>2.79</v>
      </c>
      <c r="T11" s="36">
        <v>3.96</v>
      </c>
      <c r="U11" s="21">
        <f t="shared" si="1"/>
        <v>3960</v>
      </c>
      <c r="V11" s="21">
        <f t="shared" si="2"/>
        <v>6400</v>
      </c>
      <c r="Y11" s="45"/>
    </row>
    <row r="12" ht="14.25" customHeight="1">
      <c r="A12" s="38">
        <v>0.1076388888888889</v>
      </c>
      <c r="B12" s="36">
        <v>10.0</v>
      </c>
      <c r="C12" s="36">
        <v>5.9</v>
      </c>
      <c r="D12" s="36">
        <v>378.0</v>
      </c>
      <c r="E12" s="36">
        <v>323.0</v>
      </c>
      <c r="F12" s="36">
        <v>0.85</v>
      </c>
      <c r="G12" s="36">
        <v>15.0</v>
      </c>
      <c r="H12" s="36">
        <v>0.68</v>
      </c>
      <c r="I12" s="36">
        <v>10.2</v>
      </c>
      <c r="J12" s="36">
        <v>93.9</v>
      </c>
      <c r="K12" s="36">
        <v>81.0</v>
      </c>
      <c r="L12" s="36">
        <v>58.5</v>
      </c>
      <c r="M12" s="36">
        <v>103.0</v>
      </c>
      <c r="N12" s="36">
        <v>44.0</v>
      </c>
      <c r="O12" s="36">
        <v>15.0</v>
      </c>
      <c r="P12" s="36">
        <v>14.0</v>
      </c>
      <c r="Q12" s="36">
        <v>0.31</v>
      </c>
      <c r="R12" s="36">
        <v>1.24</v>
      </c>
      <c r="S12" s="36">
        <v>2.79</v>
      </c>
      <c r="T12" s="36">
        <v>4.04</v>
      </c>
      <c r="U12" s="21">
        <f t="shared" si="1"/>
        <v>4040</v>
      </c>
      <c r="V12" s="21">
        <f t="shared" si="2"/>
        <v>220900</v>
      </c>
      <c r="Y12" s="45"/>
    </row>
    <row r="13" ht="14.25" customHeight="1">
      <c r="A13" s="38">
        <v>0.11041666666666666</v>
      </c>
      <c r="B13" s="36">
        <v>12.0</v>
      </c>
      <c r="C13" s="36">
        <v>6.5</v>
      </c>
      <c r="D13" s="36">
        <v>416.0</v>
      </c>
      <c r="E13" s="36">
        <v>355.0</v>
      </c>
      <c r="F13" s="36">
        <v>0.85</v>
      </c>
      <c r="G13" s="36">
        <v>17.0</v>
      </c>
      <c r="H13" s="36">
        <v>0.66</v>
      </c>
      <c r="I13" s="36">
        <v>11.2</v>
      </c>
      <c r="J13" s="36">
        <v>93.3</v>
      </c>
      <c r="K13" s="36">
        <v>79.0</v>
      </c>
      <c r="L13" s="36">
        <v>59.5</v>
      </c>
      <c r="M13" s="36">
        <v>103.0</v>
      </c>
      <c r="N13" s="36">
        <v>44.0</v>
      </c>
      <c r="O13" s="36">
        <v>17.0</v>
      </c>
      <c r="P13" s="36">
        <v>16.0</v>
      </c>
      <c r="Q13" s="36">
        <v>0.33</v>
      </c>
      <c r="R13" s="36">
        <v>1.18</v>
      </c>
      <c r="S13" s="36">
        <v>2.39</v>
      </c>
      <c r="T13" s="36">
        <v>3.57</v>
      </c>
      <c r="U13" s="21">
        <f t="shared" si="1"/>
        <v>3570</v>
      </c>
      <c r="V13" s="21">
        <f t="shared" si="2"/>
        <v>12100</v>
      </c>
      <c r="Y13" s="45"/>
    </row>
    <row r="14" ht="14.25" customHeight="1">
      <c r="A14" s="38">
        <v>0.1125</v>
      </c>
      <c r="B14" s="36">
        <v>13.0</v>
      </c>
      <c r="C14" s="36">
        <v>7.2</v>
      </c>
      <c r="D14" s="36">
        <v>459.0</v>
      </c>
      <c r="E14" s="36">
        <v>387.0</v>
      </c>
      <c r="F14" s="36">
        <v>0.84</v>
      </c>
      <c r="G14" s="36">
        <v>16.0</v>
      </c>
      <c r="H14" s="36">
        <v>0.72</v>
      </c>
      <c r="I14" s="36">
        <v>11.8</v>
      </c>
      <c r="J14" s="36">
        <v>92.9</v>
      </c>
      <c r="K14" s="36">
        <v>77.0</v>
      </c>
      <c r="L14" s="36">
        <v>60.4</v>
      </c>
      <c r="M14" s="36">
        <v>102.0</v>
      </c>
      <c r="N14" s="36">
        <v>45.0</v>
      </c>
      <c r="O14" s="36">
        <v>16.0</v>
      </c>
      <c r="P14" s="36">
        <v>17.0</v>
      </c>
      <c r="Q14" s="36">
        <v>0.33</v>
      </c>
      <c r="R14" s="36">
        <v>1.23</v>
      </c>
      <c r="S14" s="36">
        <v>2.45</v>
      </c>
      <c r="T14" s="36">
        <v>3.68</v>
      </c>
      <c r="U14" s="21">
        <f t="shared" si="1"/>
        <v>3680</v>
      </c>
      <c r="V14" s="21">
        <f t="shared" si="2"/>
        <v>52900</v>
      </c>
      <c r="Y14" s="45"/>
    </row>
    <row r="15" ht="14.25" customHeight="1">
      <c r="A15" s="38">
        <v>0.11458333333333333</v>
      </c>
      <c r="B15" s="36">
        <v>14.0</v>
      </c>
      <c r="C15" s="36">
        <v>7.0</v>
      </c>
      <c r="D15" s="36">
        <v>448.0</v>
      </c>
      <c r="E15" s="36">
        <v>372.0</v>
      </c>
      <c r="F15" s="36">
        <v>0.83</v>
      </c>
      <c r="G15" s="36">
        <v>17.0</v>
      </c>
      <c r="H15" s="36">
        <v>0.67</v>
      </c>
      <c r="I15" s="36">
        <v>11.6</v>
      </c>
      <c r="J15" s="36">
        <v>93.0</v>
      </c>
      <c r="K15" s="36">
        <v>76.0</v>
      </c>
      <c r="L15" s="36">
        <v>61.0</v>
      </c>
      <c r="M15" s="36">
        <v>101.0</v>
      </c>
      <c r="N15" s="36">
        <v>45.0</v>
      </c>
      <c r="O15" s="36">
        <v>17.0</v>
      </c>
      <c r="P15" s="36">
        <v>17.0</v>
      </c>
      <c r="Q15" s="36">
        <v>0.33</v>
      </c>
      <c r="R15" s="36">
        <v>1.14</v>
      </c>
      <c r="S15" s="36">
        <v>2.31</v>
      </c>
      <c r="T15" s="36">
        <v>3.45</v>
      </c>
      <c r="U15" s="21">
        <f t="shared" si="1"/>
        <v>3450</v>
      </c>
      <c r="V15" s="21">
        <f t="shared" si="2"/>
        <v>8100</v>
      </c>
      <c r="Y15" s="45"/>
    </row>
    <row r="16" ht="14.25" customHeight="1">
      <c r="A16" s="38">
        <v>0.11944444444444445</v>
      </c>
      <c r="B16" s="36">
        <v>17.0</v>
      </c>
      <c r="C16" s="36">
        <v>7.9</v>
      </c>
      <c r="D16" s="36">
        <v>508.0</v>
      </c>
      <c r="E16" s="36">
        <v>424.0</v>
      </c>
      <c r="F16" s="36">
        <v>0.83</v>
      </c>
      <c r="G16" s="36">
        <v>17.0</v>
      </c>
      <c r="H16" s="36">
        <v>0.75</v>
      </c>
      <c r="I16" s="36">
        <v>12.7</v>
      </c>
      <c r="J16" s="36">
        <v>92.4</v>
      </c>
      <c r="K16" s="36">
        <v>76.0</v>
      </c>
      <c r="L16" s="36">
        <v>61.0</v>
      </c>
      <c r="M16" s="36">
        <v>101.0</v>
      </c>
      <c r="N16" s="36">
        <v>45.0</v>
      </c>
      <c r="O16" s="36">
        <v>17.0</v>
      </c>
      <c r="P16" s="36">
        <v>19.0</v>
      </c>
      <c r="Q16" s="36">
        <v>0.34</v>
      </c>
      <c r="R16" s="36">
        <v>1.19</v>
      </c>
      <c r="S16" s="36">
        <v>2.35</v>
      </c>
      <c r="T16" s="36">
        <v>3.54</v>
      </c>
      <c r="U16" s="21">
        <f t="shared" si="1"/>
        <v>3540</v>
      </c>
      <c r="V16" s="21">
        <f t="shared" si="2"/>
        <v>900</v>
      </c>
      <c r="Y16" s="45"/>
    </row>
    <row r="17" ht="14.25" customHeight="1">
      <c r="A17" s="38">
        <v>0.12222222222222222</v>
      </c>
      <c r="B17" s="36">
        <v>19.0</v>
      </c>
      <c r="C17" s="36">
        <v>8.4</v>
      </c>
      <c r="D17" s="36">
        <v>536.0</v>
      </c>
      <c r="E17" s="36">
        <v>451.0</v>
      </c>
      <c r="F17" s="36">
        <v>0.84</v>
      </c>
      <c r="G17" s="36">
        <v>17.0</v>
      </c>
      <c r="H17" s="36">
        <v>0.78</v>
      </c>
      <c r="I17" s="36">
        <v>13.4</v>
      </c>
      <c r="J17" s="36">
        <v>92.0</v>
      </c>
      <c r="K17" s="36">
        <v>76.0</v>
      </c>
      <c r="L17" s="36">
        <v>61.0</v>
      </c>
      <c r="M17" s="36">
        <v>101.0</v>
      </c>
      <c r="N17" s="36">
        <v>45.0</v>
      </c>
      <c r="O17" s="36">
        <v>17.0</v>
      </c>
      <c r="P17" s="36">
        <v>20.0</v>
      </c>
      <c r="Q17" s="36">
        <v>0.34</v>
      </c>
      <c r="R17" s="36">
        <v>1.18</v>
      </c>
      <c r="S17" s="36">
        <v>2.33</v>
      </c>
      <c r="T17" s="36">
        <v>3.51</v>
      </c>
      <c r="U17" s="21">
        <f t="shared" si="1"/>
        <v>3510</v>
      </c>
      <c r="V17" s="21">
        <f t="shared" si="2"/>
        <v>168100</v>
      </c>
      <c r="Y17" s="45"/>
    </row>
    <row r="18" ht="14.25" customHeight="1">
      <c r="A18" s="38">
        <v>0.12638888888888888</v>
      </c>
      <c r="B18" s="36">
        <v>22.0</v>
      </c>
      <c r="C18" s="36">
        <v>7.8</v>
      </c>
      <c r="D18" s="36">
        <v>500.0</v>
      </c>
      <c r="E18" s="36">
        <v>424.0</v>
      </c>
      <c r="F18" s="36">
        <v>0.85</v>
      </c>
      <c r="G18" s="36">
        <v>15.0</v>
      </c>
      <c r="H18" s="36">
        <v>0.81</v>
      </c>
      <c r="I18" s="36">
        <v>12.4</v>
      </c>
      <c r="J18" s="36">
        <v>92.6</v>
      </c>
      <c r="K18" s="36">
        <v>78.0</v>
      </c>
      <c r="L18" s="36">
        <v>59.9</v>
      </c>
      <c r="M18" s="36">
        <v>101.0</v>
      </c>
      <c r="N18" s="36">
        <v>45.0</v>
      </c>
      <c r="O18" s="36">
        <v>15.0</v>
      </c>
      <c r="P18" s="36">
        <v>19.0</v>
      </c>
      <c r="Q18" s="36">
        <v>0.29</v>
      </c>
      <c r="R18" s="36">
        <v>1.15</v>
      </c>
      <c r="S18" s="36">
        <v>2.77</v>
      </c>
      <c r="T18" s="36">
        <v>3.92</v>
      </c>
      <c r="U18" s="21">
        <f t="shared" si="1"/>
        <v>3920</v>
      </c>
      <c r="V18" s="21">
        <f t="shared" si="2"/>
        <v>302500</v>
      </c>
      <c r="Y18" s="45"/>
    </row>
    <row r="19" ht="14.25" customHeight="1">
      <c r="A19" s="38">
        <v>0.1284722222222222</v>
      </c>
      <c r="B19" s="36">
        <v>23.0</v>
      </c>
      <c r="C19" s="36">
        <v>8.1</v>
      </c>
      <c r="D19" s="36">
        <v>518.0</v>
      </c>
      <c r="E19" s="36">
        <v>435.0</v>
      </c>
      <c r="F19" s="36">
        <v>0.84</v>
      </c>
      <c r="G19" s="36">
        <v>18.0</v>
      </c>
      <c r="H19" s="36">
        <v>0.74</v>
      </c>
      <c r="I19" s="36">
        <v>13.2</v>
      </c>
      <c r="J19" s="36">
        <v>92.1</v>
      </c>
      <c r="K19" s="36">
        <v>78.0</v>
      </c>
      <c r="L19" s="36">
        <v>59.9</v>
      </c>
      <c r="M19" s="36">
        <v>101.0</v>
      </c>
      <c r="N19" s="36">
        <v>45.0</v>
      </c>
      <c r="O19" s="36">
        <v>18.0</v>
      </c>
      <c r="P19" s="36">
        <v>20.0</v>
      </c>
      <c r="Q19" s="36">
        <v>0.34</v>
      </c>
      <c r="R19" s="36">
        <v>1.14</v>
      </c>
      <c r="S19" s="36">
        <v>2.23</v>
      </c>
      <c r="T19" s="36">
        <v>3.37</v>
      </c>
      <c r="U19" s="21">
        <f t="shared" si="1"/>
        <v>3370</v>
      </c>
      <c r="V19" s="21">
        <f t="shared" si="2"/>
        <v>62500</v>
      </c>
      <c r="Y19" s="45"/>
    </row>
    <row r="20" ht="14.25" customHeight="1">
      <c r="A20" s="38">
        <v>0.13194444444444445</v>
      </c>
      <c r="B20" s="36">
        <v>25.0</v>
      </c>
      <c r="C20" s="36">
        <v>8.1</v>
      </c>
      <c r="D20" s="36">
        <v>520.0</v>
      </c>
      <c r="E20" s="36">
        <v>437.0</v>
      </c>
      <c r="F20" s="36">
        <v>0.84</v>
      </c>
      <c r="G20" s="36">
        <v>17.0</v>
      </c>
      <c r="H20" s="36">
        <v>0.78</v>
      </c>
      <c r="I20" s="36">
        <v>13.0</v>
      </c>
      <c r="J20" s="36">
        <v>92.2</v>
      </c>
      <c r="K20" s="36">
        <v>80.0</v>
      </c>
      <c r="L20" s="36">
        <v>59.0</v>
      </c>
      <c r="M20" s="36">
        <v>101.0</v>
      </c>
      <c r="N20" s="36">
        <v>45.0</v>
      </c>
      <c r="O20" s="36">
        <v>17.0</v>
      </c>
      <c r="P20" s="36">
        <v>20.0</v>
      </c>
      <c r="Q20" s="36">
        <v>0.32</v>
      </c>
      <c r="R20" s="36">
        <v>1.14</v>
      </c>
      <c r="S20" s="36">
        <v>2.48</v>
      </c>
      <c r="T20" s="36">
        <v>3.62</v>
      </c>
      <c r="U20" s="21">
        <f t="shared" si="1"/>
        <v>3620</v>
      </c>
      <c r="V20" s="21">
        <f t="shared" si="2"/>
        <v>16900</v>
      </c>
      <c r="Y20" s="45"/>
    </row>
    <row r="21" ht="14.25" customHeight="1">
      <c r="A21" s="38">
        <v>0.13472222222222222</v>
      </c>
      <c r="B21" s="36">
        <v>26.0</v>
      </c>
      <c r="C21" s="36">
        <v>7.9</v>
      </c>
      <c r="D21" s="36">
        <v>504.0</v>
      </c>
      <c r="E21" s="36">
        <v>425.0</v>
      </c>
      <c r="F21" s="36">
        <v>0.84</v>
      </c>
      <c r="G21" s="36">
        <v>16.0</v>
      </c>
      <c r="H21" s="36">
        <v>0.79</v>
      </c>
      <c r="I21" s="36">
        <v>12.7</v>
      </c>
      <c r="J21" s="36">
        <v>92.4</v>
      </c>
      <c r="K21" s="36">
        <v>80.0</v>
      </c>
      <c r="L21" s="36">
        <v>59.0</v>
      </c>
      <c r="M21" s="36">
        <v>101.0</v>
      </c>
      <c r="N21" s="36">
        <v>45.0</v>
      </c>
      <c r="O21" s="36">
        <v>16.0</v>
      </c>
      <c r="P21" s="36">
        <v>19.0</v>
      </c>
      <c r="Q21" s="36">
        <v>0.33</v>
      </c>
      <c r="R21" s="36">
        <v>1.25</v>
      </c>
      <c r="S21" s="36">
        <v>2.5</v>
      </c>
      <c r="T21" s="36">
        <v>3.75</v>
      </c>
      <c r="U21" s="21">
        <f t="shared" si="1"/>
        <v>3750</v>
      </c>
      <c r="V21" s="21">
        <f t="shared" si="2"/>
        <v>19600</v>
      </c>
      <c r="Y21" s="45"/>
    </row>
    <row r="22" ht="14.25" customHeight="1">
      <c r="A22" s="38">
        <v>0.13680555555555557</v>
      </c>
      <c r="B22" s="36">
        <v>28.0</v>
      </c>
      <c r="C22" s="36">
        <v>7.6</v>
      </c>
      <c r="D22" s="36">
        <v>484.0</v>
      </c>
      <c r="E22" s="36">
        <v>410.0</v>
      </c>
      <c r="F22" s="36">
        <v>0.85</v>
      </c>
      <c r="G22" s="36">
        <v>15.0</v>
      </c>
      <c r="H22" s="36">
        <v>0.8</v>
      </c>
      <c r="I22" s="36">
        <v>12.3</v>
      </c>
      <c r="J22" s="36">
        <v>92.6</v>
      </c>
      <c r="K22" s="36">
        <v>81.0</v>
      </c>
      <c r="L22" s="36">
        <v>58.3</v>
      </c>
      <c r="M22" s="36">
        <v>102.0</v>
      </c>
      <c r="N22" s="36">
        <v>45.0</v>
      </c>
      <c r="O22" s="36">
        <v>15.0</v>
      </c>
      <c r="P22" s="36">
        <v>18.0</v>
      </c>
      <c r="Q22" s="36">
        <v>0.32</v>
      </c>
      <c r="R22" s="36">
        <v>1.23</v>
      </c>
      <c r="S22" s="36">
        <v>2.66</v>
      </c>
      <c r="T22" s="36">
        <v>3.89</v>
      </c>
      <c r="U22" s="21">
        <f t="shared" si="1"/>
        <v>3890</v>
      </c>
      <c r="V22" s="21">
        <f t="shared" si="2"/>
        <v>176400</v>
      </c>
      <c r="Y22" s="45"/>
    </row>
    <row r="23" ht="14.25" customHeight="1">
      <c r="A23" s="38">
        <v>0.1388888888888889</v>
      </c>
      <c r="B23" s="36">
        <v>29.0</v>
      </c>
      <c r="C23" s="36">
        <v>7.1</v>
      </c>
      <c r="D23" s="36">
        <v>457.0</v>
      </c>
      <c r="E23" s="36">
        <v>385.0</v>
      </c>
      <c r="F23" s="36">
        <v>0.84</v>
      </c>
      <c r="G23" s="36">
        <v>14.0</v>
      </c>
      <c r="H23" s="36">
        <v>0.82</v>
      </c>
      <c r="I23" s="36">
        <v>11.4</v>
      </c>
      <c r="J23" s="36">
        <v>93.2</v>
      </c>
      <c r="K23" s="36">
        <v>81.0</v>
      </c>
      <c r="L23" s="36">
        <v>58.7</v>
      </c>
      <c r="M23" s="36">
        <v>101.0</v>
      </c>
      <c r="N23" s="36">
        <v>45.0</v>
      </c>
      <c r="O23" s="36">
        <v>14.0</v>
      </c>
      <c r="P23" s="36">
        <v>17.0</v>
      </c>
      <c r="Q23" s="36">
        <v>0.28</v>
      </c>
      <c r="R23" s="36">
        <v>1.21</v>
      </c>
      <c r="S23" s="36">
        <v>3.1</v>
      </c>
      <c r="T23" s="36">
        <v>4.31</v>
      </c>
      <c r="U23" s="21">
        <f t="shared" si="1"/>
        <v>4310</v>
      </c>
      <c r="V23" s="21">
        <f t="shared" si="2"/>
        <v>2500</v>
      </c>
      <c r="Y23" s="45"/>
    </row>
    <row r="24" ht="14.25" customHeight="1">
      <c r="A24" s="38">
        <v>0.14166666666666666</v>
      </c>
      <c r="B24" s="36">
        <v>30.0</v>
      </c>
      <c r="C24" s="36">
        <v>6.8</v>
      </c>
      <c r="D24" s="36">
        <v>434.0</v>
      </c>
      <c r="E24" s="36">
        <v>364.0</v>
      </c>
      <c r="F24" s="36">
        <v>0.84</v>
      </c>
      <c r="G24" s="36">
        <v>14.0</v>
      </c>
      <c r="H24" s="36">
        <v>0.78</v>
      </c>
      <c r="I24" s="36">
        <v>11.0</v>
      </c>
      <c r="J24" s="36">
        <v>93.4</v>
      </c>
      <c r="K24" s="36">
        <v>76.0</v>
      </c>
      <c r="L24" s="36">
        <v>61.0</v>
      </c>
      <c r="M24" s="36">
        <v>100.0</v>
      </c>
      <c r="N24" s="36">
        <v>45.0</v>
      </c>
      <c r="O24" s="36">
        <v>14.0</v>
      </c>
      <c r="P24" s="36">
        <v>16.0</v>
      </c>
      <c r="Q24" s="36">
        <v>0.26</v>
      </c>
      <c r="R24" s="36">
        <v>1.11</v>
      </c>
      <c r="S24" s="36">
        <v>3.15</v>
      </c>
      <c r="T24" s="36">
        <v>4.26</v>
      </c>
      <c r="U24" s="21">
        <f t="shared" si="1"/>
        <v>4260</v>
      </c>
      <c r="V24" s="21">
        <f t="shared" si="2"/>
        <v>462400</v>
      </c>
      <c r="Y24" s="45"/>
    </row>
    <row r="25" ht="14.25" customHeight="1">
      <c r="A25" s="38">
        <v>0.14305555555555555</v>
      </c>
      <c r="B25" s="36">
        <v>32.0</v>
      </c>
      <c r="C25" s="36">
        <v>6.5</v>
      </c>
      <c r="D25" s="36">
        <v>416.0</v>
      </c>
      <c r="E25" s="36">
        <v>340.0</v>
      </c>
      <c r="F25" s="36">
        <v>0.82</v>
      </c>
      <c r="G25" s="36">
        <v>17.0</v>
      </c>
      <c r="H25" s="36">
        <v>0.65</v>
      </c>
      <c r="I25" s="36">
        <v>10.9</v>
      </c>
      <c r="J25" s="36">
        <v>93.4</v>
      </c>
      <c r="K25" s="36">
        <v>74.0</v>
      </c>
      <c r="L25" s="36">
        <v>62.2</v>
      </c>
      <c r="M25" s="36">
        <v>99.0</v>
      </c>
      <c r="N25" s="36">
        <v>45.0</v>
      </c>
      <c r="O25" s="36">
        <v>17.0</v>
      </c>
      <c r="P25" s="36">
        <v>16.0</v>
      </c>
      <c r="Q25" s="36">
        <v>0.28</v>
      </c>
      <c r="R25" s="36">
        <v>0.99</v>
      </c>
      <c r="S25" s="36">
        <v>2.59</v>
      </c>
      <c r="T25" s="36">
        <v>3.58</v>
      </c>
      <c r="U25" s="21">
        <f t="shared" si="1"/>
        <v>3580</v>
      </c>
      <c r="V25" s="21">
        <f t="shared" si="2"/>
        <v>115600</v>
      </c>
      <c r="Y25" s="45"/>
    </row>
    <row r="26" ht="14.25" customHeight="1">
      <c r="A26" s="38">
        <v>0.1451388888888889</v>
      </c>
      <c r="B26" s="36">
        <v>33.0</v>
      </c>
      <c r="C26" s="36">
        <v>6.0</v>
      </c>
      <c r="D26" s="36">
        <v>386.0</v>
      </c>
      <c r="E26" s="36">
        <v>309.0</v>
      </c>
      <c r="F26" s="36">
        <v>0.8</v>
      </c>
      <c r="G26" s="36">
        <v>19.0</v>
      </c>
      <c r="H26" s="36">
        <v>0.57</v>
      </c>
      <c r="I26" s="36">
        <v>10.6</v>
      </c>
      <c r="J26" s="36">
        <v>93.7</v>
      </c>
      <c r="K26" s="36">
        <v>69.0</v>
      </c>
      <c r="L26" s="36">
        <v>64.4</v>
      </c>
      <c r="M26" s="36">
        <v>98.0</v>
      </c>
      <c r="N26" s="36">
        <v>45.0</v>
      </c>
      <c r="O26" s="36">
        <v>19.0</v>
      </c>
      <c r="P26" s="36">
        <v>15.0</v>
      </c>
      <c r="Q26" s="36">
        <v>0.31</v>
      </c>
      <c r="R26" s="36">
        <v>1.01</v>
      </c>
      <c r="S26" s="36">
        <v>2.23</v>
      </c>
      <c r="T26" s="36">
        <v>3.24</v>
      </c>
      <c r="U26" s="21">
        <f t="shared" si="1"/>
        <v>3240</v>
      </c>
      <c r="V26" s="21">
        <f t="shared" si="2"/>
        <v>0</v>
      </c>
      <c r="Y26" s="45"/>
    </row>
    <row r="27" ht="14.25" customHeight="1">
      <c r="A27" s="38">
        <v>0.14722222222222223</v>
      </c>
      <c r="B27" s="36">
        <v>34.0</v>
      </c>
      <c r="C27" s="36">
        <v>6.0</v>
      </c>
      <c r="D27" s="36">
        <v>386.0</v>
      </c>
      <c r="E27" s="36">
        <v>309.0</v>
      </c>
      <c r="F27" s="36">
        <v>0.8</v>
      </c>
      <c r="G27" s="36">
        <v>19.0</v>
      </c>
      <c r="H27" s="36">
        <v>0.57</v>
      </c>
      <c r="I27" s="36">
        <v>10.6</v>
      </c>
      <c r="J27" s="36">
        <v>93.7</v>
      </c>
      <c r="K27" s="36">
        <v>71.0</v>
      </c>
      <c r="L27" s="36">
        <v>63.7</v>
      </c>
      <c r="M27" s="36">
        <v>98.0</v>
      </c>
      <c r="N27" s="36">
        <v>45.0</v>
      </c>
      <c r="O27" s="36">
        <v>19.0</v>
      </c>
      <c r="P27" s="36">
        <v>15.0</v>
      </c>
      <c r="Q27" s="36">
        <v>0.31</v>
      </c>
      <c r="R27" s="36">
        <v>1.01</v>
      </c>
      <c r="S27" s="36">
        <v>2.23</v>
      </c>
      <c r="T27" s="36">
        <v>3.24</v>
      </c>
      <c r="U27" s="21">
        <f t="shared" si="1"/>
        <v>3240</v>
      </c>
      <c r="V27" s="21">
        <f t="shared" si="2"/>
        <v>122500</v>
      </c>
      <c r="Y27" s="45"/>
    </row>
    <row r="28" ht="14.25" customHeight="1">
      <c r="A28" s="38">
        <v>0.1486111111111111</v>
      </c>
      <c r="B28" s="36">
        <v>35.0</v>
      </c>
      <c r="C28" s="36">
        <v>6.1</v>
      </c>
      <c r="D28" s="36">
        <v>392.0</v>
      </c>
      <c r="E28" s="36">
        <v>305.0</v>
      </c>
      <c r="F28" s="36">
        <v>0.78</v>
      </c>
      <c r="G28" s="36">
        <v>21.0</v>
      </c>
      <c r="H28" s="36">
        <v>0.52</v>
      </c>
      <c r="I28" s="36">
        <v>10.8</v>
      </c>
      <c r="J28" s="36">
        <v>93.6</v>
      </c>
      <c r="K28" s="36">
        <v>73.0</v>
      </c>
      <c r="L28" s="36">
        <v>62.6</v>
      </c>
      <c r="M28" s="36">
        <v>96.0</v>
      </c>
      <c r="N28" s="36">
        <v>46.0</v>
      </c>
      <c r="O28" s="36">
        <v>21.0</v>
      </c>
      <c r="P28" s="36">
        <v>15.0</v>
      </c>
      <c r="Q28" s="36">
        <v>0.3</v>
      </c>
      <c r="R28" s="36">
        <v>0.86</v>
      </c>
      <c r="S28" s="36">
        <v>2.03</v>
      </c>
      <c r="T28" s="36">
        <v>2.89</v>
      </c>
      <c r="U28" s="21">
        <f t="shared" si="1"/>
        <v>2890</v>
      </c>
      <c r="V28" s="21">
        <f t="shared" si="2"/>
        <v>52900</v>
      </c>
      <c r="Y28" s="45"/>
    </row>
    <row r="29" ht="14.25" customHeight="1">
      <c r="A29" s="38">
        <v>0.15347222222222223</v>
      </c>
      <c r="B29" s="36">
        <v>38.0</v>
      </c>
      <c r="C29" s="36">
        <v>6.4</v>
      </c>
      <c r="D29" s="36">
        <v>411.0</v>
      </c>
      <c r="E29" s="36">
        <v>309.0</v>
      </c>
      <c r="F29" s="36">
        <v>0.75</v>
      </c>
      <c r="G29" s="36">
        <v>23.0</v>
      </c>
      <c r="H29" s="36">
        <v>0.49</v>
      </c>
      <c r="I29" s="36">
        <v>11.1</v>
      </c>
      <c r="J29" s="36">
        <v>93.4</v>
      </c>
      <c r="K29" s="36">
        <v>75.0</v>
      </c>
      <c r="L29" s="36">
        <v>61.8</v>
      </c>
      <c r="M29" s="36">
        <v>94.0</v>
      </c>
      <c r="N29" s="36">
        <v>46.0</v>
      </c>
      <c r="O29" s="36">
        <v>23.0</v>
      </c>
      <c r="P29" s="36">
        <v>16.0</v>
      </c>
      <c r="Q29" s="36">
        <v>0.32</v>
      </c>
      <c r="R29" s="36">
        <v>0.86</v>
      </c>
      <c r="S29" s="36">
        <v>1.8</v>
      </c>
      <c r="T29" s="36">
        <v>2.66</v>
      </c>
      <c r="U29" s="21">
        <f t="shared" si="1"/>
        <v>2660</v>
      </c>
      <c r="V29" s="21">
        <f t="shared" si="2"/>
        <v>72900</v>
      </c>
      <c r="Y29" s="45"/>
    </row>
    <row r="30" ht="14.25" customHeight="1">
      <c r="A30" s="38">
        <v>0.15625</v>
      </c>
      <c r="B30" s="36">
        <v>40.0</v>
      </c>
      <c r="C30" s="36">
        <v>7.4</v>
      </c>
      <c r="D30" s="36">
        <v>476.0</v>
      </c>
      <c r="E30" s="36">
        <v>361.0</v>
      </c>
      <c r="F30" s="36">
        <v>0.76</v>
      </c>
      <c r="G30" s="36">
        <v>20.0</v>
      </c>
      <c r="H30" s="36">
        <v>0.58</v>
      </c>
      <c r="I30" s="36">
        <v>11.8</v>
      </c>
      <c r="J30" s="36">
        <v>92.9</v>
      </c>
      <c r="K30" s="36">
        <v>74.0</v>
      </c>
      <c r="L30" s="36">
        <v>61.9</v>
      </c>
      <c r="M30" s="36">
        <v>94.0</v>
      </c>
      <c r="N30" s="36">
        <v>46.0</v>
      </c>
      <c r="O30" s="36">
        <v>20.0</v>
      </c>
      <c r="P30" s="36">
        <v>18.0</v>
      </c>
      <c r="Q30" s="36">
        <v>0.34</v>
      </c>
      <c r="R30" s="36">
        <v>1.01</v>
      </c>
      <c r="S30" s="36">
        <v>1.92</v>
      </c>
      <c r="T30" s="36">
        <v>2.93</v>
      </c>
      <c r="U30" s="21">
        <f t="shared" si="1"/>
        <v>2930</v>
      </c>
      <c r="V30" s="21">
        <f t="shared" si="2"/>
        <v>25600</v>
      </c>
      <c r="Y30" s="45"/>
    </row>
    <row r="31" ht="14.25" customHeight="1">
      <c r="A31" s="38">
        <v>0.15902777777777777</v>
      </c>
      <c r="B31" s="36">
        <v>41.0</v>
      </c>
      <c r="C31" s="36">
        <v>7.8</v>
      </c>
      <c r="D31" s="36">
        <v>500.0</v>
      </c>
      <c r="E31" s="36">
        <v>382.0</v>
      </c>
      <c r="F31" s="36">
        <v>0.76</v>
      </c>
      <c r="G31" s="36">
        <v>19.0</v>
      </c>
      <c r="H31" s="36">
        <v>0.62</v>
      </c>
      <c r="I31" s="36">
        <v>12.1</v>
      </c>
      <c r="J31" s="36">
        <v>92.7</v>
      </c>
      <c r="K31" s="36">
        <v>75.0</v>
      </c>
      <c r="L31" s="36">
        <v>61.4</v>
      </c>
      <c r="M31" s="36">
        <v>95.0</v>
      </c>
      <c r="N31" s="36">
        <v>46.0</v>
      </c>
      <c r="O31" s="36">
        <v>19.0</v>
      </c>
      <c r="P31" s="36">
        <v>19.0</v>
      </c>
      <c r="Q31" s="36">
        <v>0.34</v>
      </c>
      <c r="R31" s="36">
        <v>1.06</v>
      </c>
      <c r="S31" s="36">
        <v>2.03</v>
      </c>
      <c r="T31" s="36">
        <v>3.09</v>
      </c>
      <c r="U31" s="21">
        <f t="shared" si="1"/>
        <v>3090</v>
      </c>
      <c r="V31" s="21">
        <f t="shared" si="2"/>
        <v>16900</v>
      </c>
      <c r="Y31" s="45"/>
    </row>
    <row r="32" ht="14.25" customHeight="1">
      <c r="A32" s="38">
        <v>0.16111111111111112</v>
      </c>
      <c r="B32" s="36">
        <v>42.0</v>
      </c>
      <c r="C32" s="36">
        <v>8.5</v>
      </c>
      <c r="D32" s="36">
        <v>544.0</v>
      </c>
      <c r="E32" s="36">
        <v>418.0</v>
      </c>
      <c r="F32" s="36">
        <v>0.77</v>
      </c>
      <c r="G32" s="36">
        <v>19.0</v>
      </c>
      <c r="H32" s="36">
        <v>0.68</v>
      </c>
      <c r="I32" s="36">
        <v>12.7</v>
      </c>
      <c r="J32" s="36">
        <v>92.4</v>
      </c>
      <c r="K32" s="36">
        <v>76.0</v>
      </c>
      <c r="L32" s="36">
        <v>61.1</v>
      </c>
      <c r="M32" s="36">
        <v>96.0</v>
      </c>
      <c r="N32" s="36">
        <v>46.0</v>
      </c>
      <c r="O32" s="36">
        <v>19.0</v>
      </c>
      <c r="P32" s="36">
        <v>21.0</v>
      </c>
      <c r="Q32" s="36">
        <v>0.34</v>
      </c>
      <c r="R32" s="36">
        <v>1.1</v>
      </c>
      <c r="S32" s="36">
        <v>2.13</v>
      </c>
      <c r="T32" s="36">
        <v>3.22</v>
      </c>
      <c r="U32" s="21">
        <f t="shared" si="1"/>
        <v>3220</v>
      </c>
      <c r="V32" s="21">
        <f t="shared" si="2"/>
        <v>6400</v>
      </c>
      <c r="Y32" s="45"/>
    </row>
    <row r="33" ht="14.25" customHeight="1">
      <c r="A33" s="38">
        <v>0.16319444444444445</v>
      </c>
      <c r="B33" s="36">
        <v>43.0</v>
      </c>
      <c r="C33" s="36">
        <v>8.9</v>
      </c>
      <c r="D33" s="36">
        <v>567.0</v>
      </c>
      <c r="E33" s="36">
        <v>435.0</v>
      </c>
      <c r="F33" s="36">
        <v>0.77</v>
      </c>
      <c r="G33" s="36">
        <v>19.0</v>
      </c>
      <c r="H33" s="36">
        <v>0.69</v>
      </c>
      <c r="I33" s="36">
        <v>13.2</v>
      </c>
      <c r="J33" s="36">
        <v>92.1</v>
      </c>
      <c r="K33" s="36">
        <v>77.0</v>
      </c>
      <c r="L33" s="36">
        <v>60.3</v>
      </c>
      <c r="M33" s="36">
        <v>96.0</v>
      </c>
      <c r="N33" s="36">
        <v>46.0</v>
      </c>
      <c r="O33" s="36">
        <v>19.0</v>
      </c>
      <c r="P33" s="36">
        <v>21.0</v>
      </c>
      <c r="Q33" s="36">
        <v>0.36</v>
      </c>
      <c r="R33" s="36">
        <v>1.13</v>
      </c>
      <c r="S33" s="36">
        <v>2.01</v>
      </c>
      <c r="T33" s="36">
        <v>3.14</v>
      </c>
      <c r="U33" s="21">
        <f t="shared" si="1"/>
        <v>3140</v>
      </c>
      <c r="V33" s="21">
        <f t="shared" si="2"/>
        <v>12100</v>
      </c>
      <c r="Y33" s="45"/>
    </row>
    <row r="34" ht="14.25" customHeight="1">
      <c r="A34" s="38">
        <v>0.16527777777777777</v>
      </c>
      <c r="B34" s="36">
        <v>45.0</v>
      </c>
      <c r="C34" s="36">
        <v>9.5</v>
      </c>
      <c r="D34" s="36">
        <v>605.0</v>
      </c>
      <c r="E34" s="36">
        <v>467.0</v>
      </c>
      <c r="F34" s="36">
        <v>0.77</v>
      </c>
      <c r="G34" s="36">
        <v>18.0</v>
      </c>
      <c r="H34" s="36">
        <v>0.75</v>
      </c>
      <c r="I34" s="36">
        <v>13.8</v>
      </c>
      <c r="J34" s="36">
        <v>91.7</v>
      </c>
      <c r="K34" s="36">
        <v>77.0</v>
      </c>
      <c r="L34" s="36">
        <v>60.3</v>
      </c>
      <c r="M34" s="36">
        <v>97.0</v>
      </c>
      <c r="N34" s="36">
        <v>46.0</v>
      </c>
      <c r="O34" s="36">
        <v>18.0</v>
      </c>
      <c r="P34" s="36">
        <v>23.0</v>
      </c>
      <c r="Q34" s="36">
        <v>0.37</v>
      </c>
      <c r="R34" s="36">
        <v>1.21</v>
      </c>
      <c r="S34" s="36">
        <v>2.04</v>
      </c>
      <c r="T34" s="36">
        <v>3.25</v>
      </c>
      <c r="U34" s="21">
        <f t="shared" si="1"/>
        <v>3250</v>
      </c>
      <c r="V34" s="21">
        <f t="shared" si="2"/>
        <v>32400</v>
      </c>
      <c r="Y34" s="45"/>
    </row>
    <row r="35" ht="14.25" customHeight="1">
      <c r="A35" s="38">
        <v>0.16805555555555557</v>
      </c>
      <c r="B35" s="36">
        <v>46.0</v>
      </c>
      <c r="C35" s="36">
        <v>9.7</v>
      </c>
      <c r="D35" s="36">
        <v>619.0</v>
      </c>
      <c r="E35" s="36">
        <v>486.0</v>
      </c>
      <c r="F35" s="36">
        <v>0.78</v>
      </c>
      <c r="G35" s="36">
        <v>18.0</v>
      </c>
      <c r="H35" s="36">
        <v>0.81</v>
      </c>
      <c r="I35" s="36">
        <v>14.1</v>
      </c>
      <c r="J35" s="36">
        <v>91.5</v>
      </c>
      <c r="K35" s="36">
        <v>76.0</v>
      </c>
      <c r="L35" s="36">
        <v>61.3</v>
      </c>
      <c r="M35" s="36">
        <v>99.0</v>
      </c>
      <c r="N35" s="36">
        <v>45.0</v>
      </c>
      <c r="O35" s="36">
        <v>18.0</v>
      </c>
      <c r="P35" s="36">
        <v>23.0</v>
      </c>
      <c r="Q35" s="36">
        <v>0.38</v>
      </c>
      <c r="R35" s="36">
        <v>1.3</v>
      </c>
      <c r="S35" s="36">
        <v>2.13</v>
      </c>
      <c r="T35" s="36">
        <v>3.43</v>
      </c>
      <c r="U35" s="21">
        <f t="shared" si="1"/>
        <v>3430</v>
      </c>
      <c r="V35" s="21">
        <f t="shared" si="2"/>
        <v>40000</v>
      </c>
      <c r="Y35" s="45"/>
    </row>
    <row r="36" ht="14.25" customHeight="1">
      <c r="A36" s="38">
        <v>0.1701388888888889</v>
      </c>
      <c r="B36" s="36">
        <v>48.0</v>
      </c>
      <c r="C36" s="36">
        <v>9.1</v>
      </c>
      <c r="D36" s="36">
        <v>584.0</v>
      </c>
      <c r="E36" s="36">
        <v>463.0</v>
      </c>
      <c r="F36" s="36">
        <v>0.79</v>
      </c>
      <c r="G36" s="36">
        <v>17.0</v>
      </c>
      <c r="H36" s="36">
        <v>0.82</v>
      </c>
      <c r="I36" s="36">
        <v>13.6</v>
      </c>
      <c r="J36" s="36">
        <v>91.8</v>
      </c>
      <c r="K36" s="36">
        <v>73.0</v>
      </c>
      <c r="L36" s="36">
        <v>62.4</v>
      </c>
      <c r="M36" s="36">
        <v>100.0</v>
      </c>
      <c r="N36" s="36">
        <v>45.0</v>
      </c>
      <c r="O36" s="36">
        <v>17.0</v>
      </c>
      <c r="P36" s="36">
        <v>22.0</v>
      </c>
      <c r="Q36" s="36">
        <v>0.35</v>
      </c>
      <c r="R36" s="36">
        <v>1.28</v>
      </c>
      <c r="S36" s="36">
        <v>2.34</v>
      </c>
      <c r="T36" s="36">
        <v>3.63</v>
      </c>
      <c r="U36" s="21">
        <f t="shared" si="1"/>
        <v>3630</v>
      </c>
      <c r="V36" s="21">
        <f t="shared" si="2"/>
        <v>100</v>
      </c>
      <c r="Y36" s="45"/>
    </row>
    <row r="37" ht="14.25" customHeight="1">
      <c r="A37" s="38">
        <v>0.1736111111111111</v>
      </c>
      <c r="B37" s="36">
        <v>50.0</v>
      </c>
      <c r="C37" s="36">
        <v>8.7</v>
      </c>
      <c r="D37" s="36">
        <v>559.0</v>
      </c>
      <c r="E37" s="36">
        <v>449.0</v>
      </c>
      <c r="F37" s="36">
        <v>0.8</v>
      </c>
      <c r="G37" s="36">
        <v>16.0</v>
      </c>
      <c r="H37" s="36">
        <v>0.81</v>
      </c>
      <c r="I37" s="36">
        <v>13.4</v>
      </c>
      <c r="J37" s="36">
        <v>92.0</v>
      </c>
      <c r="K37" s="36">
        <v>71.0</v>
      </c>
      <c r="L37" s="36">
        <v>63.5</v>
      </c>
      <c r="M37" s="36">
        <v>101.0</v>
      </c>
      <c r="N37" s="36">
        <v>44.0</v>
      </c>
      <c r="O37" s="36">
        <v>16.0</v>
      </c>
      <c r="P37" s="36">
        <v>21.0</v>
      </c>
      <c r="Q37" s="36">
        <v>0.36</v>
      </c>
      <c r="R37" s="36">
        <v>1.31</v>
      </c>
      <c r="S37" s="36">
        <v>2.33</v>
      </c>
      <c r="T37" s="36">
        <v>3.64</v>
      </c>
      <c r="U37" s="21">
        <f t="shared" si="1"/>
        <v>3640</v>
      </c>
      <c r="V37" s="21">
        <f t="shared" si="2"/>
        <v>48400</v>
      </c>
      <c r="Y37" s="45"/>
    </row>
    <row r="38" ht="14.25" customHeight="1">
      <c r="A38" s="38">
        <v>0.17569444444444443</v>
      </c>
      <c r="B38" s="36">
        <v>51.0</v>
      </c>
      <c r="C38" s="36">
        <v>9.4</v>
      </c>
      <c r="D38" s="36">
        <v>599.0</v>
      </c>
      <c r="E38" s="36">
        <v>479.0</v>
      </c>
      <c r="F38" s="36">
        <v>0.8</v>
      </c>
      <c r="G38" s="36">
        <v>18.0</v>
      </c>
      <c r="H38" s="36">
        <v>0.81</v>
      </c>
      <c r="I38" s="36">
        <v>14.1</v>
      </c>
      <c r="J38" s="36">
        <v>91.5</v>
      </c>
      <c r="K38" s="36">
        <v>70.0</v>
      </c>
      <c r="L38" s="36">
        <v>64.0</v>
      </c>
      <c r="M38" s="36">
        <v>100.0</v>
      </c>
      <c r="N38" s="36">
        <v>45.0</v>
      </c>
      <c r="O38" s="36">
        <v>18.0</v>
      </c>
      <c r="P38" s="36">
        <v>23.0</v>
      </c>
      <c r="Q38" s="36">
        <v>0.35</v>
      </c>
      <c r="R38" s="36">
        <v>1.2</v>
      </c>
      <c r="S38" s="36">
        <v>2.22</v>
      </c>
      <c r="T38" s="36">
        <v>3.42</v>
      </c>
      <c r="U38" s="21">
        <f t="shared" si="1"/>
        <v>3420</v>
      </c>
      <c r="V38" s="21">
        <f t="shared" si="2"/>
        <v>16900</v>
      </c>
      <c r="Y38" s="45"/>
    </row>
    <row r="39" ht="14.25" customHeight="1">
      <c r="A39" s="38">
        <v>0.18125</v>
      </c>
      <c r="B39" s="36">
        <v>55.0</v>
      </c>
      <c r="C39" s="36">
        <v>9.7</v>
      </c>
      <c r="D39" s="36">
        <v>620.0</v>
      </c>
      <c r="E39" s="36">
        <v>496.0</v>
      </c>
      <c r="F39" s="36">
        <v>0.8</v>
      </c>
      <c r="G39" s="36">
        <v>18.0</v>
      </c>
      <c r="H39" s="36">
        <v>0.8</v>
      </c>
      <c r="I39" s="36">
        <v>14.7</v>
      </c>
      <c r="J39" s="36">
        <v>91.2</v>
      </c>
      <c r="K39" s="36">
        <v>68.0</v>
      </c>
      <c r="L39" s="36">
        <v>65.0</v>
      </c>
      <c r="M39" s="36">
        <v>100.0</v>
      </c>
      <c r="N39" s="36">
        <v>44.0</v>
      </c>
      <c r="O39" s="36">
        <v>18.0</v>
      </c>
      <c r="P39" s="36">
        <v>23.0</v>
      </c>
      <c r="Q39" s="36">
        <v>0.37</v>
      </c>
      <c r="R39" s="36">
        <v>1.2</v>
      </c>
      <c r="S39" s="36">
        <v>2.08</v>
      </c>
      <c r="T39" s="36">
        <v>3.29</v>
      </c>
      <c r="U39" s="21">
        <f t="shared" si="1"/>
        <v>3290</v>
      </c>
      <c r="V39" s="21">
        <f t="shared" si="2"/>
        <v>72900</v>
      </c>
      <c r="Y39" s="45"/>
    </row>
    <row r="40" ht="14.25" customHeight="1">
      <c r="A40" s="38">
        <v>0.18472222222222223</v>
      </c>
      <c r="B40" s="36">
        <v>56.0</v>
      </c>
      <c r="C40" s="36">
        <v>9.9</v>
      </c>
      <c r="D40" s="36">
        <v>634.0</v>
      </c>
      <c r="E40" s="36">
        <v>523.0</v>
      </c>
      <c r="F40" s="36">
        <v>0.83</v>
      </c>
      <c r="G40" s="36">
        <v>17.0</v>
      </c>
      <c r="H40" s="36">
        <v>0.89</v>
      </c>
      <c r="I40" s="36">
        <v>15.0</v>
      </c>
      <c r="J40" s="36">
        <v>91.0</v>
      </c>
      <c r="K40" s="36">
        <v>71.0</v>
      </c>
      <c r="L40" s="36">
        <v>63.6</v>
      </c>
      <c r="M40" s="36">
        <v>101.0</v>
      </c>
      <c r="N40" s="36">
        <v>45.0</v>
      </c>
      <c r="O40" s="36">
        <v>17.0</v>
      </c>
      <c r="P40" s="36">
        <v>24.0</v>
      </c>
      <c r="Q40" s="36">
        <v>0.36</v>
      </c>
      <c r="R40" s="36">
        <v>1.28</v>
      </c>
      <c r="S40" s="36">
        <v>2.28</v>
      </c>
      <c r="T40" s="36">
        <v>3.56</v>
      </c>
      <c r="U40" s="21">
        <f t="shared" si="1"/>
        <v>3560</v>
      </c>
      <c r="V40" s="21">
        <f t="shared" si="2"/>
        <v>90000</v>
      </c>
      <c r="Y40" s="45"/>
    </row>
    <row r="41" ht="14.25" customHeight="1">
      <c r="A41" s="38">
        <v>0.18819444444444444</v>
      </c>
      <c r="B41" s="36">
        <v>59.0</v>
      </c>
      <c r="C41" s="36">
        <v>9.2</v>
      </c>
      <c r="D41" s="36">
        <v>586.0</v>
      </c>
      <c r="E41" s="36">
        <v>490.0</v>
      </c>
      <c r="F41" s="36">
        <v>0.84</v>
      </c>
      <c r="G41" s="36">
        <v>16.0</v>
      </c>
      <c r="H41" s="36">
        <v>0.91</v>
      </c>
      <c r="I41" s="36">
        <v>14.2</v>
      </c>
      <c r="J41" s="36">
        <v>91.5</v>
      </c>
      <c r="K41" s="36">
        <v>72.0</v>
      </c>
      <c r="L41" s="36">
        <v>63.1</v>
      </c>
      <c r="M41" s="36">
        <v>102.0</v>
      </c>
      <c r="N41" s="36">
        <v>44.0</v>
      </c>
      <c r="O41" s="36">
        <v>16.0</v>
      </c>
      <c r="P41" s="36">
        <v>22.0</v>
      </c>
      <c r="Q41" s="36">
        <v>0.35</v>
      </c>
      <c r="R41" s="36">
        <v>1.35</v>
      </c>
      <c r="S41" s="36">
        <v>2.51</v>
      </c>
      <c r="T41" s="36">
        <v>3.86</v>
      </c>
      <c r="U41" s="21">
        <f t="shared" si="1"/>
        <v>3860</v>
      </c>
      <c r="V41" s="21">
        <f t="shared" si="2"/>
        <v>4900</v>
      </c>
      <c r="Y41" s="45"/>
    </row>
    <row r="42" ht="14.25" customHeight="1">
      <c r="A42" s="38">
        <v>0.19027777777777777</v>
      </c>
      <c r="B42" s="36">
        <v>60.0</v>
      </c>
      <c r="C42" s="36">
        <v>8.5</v>
      </c>
      <c r="D42" s="36">
        <v>541.0</v>
      </c>
      <c r="E42" s="36">
        <v>456.0</v>
      </c>
      <c r="F42" s="36">
        <v>0.84</v>
      </c>
      <c r="G42" s="36">
        <v>15.0</v>
      </c>
      <c r="H42" s="36">
        <v>0.86</v>
      </c>
      <c r="I42" s="36">
        <v>13.2</v>
      </c>
      <c r="J42" s="36">
        <v>92.1</v>
      </c>
      <c r="K42" s="36">
        <v>74.0</v>
      </c>
      <c r="L42" s="36">
        <v>61.8</v>
      </c>
      <c r="M42" s="36">
        <v>102.0</v>
      </c>
      <c r="N42" s="36">
        <v>45.0</v>
      </c>
      <c r="O42" s="36">
        <v>15.0</v>
      </c>
      <c r="P42" s="36">
        <v>20.0</v>
      </c>
      <c r="Q42" s="36">
        <v>0.32</v>
      </c>
      <c r="R42" s="36">
        <v>1.27</v>
      </c>
      <c r="S42" s="36">
        <v>2.66</v>
      </c>
      <c r="T42" s="36">
        <v>3.93</v>
      </c>
      <c r="U42" s="21">
        <f t="shared" si="1"/>
        <v>3930</v>
      </c>
      <c r="V42" s="21">
        <f t="shared" si="2"/>
        <v>44100</v>
      </c>
      <c r="Y42" s="45"/>
    </row>
    <row r="43" ht="14.25" customHeight="1">
      <c r="A43" s="38">
        <v>0.19236111111111112</v>
      </c>
      <c r="B43" s="36">
        <v>61.0</v>
      </c>
      <c r="C43" s="36">
        <v>8.2</v>
      </c>
      <c r="D43" s="36">
        <v>525.0</v>
      </c>
      <c r="E43" s="36">
        <v>442.0</v>
      </c>
      <c r="F43" s="36">
        <v>0.84</v>
      </c>
      <c r="G43" s="36">
        <v>16.0</v>
      </c>
      <c r="H43" s="36">
        <v>0.8</v>
      </c>
      <c r="I43" s="36">
        <v>12.9</v>
      </c>
      <c r="J43" s="36">
        <v>92.3</v>
      </c>
      <c r="K43" s="36">
        <v>75.0</v>
      </c>
      <c r="L43" s="36">
        <v>61.3</v>
      </c>
      <c r="M43" s="36">
        <v>101.0</v>
      </c>
      <c r="N43" s="36">
        <v>45.0</v>
      </c>
      <c r="O43" s="36">
        <v>16.0</v>
      </c>
      <c r="P43" s="36">
        <v>20.0</v>
      </c>
      <c r="Q43" s="36">
        <v>0.31</v>
      </c>
      <c r="R43" s="36">
        <v>1.17</v>
      </c>
      <c r="S43" s="36">
        <v>2.55</v>
      </c>
      <c r="T43" s="36">
        <v>3.72</v>
      </c>
      <c r="U43" s="21">
        <f t="shared" si="1"/>
        <v>3720</v>
      </c>
      <c r="V43" s="21">
        <f t="shared" si="2"/>
        <v>90000</v>
      </c>
      <c r="Y43" s="45"/>
    </row>
    <row r="44" ht="14.25" customHeight="1">
      <c r="A44" s="38">
        <v>0.19444444444444445</v>
      </c>
      <c r="B44" s="36">
        <v>63.0</v>
      </c>
      <c r="C44" s="36">
        <v>8.7</v>
      </c>
      <c r="D44" s="36">
        <v>554.0</v>
      </c>
      <c r="E44" s="36">
        <v>460.0</v>
      </c>
      <c r="F44" s="36">
        <v>0.83</v>
      </c>
      <c r="G44" s="36">
        <v>18.0</v>
      </c>
      <c r="H44" s="36">
        <v>0.76</v>
      </c>
      <c r="I44" s="36">
        <v>13.3</v>
      </c>
      <c r="J44" s="36">
        <v>92.0</v>
      </c>
      <c r="K44" s="36">
        <v>77.0</v>
      </c>
      <c r="L44" s="36">
        <v>60.6</v>
      </c>
      <c r="M44" s="36">
        <v>99.0</v>
      </c>
      <c r="N44" s="36">
        <v>46.0</v>
      </c>
      <c r="O44" s="36">
        <v>18.0</v>
      </c>
      <c r="P44" s="36">
        <v>21.0</v>
      </c>
      <c r="Q44" s="36">
        <v>0.3</v>
      </c>
      <c r="R44" s="36">
        <v>1.03</v>
      </c>
      <c r="S44" s="36">
        <v>2.39</v>
      </c>
      <c r="T44" s="36">
        <v>3.42</v>
      </c>
      <c r="U44" s="21">
        <f t="shared" si="1"/>
        <v>3420</v>
      </c>
      <c r="V44" s="21">
        <f t="shared" si="2"/>
        <v>900</v>
      </c>
      <c r="Y44" s="45"/>
    </row>
    <row r="45" ht="14.25" customHeight="1">
      <c r="A45" s="38">
        <v>0.19652777777777777</v>
      </c>
      <c r="B45" s="36">
        <v>64.0</v>
      </c>
      <c r="C45" s="36">
        <v>8.1</v>
      </c>
      <c r="D45" s="36">
        <v>517.0</v>
      </c>
      <c r="E45" s="36">
        <v>422.0</v>
      </c>
      <c r="F45" s="36">
        <v>0.82</v>
      </c>
      <c r="G45" s="36">
        <v>17.0</v>
      </c>
      <c r="H45" s="36">
        <v>0.72</v>
      </c>
      <c r="I45" s="36">
        <v>12.5</v>
      </c>
      <c r="J45" s="36">
        <v>92.5</v>
      </c>
      <c r="K45" s="36">
        <v>77.0</v>
      </c>
      <c r="L45" s="36">
        <v>60.6</v>
      </c>
      <c r="M45" s="36">
        <v>98.0</v>
      </c>
      <c r="N45" s="36">
        <v>46.0</v>
      </c>
      <c r="O45" s="36">
        <v>17.0</v>
      </c>
      <c r="P45" s="36">
        <v>19.0</v>
      </c>
      <c r="Q45" s="36">
        <v>0.3</v>
      </c>
      <c r="R45" s="36">
        <v>1.05</v>
      </c>
      <c r="S45" s="36">
        <v>2.4</v>
      </c>
      <c r="T45" s="36">
        <v>3.45</v>
      </c>
      <c r="U45" s="21">
        <f t="shared" si="1"/>
        <v>3450</v>
      </c>
      <c r="V45" s="21">
        <f t="shared" si="2"/>
        <v>84100</v>
      </c>
      <c r="Y45" s="45"/>
    </row>
    <row r="46" ht="14.25" customHeight="1">
      <c r="A46" s="38">
        <v>0.1986111111111111</v>
      </c>
      <c r="B46" s="36">
        <v>65.0</v>
      </c>
      <c r="C46" s="36">
        <v>7.6</v>
      </c>
      <c r="D46" s="36">
        <v>487.0</v>
      </c>
      <c r="E46" s="36">
        <v>377.0</v>
      </c>
      <c r="F46" s="36">
        <v>0.77</v>
      </c>
      <c r="G46" s="36">
        <v>19.0</v>
      </c>
      <c r="H46" s="36">
        <v>0.61</v>
      </c>
      <c r="I46" s="36">
        <v>11.7</v>
      </c>
      <c r="J46" s="36">
        <v>93.0</v>
      </c>
      <c r="K46" s="36">
        <v>77.0</v>
      </c>
      <c r="L46" s="36">
        <v>60.6</v>
      </c>
      <c r="M46" s="36">
        <v>96.0</v>
      </c>
      <c r="N46" s="36">
        <v>47.0</v>
      </c>
      <c r="O46" s="36">
        <v>19.0</v>
      </c>
      <c r="P46" s="36">
        <v>18.0</v>
      </c>
      <c r="Q46" s="36">
        <v>0.3</v>
      </c>
      <c r="R46" s="36">
        <v>0.94</v>
      </c>
      <c r="S46" s="36">
        <v>2.22</v>
      </c>
      <c r="T46" s="36">
        <v>3.16</v>
      </c>
      <c r="U46" s="21">
        <f t="shared" si="1"/>
        <v>3160</v>
      </c>
      <c r="V46" s="21">
        <f t="shared" si="2"/>
        <v>0</v>
      </c>
      <c r="Y46" s="45"/>
    </row>
    <row r="47" ht="14.25" customHeight="1">
      <c r="A47" s="38">
        <v>0.20069444444444445</v>
      </c>
      <c r="B47" s="36">
        <v>66.0</v>
      </c>
      <c r="C47" s="36">
        <v>7.6</v>
      </c>
      <c r="D47" s="36">
        <v>486.0</v>
      </c>
      <c r="E47" s="36">
        <v>377.0</v>
      </c>
      <c r="F47" s="36">
        <v>0.77</v>
      </c>
      <c r="G47" s="36">
        <v>19.0</v>
      </c>
      <c r="H47" s="36">
        <v>0.61</v>
      </c>
      <c r="I47" s="36">
        <v>11.7</v>
      </c>
      <c r="J47" s="36">
        <v>93.0</v>
      </c>
      <c r="K47" s="36">
        <v>78.0</v>
      </c>
      <c r="L47" s="36">
        <v>60.2</v>
      </c>
      <c r="M47" s="36">
        <v>96.0</v>
      </c>
      <c r="N47" s="36">
        <v>47.0</v>
      </c>
      <c r="O47" s="36">
        <v>19.0</v>
      </c>
      <c r="P47" s="36">
        <v>18.0</v>
      </c>
      <c r="Q47" s="36">
        <v>0.3</v>
      </c>
      <c r="R47" s="36">
        <v>0.94</v>
      </c>
      <c r="S47" s="36">
        <v>2.22</v>
      </c>
      <c r="T47" s="36">
        <v>3.16</v>
      </c>
      <c r="U47" s="21">
        <f t="shared" si="1"/>
        <v>3160</v>
      </c>
      <c r="V47" s="21">
        <f t="shared" si="2"/>
        <v>84100</v>
      </c>
      <c r="Y47" s="45"/>
    </row>
    <row r="48" ht="14.25" customHeight="1">
      <c r="A48" s="38">
        <v>0.20277777777777778</v>
      </c>
      <c r="B48" s="36">
        <v>68.0</v>
      </c>
      <c r="C48" s="36">
        <v>8.1</v>
      </c>
      <c r="D48" s="36">
        <v>516.0</v>
      </c>
      <c r="E48" s="36">
        <v>389.0</v>
      </c>
      <c r="F48" s="36">
        <v>0.75</v>
      </c>
      <c r="G48" s="36">
        <v>21.0</v>
      </c>
      <c r="H48" s="36">
        <v>0.59</v>
      </c>
      <c r="I48" s="36">
        <v>12.3</v>
      </c>
      <c r="J48" s="36">
        <v>92.6</v>
      </c>
      <c r="K48" s="36">
        <v>80.0</v>
      </c>
      <c r="L48" s="36">
        <v>58.7</v>
      </c>
      <c r="M48" s="36">
        <v>94.0</v>
      </c>
      <c r="N48" s="36">
        <v>47.0</v>
      </c>
      <c r="O48" s="36">
        <v>21.0</v>
      </c>
      <c r="P48" s="36">
        <v>19.0</v>
      </c>
      <c r="Q48" s="36">
        <v>0.31</v>
      </c>
      <c r="R48" s="36">
        <v>0.88</v>
      </c>
      <c r="S48" s="36">
        <v>1.99</v>
      </c>
      <c r="T48" s="36">
        <v>2.87</v>
      </c>
      <c r="U48" s="21">
        <f t="shared" si="1"/>
        <v>2870</v>
      </c>
      <c r="V48" s="21">
        <f t="shared" si="2"/>
        <v>8100</v>
      </c>
      <c r="Y48" s="45"/>
    </row>
    <row r="49" ht="14.25" customHeight="1">
      <c r="A49" s="38">
        <v>0.20416666666666666</v>
      </c>
      <c r="B49" s="36">
        <v>68.0</v>
      </c>
      <c r="C49" s="36">
        <v>8.4</v>
      </c>
      <c r="D49" s="36">
        <v>539.0</v>
      </c>
      <c r="E49" s="36">
        <v>398.0</v>
      </c>
      <c r="F49" s="36">
        <v>0.74</v>
      </c>
      <c r="G49" s="36">
        <v>22.0</v>
      </c>
      <c r="H49" s="36">
        <v>0.58</v>
      </c>
      <c r="I49" s="36">
        <v>12.6</v>
      </c>
      <c r="J49" s="36">
        <v>92.5</v>
      </c>
      <c r="K49" s="36">
        <v>80.0</v>
      </c>
      <c r="L49" s="36">
        <v>58.8</v>
      </c>
      <c r="M49" s="36">
        <v>94.0</v>
      </c>
      <c r="N49" s="36">
        <v>47.0</v>
      </c>
      <c r="O49" s="36">
        <v>22.0</v>
      </c>
      <c r="P49" s="36">
        <v>20.0</v>
      </c>
      <c r="Q49" s="36">
        <v>0.32</v>
      </c>
      <c r="R49" s="36">
        <v>0.88</v>
      </c>
      <c r="S49" s="36">
        <v>1.9</v>
      </c>
      <c r="T49" s="36">
        <v>2.78</v>
      </c>
      <c r="U49" s="21">
        <f t="shared" si="1"/>
        <v>2780</v>
      </c>
      <c r="V49" s="21">
        <f t="shared" si="2"/>
        <v>32400</v>
      </c>
      <c r="Y49" s="45"/>
    </row>
    <row r="50" ht="14.25" customHeight="1">
      <c r="A50" s="38">
        <v>0.20625</v>
      </c>
      <c r="B50" s="36">
        <v>69.0</v>
      </c>
      <c r="C50" s="36">
        <v>8.9</v>
      </c>
      <c r="D50" s="36">
        <v>572.0</v>
      </c>
      <c r="E50" s="36">
        <v>416.0</v>
      </c>
      <c r="F50" s="36">
        <v>0.73</v>
      </c>
      <c r="G50" s="36">
        <v>23.0</v>
      </c>
      <c r="H50" s="36">
        <v>0.57</v>
      </c>
      <c r="I50" s="36">
        <v>13.2</v>
      </c>
      <c r="J50" s="36">
        <v>92.1</v>
      </c>
      <c r="K50" s="36">
        <v>82.0</v>
      </c>
      <c r="L50" s="36">
        <v>57.9</v>
      </c>
      <c r="M50" s="36">
        <v>93.0</v>
      </c>
      <c r="N50" s="36">
        <v>47.0</v>
      </c>
      <c r="O50" s="36">
        <v>23.0</v>
      </c>
      <c r="P50" s="36">
        <v>22.0</v>
      </c>
      <c r="Q50" s="36">
        <v>0.32</v>
      </c>
      <c r="R50" s="36">
        <v>0.83</v>
      </c>
      <c r="S50" s="36">
        <v>1.77</v>
      </c>
      <c r="T50" s="36">
        <v>2.6</v>
      </c>
      <c r="U50" s="21">
        <f t="shared" si="1"/>
        <v>2600</v>
      </c>
      <c r="V50" s="21">
        <f t="shared" si="2"/>
        <v>6400</v>
      </c>
      <c r="Y50" s="45"/>
    </row>
    <row r="51" ht="14.25" customHeight="1">
      <c r="A51" s="38">
        <v>0.2076388888888889</v>
      </c>
      <c r="B51" s="36">
        <v>70.0</v>
      </c>
      <c r="C51" s="36">
        <v>8.8</v>
      </c>
      <c r="D51" s="36">
        <v>562.0</v>
      </c>
      <c r="E51" s="36">
        <v>400.0</v>
      </c>
      <c r="F51" s="36">
        <v>0.71</v>
      </c>
      <c r="G51" s="36">
        <v>24.0</v>
      </c>
      <c r="H51" s="36">
        <v>0.55</v>
      </c>
      <c r="I51" s="36">
        <v>13.0</v>
      </c>
      <c r="J51" s="36">
        <v>92.2</v>
      </c>
      <c r="K51" s="36">
        <v>82.0</v>
      </c>
      <c r="L51" s="36">
        <v>57.9</v>
      </c>
      <c r="M51" s="36">
        <v>92.0</v>
      </c>
      <c r="N51" s="36">
        <v>47.0</v>
      </c>
      <c r="O51" s="36">
        <v>24.0</v>
      </c>
      <c r="P51" s="36">
        <v>21.0</v>
      </c>
      <c r="Q51" s="36">
        <v>0.33</v>
      </c>
      <c r="R51" s="36">
        <v>0.83</v>
      </c>
      <c r="S51" s="36">
        <v>1.7</v>
      </c>
      <c r="T51" s="36">
        <v>2.52</v>
      </c>
      <c r="U51" s="21">
        <f t="shared" si="1"/>
        <v>2520</v>
      </c>
      <c r="V51" s="21">
        <f t="shared" si="2"/>
        <v>16900</v>
      </c>
      <c r="Y51" s="45"/>
    </row>
    <row r="52" ht="14.25" customHeight="1">
      <c r="A52" s="38">
        <v>0.2111111111111111</v>
      </c>
      <c r="B52" s="36">
        <v>72.0</v>
      </c>
      <c r="C52" s="36">
        <v>9.4</v>
      </c>
      <c r="D52" s="36">
        <v>605.0</v>
      </c>
      <c r="E52" s="36">
        <v>435.0</v>
      </c>
      <c r="F52" s="36">
        <v>0.72</v>
      </c>
      <c r="G52" s="36">
        <v>23.0</v>
      </c>
      <c r="H52" s="36">
        <v>0.6</v>
      </c>
      <c r="I52" s="36">
        <v>13.6</v>
      </c>
      <c r="J52" s="36">
        <v>91.9</v>
      </c>
      <c r="K52" s="36">
        <v>82.0</v>
      </c>
      <c r="L52" s="36">
        <v>57.9</v>
      </c>
      <c r="M52" s="36">
        <v>92.0</v>
      </c>
      <c r="N52" s="36">
        <v>47.0</v>
      </c>
      <c r="O52" s="36">
        <v>23.0</v>
      </c>
      <c r="P52" s="36">
        <v>23.0</v>
      </c>
      <c r="Q52" s="36">
        <v>0.35</v>
      </c>
      <c r="R52" s="36">
        <v>0.92</v>
      </c>
      <c r="S52" s="36">
        <v>1.73</v>
      </c>
      <c r="T52" s="36">
        <v>2.65</v>
      </c>
      <c r="U52" s="21">
        <f t="shared" si="1"/>
        <v>2650</v>
      </c>
      <c r="V52" s="21">
        <f t="shared" si="2"/>
        <v>10000</v>
      </c>
      <c r="Y52" s="45"/>
    </row>
    <row r="53" ht="14.25" customHeight="1">
      <c r="A53" s="38">
        <v>0.21319444444444444</v>
      </c>
      <c r="B53" s="36">
        <v>73.0</v>
      </c>
      <c r="C53" s="36">
        <v>9.4</v>
      </c>
      <c r="D53" s="36">
        <v>601.0</v>
      </c>
      <c r="E53" s="36">
        <v>429.0</v>
      </c>
      <c r="F53" s="36">
        <v>0.71</v>
      </c>
      <c r="G53" s="36">
        <v>24.0</v>
      </c>
      <c r="H53" s="36">
        <v>0.58</v>
      </c>
      <c r="I53" s="36">
        <v>13.6</v>
      </c>
      <c r="J53" s="36">
        <v>91.8</v>
      </c>
      <c r="K53" s="36">
        <v>82.0</v>
      </c>
      <c r="L53" s="36">
        <v>58.2</v>
      </c>
      <c r="M53" s="36">
        <v>92.0</v>
      </c>
      <c r="N53" s="36">
        <v>47.0</v>
      </c>
      <c r="O53" s="36">
        <v>24.0</v>
      </c>
      <c r="P53" s="36">
        <v>23.0</v>
      </c>
      <c r="Q53" s="36">
        <v>0.34</v>
      </c>
      <c r="R53" s="36">
        <v>0.87</v>
      </c>
      <c r="S53" s="36">
        <v>1.68</v>
      </c>
      <c r="T53" s="36">
        <v>2.55</v>
      </c>
      <c r="U53" s="21">
        <f t="shared" si="1"/>
        <v>2550</v>
      </c>
      <c r="V53" s="21">
        <f t="shared" si="2"/>
        <v>8100</v>
      </c>
      <c r="Y53" s="45"/>
    </row>
    <row r="54" ht="14.25" customHeight="1">
      <c r="A54" s="38">
        <v>0.2152777777777778</v>
      </c>
      <c r="B54" s="36">
        <v>75.0</v>
      </c>
      <c r="C54" s="36">
        <v>8.6</v>
      </c>
      <c r="D54" s="36">
        <v>549.0</v>
      </c>
      <c r="E54" s="36">
        <v>392.0</v>
      </c>
      <c r="F54" s="36">
        <v>0.71</v>
      </c>
      <c r="G54" s="36">
        <v>24.0</v>
      </c>
      <c r="H54" s="36">
        <v>0.53</v>
      </c>
      <c r="I54" s="36">
        <v>13.0</v>
      </c>
      <c r="J54" s="36">
        <v>92.2</v>
      </c>
      <c r="K54" s="36">
        <v>80.0</v>
      </c>
      <c r="L54" s="36">
        <v>58.9</v>
      </c>
      <c r="M54" s="36">
        <v>92.0</v>
      </c>
      <c r="N54" s="36">
        <v>47.0</v>
      </c>
      <c r="O54" s="36">
        <v>24.0</v>
      </c>
      <c r="P54" s="36">
        <v>21.0</v>
      </c>
      <c r="Q54" s="36">
        <v>0.33</v>
      </c>
      <c r="R54" s="36">
        <v>0.8</v>
      </c>
      <c r="S54" s="36">
        <v>1.66</v>
      </c>
      <c r="T54" s="36">
        <v>2.46</v>
      </c>
      <c r="U54" s="21">
        <f t="shared" si="1"/>
        <v>2460</v>
      </c>
      <c r="V54" s="21">
        <f t="shared" si="2"/>
        <v>8100</v>
      </c>
      <c r="Y54" s="45"/>
    </row>
    <row r="55" ht="14.25" customHeight="1">
      <c r="A55" s="38">
        <v>0.21666666666666667</v>
      </c>
      <c r="B55" s="36">
        <v>76.0</v>
      </c>
      <c r="C55" s="36">
        <v>8.4</v>
      </c>
      <c r="D55" s="36">
        <v>538.0</v>
      </c>
      <c r="E55" s="36">
        <v>386.0</v>
      </c>
      <c r="F55" s="36">
        <v>0.72</v>
      </c>
      <c r="G55" s="36">
        <v>24.0</v>
      </c>
      <c r="H55" s="36">
        <v>0.54</v>
      </c>
      <c r="I55" s="36">
        <v>12.7</v>
      </c>
      <c r="J55" s="36">
        <v>92.4</v>
      </c>
      <c r="K55" s="36">
        <v>79.0</v>
      </c>
      <c r="L55" s="36">
        <v>59.7</v>
      </c>
      <c r="M55" s="36">
        <v>92.0</v>
      </c>
      <c r="N55" s="36">
        <v>47.0</v>
      </c>
      <c r="O55" s="36">
        <v>24.0</v>
      </c>
      <c r="P55" s="36">
        <v>20.0</v>
      </c>
      <c r="Q55" s="36">
        <v>0.33</v>
      </c>
      <c r="R55" s="36">
        <v>0.84</v>
      </c>
      <c r="S55" s="36">
        <v>1.71</v>
      </c>
      <c r="T55" s="36">
        <v>2.55</v>
      </c>
      <c r="U55" s="21">
        <f t="shared" si="1"/>
        <v>2550</v>
      </c>
      <c r="V55" s="21">
        <f t="shared" si="2"/>
        <v>100</v>
      </c>
      <c r="Y55" s="45"/>
    </row>
    <row r="56" ht="14.25" customHeight="1">
      <c r="A56" s="38">
        <v>0.21875</v>
      </c>
      <c r="B56" s="36">
        <v>77.0</v>
      </c>
      <c r="C56" s="36">
        <v>8.7</v>
      </c>
      <c r="D56" s="36">
        <v>557.0</v>
      </c>
      <c r="E56" s="36">
        <v>401.0</v>
      </c>
      <c r="F56" s="36">
        <v>0.72</v>
      </c>
      <c r="G56" s="36">
        <v>23.0</v>
      </c>
      <c r="H56" s="36">
        <v>0.55</v>
      </c>
      <c r="I56" s="36">
        <v>13.0</v>
      </c>
      <c r="J56" s="36">
        <v>92.2</v>
      </c>
      <c r="K56" s="36">
        <v>79.0</v>
      </c>
      <c r="L56" s="36">
        <v>59.3</v>
      </c>
      <c r="M56" s="36">
        <v>92.0</v>
      </c>
      <c r="N56" s="36">
        <v>47.0</v>
      </c>
      <c r="O56" s="36">
        <v>23.0</v>
      </c>
      <c r="P56" s="36">
        <v>21.0</v>
      </c>
      <c r="Q56" s="36">
        <v>0.34</v>
      </c>
      <c r="R56" s="36">
        <v>0.88</v>
      </c>
      <c r="S56" s="36">
        <v>1.69</v>
      </c>
      <c r="T56" s="36">
        <v>2.56</v>
      </c>
      <c r="U56" s="21">
        <f t="shared" si="1"/>
        <v>2560</v>
      </c>
      <c r="V56" s="21">
        <f t="shared" si="2"/>
        <v>19600</v>
      </c>
      <c r="Y56" s="45"/>
    </row>
    <row r="57" ht="14.25" customHeight="1">
      <c r="A57" s="38">
        <v>0.22083333333333333</v>
      </c>
      <c r="B57" s="36">
        <v>78.0</v>
      </c>
      <c r="C57" s="36">
        <v>9.0</v>
      </c>
      <c r="D57" s="36">
        <v>575.0</v>
      </c>
      <c r="E57" s="36">
        <v>416.0</v>
      </c>
      <c r="F57" s="36">
        <v>0.72</v>
      </c>
      <c r="G57" s="36">
        <v>22.0</v>
      </c>
      <c r="H57" s="36">
        <v>0.59</v>
      </c>
      <c r="I57" s="36">
        <v>13.1</v>
      </c>
      <c r="J57" s="36">
        <v>92.1</v>
      </c>
      <c r="K57" s="36">
        <v>79.0</v>
      </c>
      <c r="L57" s="36">
        <v>59.3</v>
      </c>
      <c r="M57" s="36">
        <v>92.0</v>
      </c>
      <c r="N57" s="36">
        <v>47.0</v>
      </c>
      <c r="O57" s="36">
        <v>22.0</v>
      </c>
      <c r="P57" s="36">
        <v>22.0</v>
      </c>
      <c r="Q57" s="36">
        <v>0.34</v>
      </c>
      <c r="R57" s="36">
        <v>0.93</v>
      </c>
      <c r="S57" s="36">
        <v>1.78</v>
      </c>
      <c r="T57" s="36">
        <v>2.7</v>
      </c>
      <c r="U57" s="21">
        <f t="shared" si="1"/>
        <v>2700</v>
      </c>
      <c r="V57" s="21">
        <f t="shared" si="2"/>
        <v>4900</v>
      </c>
      <c r="Y57" s="45"/>
    </row>
    <row r="58" ht="14.25" customHeight="1">
      <c r="A58" s="38">
        <v>0.22291666666666668</v>
      </c>
      <c r="B58" s="36">
        <v>79.0</v>
      </c>
      <c r="C58" s="36">
        <v>9.2</v>
      </c>
      <c r="D58" s="36">
        <v>590.0</v>
      </c>
      <c r="E58" s="36">
        <v>429.0</v>
      </c>
      <c r="F58" s="36">
        <v>0.73</v>
      </c>
      <c r="G58" s="36">
        <v>22.0</v>
      </c>
      <c r="H58" s="36">
        <v>0.62</v>
      </c>
      <c r="I58" s="36">
        <v>13.4</v>
      </c>
      <c r="J58" s="36">
        <v>92.0</v>
      </c>
      <c r="K58" s="36">
        <v>75.0</v>
      </c>
      <c r="L58" s="36">
        <v>61.6</v>
      </c>
      <c r="M58" s="36">
        <v>93.0</v>
      </c>
      <c r="N58" s="36">
        <v>47.0</v>
      </c>
      <c r="O58" s="36">
        <v>22.0</v>
      </c>
      <c r="P58" s="36">
        <v>22.0</v>
      </c>
      <c r="Q58" s="36">
        <v>0.35</v>
      </c>
      <c r="R58" s="36">
        <v>0.96</v>
      </c>
      <c r="S58" s="36">
        <v>1.81</v>
      </c>
      <c r="T58" s="36">
        <v>2.77</v>
      </c>
      <c r="U58" s="21">
        <f t="shared" si="1"/>
        <v>2770</v>
      </c>
      <c r="V58" s="21">
        <f t="shared" si="2"/>
        <v>900</v>
      </c>
      <c r="Y58" s="45"/>
    </row>
    <row r="59" ht="14.25" customHeight="1">
      <c r="A59" s="38">
        <v>0.225</v>
      </c>
      <c r="B59" s="36">
        <v>80.0</v>
      </c>
      <c r="C59" s="36">
        <v>9.1</v>
      </c>
      <c r="D59" s="36">
        <v>582.0</v>
      </c>
      <c r="E59" s="36">
        <v>423.0</v>
      </c>
      <c r="F59" s="36">
        <v>0.73</v>
      </c>
      <c r="G59" s="36">
        <v>22.0</v>
      </c>
      <c r="H59" s="36">
        <v>0.61</v>
      </c>
      <c r="I59" s="36">
        <v>13.3</v>
      </c>
      <c r="J59" s="36">
        <v>92.1</v>
      </c>
      <c r="K59" s="36">
        <v>77.0</v>
      </c>
      <c r="L59" s="36">
        <v>60.5</v>
      </c>
      <c r="M59" s="36">
        <v>93.0</v>
      </c>
      <c r="N59" s="36">
        <v>47.0</v>
      </c>
      <c r="O59" s="36">
        <v>22.0</v>
      </c>
      <c r="P59" s="36">
        <v>22.0</v>
      </c>
      <c r="Q59" s="36">
        <v>0.34</v>
      </c>
      <c r="R59" s="36">
        <v>0.93</v>
      </c>
      <c r="S59" s="36">
        <v>1.81</v>
      </c>
      <c r="T59" s="36">
        <v>2.74</v>
      </c>
      <c r="U59" s="21">
        <f t="shared" si="1"/>
        <v>2740</v>
      </c>
      <c r="V59" s="21">
        <f t="shared" si="2"/>
        <v>1600</v>
      </c>
      <c r="Y59" s="45"/>
    </row>
    <row r="60" ht="14.25" customHeight="1">
      <c r="A60" s="38">
        <v>0.2263888888888889</v>
      </c>
      <c r="B60" s="36">
        <v>82.0</v>
      </c>
      <c r="C60" s="36">
        <v>9.7</v>
      </c>
      <c r="D60" s="36">
        <v>620.0</v>
      </c>
      <c r="E60" s="36">
        <v>448.0</v>
      </c>
      <c r="F60" s="36">
        <v>0.72</v>
      </c>
      <c r="G60" s="36">
        <v>22.0</v>
      </c>
      <c r="H60" s="36">
        <v>0.64</v>
      </c>
      <c r="I60" s="36">
        <v>13.8</v>
      </c>
      <c r="J60" s="36">
        <v>91.7</v>
      </c>
      <c r="K60" s="36">
        <v>78.0</v>
      </c>
      <c r="L60" s="36">
        <v>60.2</v>
      </c>
      <c r="M60" s="36">
        <v>93.0</v>
      </c>
      <c r="N60" s="36">
        <v>47.0</v>
      </c>
      <c r="O60" s="36">
        <v>22.0</v>
      </c>
      <c r="P60" s="36">
        <v>23.0</v>
      </c>
      <c r="Q60" s="36">
        <v>0.35</v>
      </c>
      <c r="R60" s="36">
        <v>0.96</v>
      </c>
      <c r="S60" s="36">
        <v>1.82</v>
      </c>
      <c r="T60" s="36">
        <v>2.78</v>
      </c>
      <c r="U60" s="21">
        <f t="shared" si="1"/>
        <v>2780</v>
      </c>
      <c r="V60" s="21">
        <f t="shared" si="2"/>
        <v>0</v>
      </c>
      <c r="Y60" s="45"/>
    </row>
    <row r="61" ht="14.25" customHeight="1">
      <c r="A61" s="38">
        <v>0.22916666666666666</v>
      </c>
      <c r="B61" s="36">
        <v>83.0</v>
      </c>
      <c r="C61" s="36">
        <v>9.6</v>
      </c>
      <c r="D61" s="36">
        <v>614.0</v>
      </c>
      <c r="E61" s="36">
        <v>442.0</v>
      </c>
      <c r="F61" s="36">
        <v>0.72</v>
      </c>
      <c r="G61" s="36">
        <v>22.0</v>
      </c>
      <c r="H61" s="36">
        <v>0.63</v>
      </c>
      <c r="I61" s="36">
        <v>13.7</v>
      </c>
      <c r="J61" s="36">
        <v>91.8</v>
      </c>
      <c r="K61" s="36">
        <v>78.0</v>
      </c>
      <c r="L61" s="36">
        <v>59.9</v>
      </c>
      <c r="M61" s="36">
        <v>93.0</v>
      </c>
      <c r="N61" s="36">
        <v>47.0</v>
      </c>
      <c r="O61" s="36">
        <v>22.0</v>
      </c>
      <c r="P61" s="36">
        <v>23.0</v>
      </c>
      <c r="Q61" s="36">
        <v>0.34</v>
      </c>
      <c r="R61" s="36">
        <v>0.95</v>
      </c>
      <c r="S61" s="36">
        <v>1.82</v>
      </c>
      <c r="T61" s="36">
        <v>2.78</v>
      </c>
      <c r="U61" s="21">
        <f t="shared" si="1"/>
        <v>2780</v>
      </c>
      <c r="V61" s="21">
        <f t="shared" si="2"/>
        <v>8100</v>
      </c>
      <c r="Y61" s="45"/>
    </row>
    <row r="62" ht="14.25" customHeight="1">
      <c r="A62" s="38">
        <v>0.23125</v>
      </c>
      <c r="B62" s="36">
        <v>84.0</v>
      </c>
      <c r="C62" s="36">
        <v>9.8</v>
      </c>
      <c r="D62" s="36">
        <v>629.0</v>
      </c>
      <c r="E62" s="36">
        <v>445.0</v>
      </c>
      <c r="F62" s="36">
        <v>0.71</v>
      </c>
      <c r="G62" s="36">
        <v>21.0</v>
      </c>
      <c r="H62" s="36">
        <v>0.65</v>
      </c>
      <c r="I62" s="36">
        <v>13.6</v>
      </c>
      <c r="J62" s="36">
        <v>91.8</v>
      </c>
      <c r="K62" s="36">
        <v>79.0</v>
      </c>
      <c r="L62" s="36">
        <v>59.5</v>
      </c>
      <c r="M62" s="36">
        <v>92.0</v>
      </c>
      <c r="N62" s="36">
        <v>47.0</v>
      </c>
      <c r="O62" s="36">
        <v>21.0</v>
      </c>
      <c r="P62" s="36">
        <v>24.0</v>
      </c>
      <c r="Q62" s="36">
        <v>0.35</v>
      </c>
      <c r="R62" s="36">
        <v>1.0</v>
      </c>
      <c r="S62" s="36">
        <v>1.87</v>
      </c>
      <c r="T62" s="36">
        <v>2.87</v>
      </c>
      <c r="U62" s="21">
        <f t="shared" si="1"/>
        <v>2870</v>
      </c>
      <c r="V62" s="21">
        <f t="shared" si="2"/>
        <v>1600</v>
      </c>
      <c r="Y62" s="45"/>
    </row>
    <row r="63" ht="14.25" customHeight="1">
      <c r="A63" s="38">
        <v>0.2326388888888889</v>
      </c>
      <c r="B63" s="36">
        <v>85.0</v>
      </c>
      <c r="C63" s="36">
        <v>10.3</v>
      </c>
      <c r="D63" s="36">
        <v>661.0</v>
      </c>
      <c r="E63" s="36">
        <v>461.0</v>
      </c>
      <c r="F63" s="36">
        <v>0.7</v>
      </c>
      <c r="G63" s="36">
        <v>21.0</v>
      </c>
      <c r="H63" s="36">
        <v>0.67</v>
      </c>
      <c r="I63" s="36">
        <v>13.9</v>
      </c>
      <c r="J63" s="36">
        <v>91.7</v>
      </c>
      <c r="K63" s="36">
        <v>79.0</v>
      </c>
      <c r="L63" s="36">
        <v>59.5</v>
      </c>
      <c r="M63" s="36">
        <v>91.0</v>
      </c>
      <c r="N63" s="36">
        <v>47.0</v>
      </c>
      <c r="O63" s="36">
        <v>21.0</v>
      </c>
      <c r="P63" s="36">
        <v>25.0</v>
      </c>
      <c r="Q63" s="36">
        <v>0.35</v>
      </c>
      <c r="R63" s="36">
        <v>1.02</v>
      </c>
      <c r="S63" s="36">
        <v>1.89</v>
      </c>
      <c r="T63" s="36">
        <v>2.91</v>
      </c>
      <c r="U63" s="21">
        <f t="shared" si="1"/>
        <v>2910</v>
      </c>
      <c r="V63" s="21">
        <f t="shared" si="2"/>
        <v>10000</v>
      </c>
      <c r="Y63" s="45"/>
    </row>
    <row r="64" ht="14.25" customHeight="1">
      <c r="A64" s="38">
        <v>0.23472222222222222</v>
      </c>
      <c r="B64" s="36">
        <v>86.0</v>
      </c>
      <c r="C64" s="36">
        <v>10.4</v>
      </c>
      <c r="D64" s="36">
        <v>668.0</v>
      </c>
      <c r="E64" s="36">
        <v>459.0</v>
      </c>
      <c r="F64" s="36">
        <v>0.69</v>
      </c>
      <c r="G64" s="36">
        <v>21.0</v>
      </c>
      <c r="H64" s="36">
        <v>0.65</v>
      </c>
      <c r="I64" s="36">
        <v>13.9</v>
      </c>
      <c r="J64" s="36">
        <v>91.6</v>
      </c>
      <c r="K64" s="36">
        <v>81.0</v>
      </c>
      <c r="L64" s="36">
        <v>58.3</v>
      </c>
      <c r="M64" s="36">
        <v>90.0</v>
      </c>
      <c r="N64" s="36">
        <v>48.0</v>
      </c>
      <c r="O64" s="36">
        <v>21.0</v>
      </c>
      <c r="P64" s="36">
        <v>25.0</v>
      </c>
      <c r="Q64" s="36">
        <v>0.35</v>
      </c>
      <c r="R64" s="36">
        <v>0.98</v>
      </c>
      <c r="S64" s="36">
        <v>1.83</v>
      </c>
      <c r="T64" s="36">
        <v>2.81</v>
      </c>
      <c r="U64" s="21">
        <f t="shared" si="1"/>
        <v>2810</v>
      </c>
      <c r="V64" s="21">
        <f t="shared" si="2"/>
        <v>2500</v>
      </c>
      <c r="Y64" s="45"/>
    </row>
    <row r="65" ht="14.25" customHeight="1">
      <c r="A65" s="38">
        <v>0.23680555555555555</v>
      </c>
      <c r="B65" s="36">
        <v>88.0</v>
      </c>
      <c r="C65" s="36">
        <v>10.8</v>
      </c>
      <c r="D65" s="36">
        <v>688.0</v>
      </c>
      <c r="E65" s="36">
        <v>472.0</v>
      </c>
      <c r="F65" s="36">
        <v>0.69</v>
      </c>
      <c r="G65" s="36">
        <v>22.0</v>
      </c>
      <c r="H65" s="36">
        <v>0.66</v>
      </c>
      <c r="I65" s="36">
        <v>14.3</v>
      </c>
      <c r="J65" s="36">
        <v>91.5</v>
      </c>
      <c r="K65" s="36">
        <v>83.0</v>
      </c>
      <c r="L65" s="36">
        <v>57.5</v>
      </c>
      <c r="M65" s="36">
        <v>90.0</v>
      </c>
      <c r="N65" s="36">
        <v>48.0</v>
      </c>
      <c r="O65" s="36">
        <v>22.0</v>
      </c>
      <c r="P65" s="36">
        <v>26.0</v>
      </c>
      <c r="Q65" s="36">
        <v>0.35</v>
      </c>
      <c r="R65" s="36">
        <v>0.96</v>
      </c>
      <c r="S65" s="36">
        <v>1.81</v>
      </c>
      <c r="T65" s="36">
        <v>2.76</v>
      </c>
      <c r="U65" s="21">
        <f t="shared" si="1"/>
        <v>2760</v>
      </c>
      <c r="V65" s="21">
        <f t="shared" si="2"/>
        <v>400</v>
      </c>
      <c r="Y65" s="45"/>
    </row>
    <row r="66" ht="14.25" customHeight="1">
      <c r="A66" s="38">
        <v>0.23819444444444443</v>
      </c>
      <c r="B66" s="36">
        <v>89.0</v>
      </c>
      <c r="C66" s="36">
        <v>11.4</v>
      </c>
      <c r="D66" s="36">
        <v>731.0</v>
      </c>
      <c r="E66" s="36">
        <v>495.0</v>
      </c>
      <c r="F66" s="36">
        <v>0.68</v>
      </c>
      <c r="G66" s="36">
        <v>22.0</v>
      </c>
      <c r="H66" s="36">
        <v>0.67</v>
      </c>
      <c r="I66" s="36">
        <v>14.8</v>
      </c>
      <c r="J66" s="36">
        <v>91.1</v>
      </c>
      <c r="K66" s="36">
        <v>84.0</v>
      </c>
      <c r="L66" s="36">
        <v>56.8</v>
      </c>
      <c r="M66" s="36">
        <v>89.0</v>
      </c>
      <c r="N66" s="36">
        <v>48.0</v>
      </c>
      <c r="O66" s="36">
        <v>22.0</v>
      </c>
      <c r="P66" s="36">
        <v>28.0</v>
      </c>
      <c r="Q66" s="36">
        <v>0.36</v>
      </c>
      <c r="R66" s="36">
        <v>0.98</v>
      </c>
      <c r="S66" s="36">
        <v>1.76</v>
      </c>
      <c r="T66" s="36">
        <v>2.74</v>
      </c>
      <c r="U66" s="21">
        <f t="shared" si="1"/>
        <v>2740</v>
      </c>
      <c r="V66" s="21">
        <f t="shared" si="2"/>
        <v>900</v>
      </c>
      <c r="Y66" s="45"/>
      <c r="Z66" s="36"/>
    </row>
    <row r="67" ht="14.25" customHeight="1">
      <c r="A67" s="38">
        <v>0.24027777777777778</v>
      </c>
      <c r="B67" s="36">
        <v>90.0</v>
      </c>
      <c r="C67" s="36">
        <v>11.6</v>
      </c>
      <c r="D67" s="36">
        <v>741.0</v>
      </c>
      <c r="E67" s="36">
        <v>499.0</v>
      </c>
      <c r="F67" s="36">
        <v>0.67</v>
      </c>
      <c r="G67" s="36">
        <v>22.0</v>
      </c>
      <c r="H67" s="36">
        <v>0.67</v>
      </c>
      <c r="I67" s="36">
        <v>14.9</v>
      </c>
      <c r="J67" s="36">
        <v>91.1</v>
      </c>
      <c r="K67" s="36">
        <v>85.0</v>
      </c>
      <c r="L67" s="36">
        <v>56.3</v>
      </c>
      <c r="M67" s="36">
        <v>89.0</v>
      </c>
      <c r="N67" s="36">
        <v>48.0</v>
      </c>
      <c r="O67" s="36">
        <v>22.0</v>
      </c>
      <c r="P67" s="36">
        <v>28.0</v>
      </c>
      <c r="Q67" s="36">
        <v>0.37</v>
      </c>
      <c r="R67" s="36">
        <v>1.0</v>
      </c>
      <c r="S67" s="36">
        <v>1.71</v>
      </c>
      <c r="T67" s="36">
        <v>2.71</v>
      </c>
      <c r="U67" s="21">
        <f t="shared" si="1"/>
        <v>2710</v>
      </c>
      <c r="V67" s="21">
        <f t="shared" si="2"/>
        <v>12100</v>
      </c>
      <c r="Y67" s="45"/>
      <c r="Z67" s="36"/>
    </row>
    <row r="68" ht="14.25" customHeight="1">
      <c r="A68" s="38">
        <v>0.24166666666666667</v>
      </c>
      <c r="B68" s="36">
        <v>91.0</v>
      </c>
      <c r="C68" s="36">
        <v>12.7</v>
      </c>
      <c r="D68" s="36">
        <v>814.0</v>
      </c>
      <c r="E68" s="36">
        <v>547.0</v>
      </c>
      <c r="F68" s="36">
        <v>0.67</v>
      </c>
      <c r="G68" s="36">
        <v>23.0</v>
      </c>
      <c r="H68" s="36">
        <v>0.69</v>
      </c>
      <c r="I68" s="36">
        <v>16.0</v>
      </c>
      <c r="J68" s="36">
        <v>90.4</v>
      </c>
      <c r="K68" s="36">
        <v>85.0</v>
      </c>
      <c r="L68" s="36">
        <v>56.3</v>
      </c>
      <c r="M68" s="36">
        <v>89.0</v>
      </c>
      <c r="N68" s="36">
        <v>48.0</v>
      </c>
      <c r="O68" s="36">
        <v>23.0</v>
      </c>
      <c r="P68" s="36">
        <v>31.0</v>
      </c>
      <c r="Q68" s="36">
        <v>0.38</v>
      </c>
      <c r="R68" s="36">
        <v>0.98</v>
      </c>
      <c r="S68" s="36">
        <v>1.62</v>
      </c>
      <c r="T68" s="36">
        <v>2.6</v>
      </c>
      <c r="U68" s="21">
        <f t="shared" si="1"/>
        <v>2600</v>
      </c>
      <c r="V68" s="21">
        <f t="shared" si="2"/>
        <v>400</v>
      </c>
      <c r="Y68" s="45"/>
      <c r="Z68" s="36"/>
    </row>
    <row r="69" ht="14.25" customHeight="1">
      <c r="A69" s="38">
        <v>0.24375</v>
      </c>
      <c r="B69" s="36">
        <v>92.0</v>
      </c>
      <c r="C69" s="36">
        <v>12.9</v>
      </c>
      <c r="D69" s="36">
        <v>823.0</v>
      </c>
      <c r="E69" s="36">
        <v>555.0</v>
      </c>
      <c r="F69" s="36">
        <v>0.68</v>
      </c>
      <c r="G69" s="36">
        <v>23.0</v>
      </c>
      <c r="H69" s="36">
        <v>0.7</v>
      </c>
      <c r="I69" s="36">
        <v>16.2</v>
      </c>
      <c r="J69" s="36">
        <v>90.3</v>
      </c>
      <c r="K69" s="36">
        <v>86.0</v>
      </c>
      <c r="L69" s="36">
        <v>55.7</v>
      </c>
      <c r="M69" s="36">
        <v>89.0</v>
      </c>
      <c r="N69" s="36">
        <v>48.0</v>
      </c>
      <c r="O69" s="36">
        <v>23.0</v>
      </c>
      <c r="P69" s="36">
        <v>31.0</v>
      </c>
      <c r="Q69" s="36">
        <v>0.37</v>
      </c>
      <c r="R69" s="36">
        <v>0.96</v>
      </c>
      <c r="S69" s="36">
        <v>1.62</v>
      </c>
      <c r="T69" s="36">
        <v>2.58</v>
      </c>
      <c r="U69" s="21">
        <f t="shared" si="1"/>
        <v>2580</v>
      </c>
      <c r="V69" s="21">
        <f t="shared" si="2"/>
        <v>2500</v>
      </c>
      <c r="Y69" s="45"/>
      <c r="Z69" s="36"/>
    </row>
    <row r="70" ht="14.25" customHeight="1">
      <c r="A70" s="38">
        <v>0.24513888888888888</v>
      </c>
      <c r="B70" s="36">
        <v>93.0</v>
      </c>
      <c r="C70" s="36">
        <v>13.0</v>
      </c>
      <c r="D70" s="36">
        <v>831.0</v>
      </c>
      <c r="E70" s="36">
        <v>564.0</v>
      </c>
      <c r="F70" s="36">
        <v>0.68</v>
      </c>
      <c r="G70" s="36">
        <v>24.0</v>
      </c>
      <c r="H70" s="36">
        <v>0.7</v>
      </c>
      <c r="I70" s="36">
        <v>16.6</v>
      </c>
      <c r="J70" s="36">
        <v>90.1</v>
      </c>
      <c r="K70" s="36">
        <v>88.0</v>
      </c>
      <c r="L70" s="36">
        <v>55.0</v>
      </c>
      <c r="M70" s="36">
        <v>89.0</v>
      </c>
      <c r="N70" s="36">
        <v>48.0</v>
      </c>
      <c r="O70" s="36">
        <v>24.0</v>
      </c>
      <c r="P70" s="36">
        <v>31.0</v>
      </c>
      <c r="Q70" s="36">
        <v>0.37</v>
      </c>
      <c r="R70" s="36">
        <v>0.95</v>
      </c>
      <c r="S70" s="36">
        <v>1.58</v>
      </c>
      <c r="T70" s="36">
        <v>2.53</v>
      </c>
      <c r="U70" s="21">
        <f t="shared" si="1"/>
        <v>2530</v>
      </c>
      <c r="V70" s="21">
        <f t="shared" si="2"/>
        <v>3600</v>
      </c>
      <c r="Y70" s="45"/>
      <c r="Z70" s="36"/>
    </row>
    <row r="71" ht="14.25" customHeight="1">
      <c r="A71" s="38">
        <v>0.24861111111111112</v>
      </c>
      <c r="B71" s="36">
        <v>95.0</v>
      </c>
      <c r="C71" s="36">
        <v>14.5</v>
      </c>
      <c r="D71" s="36">
        <v>929.0</v>
      </c>
      <c r="E71" s="36">
        <v>628.0</v>
      </c>
      <c r="F71" s="36">
        <v>0.68</v>
      </c>
      <c r="G71" s="36">
        <v>24.0</v>
      </c>
      <c r="H71" s="36">
        <v>0.74</v>
      </c>
      <c r="I71" s="36">
        <v>18.0</v>
      </c>
      <c r="J71" s="36">
        <v>89.2</v>
      </c>
      <c r="K71" s="36">
        <v>87.0</v>
      </c>
      <c r="L71" s="36">
        <v>55.5</v>
      </c>
      <c r="M71" s="36">
        <v>89.0</v>
      </c>
      <c r="N71" s="36">
        <v>48.0</v>
      </c>
      <c r="O71" s="36">
        <v>24.0</v>
      </c>
      <c r="P71" s="36">
        <v>35.0</v>
      </c>
      <c r="Q71" s="36">
        <v>0.38</v>
      </c>
      <c r="R71" s="36">
        <v>0.93</v>
      </c>
      <c r="S71" s="36">
        <v>1.54</v>
      </c>
      <c r="T71" s="36">
        <v>2.47</v>
      </c>
      <c r="U71" s="21">
        <f t="shared" si="1"/>
        <v>2470</v>
      </c>
      <c r="V71" s="21">
        <f t="shared" si="2"/>
        <v>400</v>
      </c>
      <c r="Y71" s="45"/>
      <c r="Z71" s="36"/>
    </row>
    <row r="72" ht="14.25" customHeight="1">
      <c r="A72" s="38">
        <v>0.25069444444444444</v>
      </c>
      <c r="B72" s="36">
        <v>96.0</v>
      </c>
      <c r="C72" s="36">
        <v>14.0</v>
      </c>
      <c r="D72" s="36">
        <v>897.0</v>
      </c>
      <c r="E72" s="36">
        <v>611.0</v>
      </c>
      <c r="F72" s="36">
        <v>0.68</v>
      </c>
      <c r="G72" s="36">
        <v>24.0</v>
      </c>
      <c r="H72" s="36">
        <v>0.73</v>
      </c>
      <c r="I72" s="36">
        <v>17.6</v>
      </c>
      <c r="J72" s="36">
        <v>89.4</v>
      </c>
      <c r="K72" s="36">
        <v>89.0</v>
      </c>
      <c r="L72" s="36">
        <v>54.5</v>
      </c>
      <c r="M72" s="36">
        <v>90.0</v>
      </c>
      <c r="N72" s="36">
        <v>48.0</v>
      </c>
      <c r="O72" s="36">
        <v>24.0</v>
      </c>
      <c r="P72" s="36">
        <v>34.0</v>
      </c>
      <c r="Q72" s="36">
        <v>0.37</v>
      </c>
      <c r="R72" s="36">
        <v>0.93</v>
      </c>
      <c r="S72" s="36">
        <v>1.56</v>
      </c>
      <c r="T72" s="36">
        <v>2.49</v>
      </c>
      <c r="U72" s="21">
        <f t="shared" si="1"/>
        <v>2490</v>
      </c>
      <c r="V72" s="21">
        <f t="shared" si="2"/>
        <v>1600</v>
      </c>
      <c r="Y72" s="45"/>
      <c r="Z72" s="36"/>
    </row>
    <row r="73" ht="14.25" customHeight="1">
      <c r="A73" s="38">
        <v>0.25277777777777777</v>
      </c>
      <c r="B73" s="36">
        <v>98.0</v>
      </c>
      <c r="C73" s="36">
        <v>14.0</v>
      </c>
      <c r="D73" s="36">
        <v>899.0</v>
      </c>
      <c r="E73" s="36">
        <v>626.0</v>
      </c>
      <c r="F73" s="36">
        <v>0.7</v>
      </c>
      <c r="G73" s="36">
        <v>24.0</v>
      </c>
      <c r="H73" s="36">
        <v>0.75</v>
      </c>
      <c r="I73" s="36">
        <v>17.8</v>
      </c>
      <c r="J73" s="36">
        <v>89.3</v>
      </c>
      <c r="K73" s="36">
        <v>89.0</v>
      </c>
      <c r="L73" s="36">
        <v>54.1</v>
      </c>
      <c r="M73" s="36">
        <v>90.0</v>
      </c>
      <c r="N73" s="36">
        <v>48.0</v>
      </c>
      <c r="O73" s="36">
        <v>24.0</v>
      </c>
      <c r="P73" s="36">
        <v>34.0</v>
      </c>
      <c r="Q73" s="36">
        <v>0.36</v>
      </c>
      <c r="R73" s="36">
        <v>0.92</v>
      </c>
      <c r="S73" s="36">
        <v>1.62</v>
      </c>
      <c r="T73" s="36">
        <v>2.53</v>
      </c>
      <c r="U73" s="21">
        <f t="shared" si="1"/>
        <v>2530</v>
      </c>
      <c r="V73" s="21">
        <f t="shared" si="2"/>
        <v>19600</v>
      </c>
      <c r="Y73" s="45"/>
      <c r="Z73" s="36"/>
    </row>
    <row r="74" ht="14.25" customHeight="1">
      <c r="A74" s="38">
        <v>0.2548611111111111</v>
      </c>
      <c r="B74" s="36">
        <v>98.0</v>
      </c>
      <c r="C74" s="36">
        <v>13.8</v>
      </c>
      <c r="D74" s="36">
        <v>883.0</v>
      </c>
      <c r="E74" s="36">
        <v>626.0</v>
      </c>
      <c r="F74" s="36">
        <v>0.71</v>
      </c>
      <c r="G74" s="36">
        <v>23.0</v>
      </c>
      <c r="H74" s="36">
        <v>0.78</v>
      </c>
      <c r="I74" s="36">
        <v>17.6</v>
      </c>
      <c r="J74" s="36">
        <v>89.5</v>
      </c>
      <c r="K74" s="36">
        <v>90.0</v>
      </c>
      <c r="L74" s="36">
        <v>53.9</v>
      </c>
      <c r="M74" s="36">
        <v>91.0</v>
      </c>
      <c r="N74" s="36">
        <v>48.0</v>
      </c>
      <c r="O74" s="36">
        <v>23.0</v>
      </c>
      <c r="P74" s="36">
        <v>33.0</v>
      </c>
      <c r="Q74" s="36">
        <v>0.37</v>
      </c>
      <c r="R74" s="36">
        <v>0.98</v>
      </c>
      <c r="S74" s="36">
        <v>1.69</v>
      </c>
      <c r="T74" s="36">
        <v>2.67</v>
      </c>
      <c r="U74" s="21">
        <f t="shared" si="1"/>
        <v>2670</v>
      </c>
      <c r="V74" s="21">
        <f t="shared" si="2"/>
        <v>900</v>
      </c>
      <c r="Y74" s="45"/>
      <c r="Z74" s="36"/>
    </row>
    <row r="75" ht="14.25" customHeight="1">
      <c r="A75" s="38">
        <v>0.25625</v>
      </c>
      <c r="B75" s="36">
        <v>100.0</v>
      </c>
      <c r="C75" s="36">
        <v>12.7</v>
      </c>
      <c r="D75" s="36">
        <v>815.0</v>
      </c>
      <c r="E75" s="36">
        <v>590.0</v>
      </c>
      <c r="F75" s="36">
        <v>0.72</v>
      </c>
      <c r="G75" s="36">
        <v>22.0</v>
      </c>
      <c r="H75" s="36">
        <v>0.75</v>
      </c>
      <c r="I75" s="36">
        <v>16.7</v>
      </c>
      <c r="J75" s="36">
        <v>90.0</v>
      </c>
      <c r="K75" s="36">
        <v>89.0</v>
      </c>
      <c r="L75" s="36">
        <v>54.3</v>
      </c>
      <c r="M75" s="36">
        <v>92.0</v>
      </c>
      <c r="N75" s="36">
        <v>48.0</v>
      </c>
      <c r="O75" s="36">
        <v>22.0</v>
      </c>
      <c r="P75" s="36">
        <v>31.0</v>
      </c>
      <c r="Q75" s="36">
        <v>0.37</v>
      </c>
      <c r="R75" s="36">
        <v>0.99</v>
      </c>
      <c r="S75" s="36">
        <v>1.71</v>
      </c>
      <c r="T75" s="36">
        <v>2.7</v>
      </c>
      <c r="U75" s="21">
        <f t="shared" si="1"/>
        <v>2700</v>
      </c>
      <c r="V75" s="21">
        <f t="shared" si="2"/>
        <v>0</v>
      </c>
      <c r="Y75" s="45"/>
      <c r="Z75" s="36"/>
    </row>
    <row r="76" ht="14.25" customHeight="1">
      <c r="A76" s="38">
        <v>0.25833333333333336</v>
      </c>
      <c r="B76" s="36">
        <v>100.0</v>
      </c>
      <c r="C76" s="36">
        <v>12.8</v>
      </c>
      <c r="D76" s="36">
        <v>822.0</v>
      </c>
      <c r="E76" s="36">
        <v>603.0</v>
      </c>
      <c r="F76" s="36">
        <v>0.73</v>
      </c>
      <c r="G76" s="36">
        <v>22.0</v>
      </c>
      <c r="H76" s="36">
        <v>0.76</v>
      </c>
      <c r="I76" s="36">
        <v>17.0</v>
      </c>
      <c r="J76" s="36">
        <v>89.8</v>
      </c>
      <c r="K76" s="36">
        <v>89.0</v>
      </c>
      <c r="L76" s="36">
        <v>54.4</v>
      </c>
      <c r="M76" s="36">
        <v>93.0</v>
      </c>
      <c r="N76" s="36">
        <v>48.0</v>
      </c>
      <c r="O76" s="36">
        <v>22.0</v>
      </c>
      <c r="P76" s="36">
        <v>31.0</v>
      </c>
      <c r="Q76" s="36">
        <v>0.37</v>
      </c>
      <c r="R76" s="36">
        <v>1.0</v>
      </c>
      <c r="S76" s="36">
        <v>1.7</v>
      </c>
      <c r="T76" s="36">
        <v>2.7</v>
      </c>
      <c r="U76" s="21">
        <f t="shared" si="1"/>
        <v>2700</v>
      </c>
      <c r="V76" s="21">
        <f t="shared" si="2"/>
        <v>100</v>
      </c>
      <c r="Y76" s="45"/>
      <c r="Z76" s="36"/>
    </row>
    <row r="77" ht="14.25" customHeight="1">
      <c r="A77" s="38">
        <v>0.25972222222222224</v>
      </c>
      <c r="B77" s="36">
        <v>102.0</v>
      </c>
      <c r="C77" s="36">
        <v>12.8</v>
      </c>
      <c r="D77" s="36">
        <v>822.0</v>
      </c>
      <c r="E77" s="36">
        <v>611.0</v>
      </c>
      <c r="F77" s="36">
        <v>0.74</v>
      </c>
      <c r="G77" s="36">
        <v>22.0</v>
      </c>
      <c r="H77" s="36">
        <v>0.77</v>
      </c>
      <c r="I77" s="36">
        <v>17.2</v>
      </c>
      <c r="J77" s="36">
        <v>89.7</v>
      </c>
      <c r="K77" s="36">
        <v>89.0</v>
      </c>
      <c r="L77" s="36">
        <v>54.4</v>
      </c>
      <c r="M77" s="36">
        <v>93.0</v>
      </c>
      <c r="N77" s="36">
        <v>48.0</v>
      </c>
      <c r="O77" s="36">
        <v>22.0</v>
      </c>
      <c r="P77" s="36">
        <v>31.0</v>
      </c>
      <c r="Q77" s="36">
        <v>0.37</v>
      </c>
      <c r="R77" s="36">
        <v>1.0</v>
      </c>
      <c r="S77" s="36">
        <v>1.7</v>
      </c>
      <c r="T77" s="36">
        <v>2.71</v>
      </c>
      <c r="U77" s="21">
        <f t="shared" si="1"/>
        <v>2710</v>
      </c>
      <c r="V77" s="21">
        <f t="shared" si="2"/>
        <v>0</v>
      </c>
      <c r="Y77" s="45"/>
      <c r="Z77" s="36"/>
    </row>
    <row r="78" ht="14.25" customHeight="1">
      <c r="A78" s="38">
        <v>0.26180555555555557</v>
      </c>
      <c r="B78" s="36">
        <v>103.0</v>
      </c>
      <c r="C78" s="36">
        <v>12.8</v>
      </c>
      <c r="D78" s="36">
        <v>822.0</v>
      </c>
      <c r="E78" s="36">
        <v>611.0</v>
      </c>
      <c r="F78" s="36">
        <v>0.74</v>
      </c>
      <c r="G78" s="36">
        <v>22.0</v>
      </c>
      <c r="H78" s="36">
        <v>0.77</v>
      </c>
      <c r="I78" s="36">
        <v>17.2</v>
      </c>
      <c r="J78" s="36">
        <v>89.7</v>
      </c>
      <c r="K78" s="36">
        <v>90.0</v>
      </c>
      <c r="L78" s="36">
        <v>54.0</v>
      </c>
      <c r="M78" s="36">
        <v>93.0</v>
      </c>
      <c r="N78" s="36">
        <v>48.0</v>
      </c>
      <c r="O78" s="36">
        <v>22.0</v>
      </c>
      <c r="P78" s="36">
        <v>31.0</v>
      </c>
      <c r="Q78" s="36">
        <v>0.37</v>
      </c>
      <c r="R78" s="36">
        <v>1.0</v>
      </c>
      <c r="S78" s="36">
        <v>1.7</v>
      </c>
      <c r="T78" s="36">
        <v>2.71</v>
      </c>
      <c r="U78" s="21">
        <f t="shared" si="1"/>
        <v>2710</v>
      </c>
      <c r="V78" s="21">
        <f t="shared" si="2"/>
        <v>14400</v>
      </c>
      <c r="Y78" s="45"/>
      <c r="Z78" s="36"/>
    </row>
    <row r="79" ht="14.25" customHeight="1">
      <c r="A79" s="38">
        <v>0.26319444444444445</v>
      </c>
      <c r="B79" s="36">
        <v>103.0</v>
      </c>
      <c r="C79" s="36">
        <v>13.2</v>
      </c>
      <c r="D79" s="36">
        <v>846.0</v>
      </c>
      <c r="E79" s="36">
        <v>628.0</v>
      </c>
      <c r="F79" s="36">
        <v>0.74</v>
      </c>
      <c r="G79" s="36">
        <v>23.0</v>
      </c>
      <c r="H79" s="36">
        <v>0.76</v>
      </c>
      <c r="I79" s="36">
        <v>17.6</v>
      </c>
      <c r="J79" s="36">
        <v>89.4</v>
      </c>
      <c r="K79" s="36">
        <v>89.0</v>
      </c>
      <c r="L79" s="36">
        <v>54.4</v>
      </c>
      <c r="M79" s="36">
        <v>93.0</v>
      </c>
      <c r="N79" s="36">
        <v>48.0</v>
      </c>
      <c r="O79" s="36">
        <v>23.0</v>
      </c>
      <c r="P79" s="36">
        <v>32.0</v>
      </c>
      <c r="Q79" s="36">
        <v>0.36</v>
      </c>
      <c r="R79" s="36">
        <v>0.94</v>
      </c>
      <c r="S79" s="36">
        <v>1.66</v>
      </c>
      <c r="T79" s="36">
        <v>2.59</v>
      </c>
      <c r="U79" s="21">
        <f t="shared" si="1"/>
        <v>2590</v>
      </c>
      <c r="V79" s="21">
        <f t="shared" si="2"/>
        <v>900</v>
      </c>
      <c r="Y79" s="45"/>
      <c r="Z79" s="36"/>
    </row>
    <row r="80" ht="14.25" customHeight="1">
      <c r="A80" s="38">
        <v>0.2652777777777778</v>
      </c>
      <c r="B80" s="36">
        <v>105.0</v>
      </c>
      <c r="C80" s="36">
        <v>13.3</v>
      </c>
      <c r="D80" s="36">
        <v>851.0</v>
      </c>
      <c r="E80" s="36">
        <v>629.0</v>
      </c>
      <c r="F80" s="36">
        <v>0.74</v>
      </c>
      <c r="G80" s="36">
        <v>23.0</v>
      </c>
      <c r="H80" s="36">
        <v>0.75</v>
      </c>
      <c r="I80" s="36">
        <v>17.7</v>
      </c>
      <c r="J80" s="36">
        <v>89.4</v>
      </c>
      <c r="K80" s="36">
        <v>88.0</v>
      </c>
      <c r="L80" s="36">
        <v>55.0</v>
      </c>
      <c r="M80" s="36">
        <v>93.0</v>
      </c>
      <c r="N80" s="36">
        <v>48.0</v>
      </c>
      <c r="O80" s="36">
        <v>23.0</v>
      </c>
      <c r="P80" s="36">
        <v>32.0</v>
      </c>
      <c r="Q80" s="36">
        <v>0.37</v>
      </c>
      <c r="R80" s="36">
        <v>0.95</v>
      </c>
      <c r="S80" s="36">
        <v>1.6</v>
      </c>
      <c r="T80" s="36">
        <v>2.56</v>
      </c>
      <c r="U80" s="21">
        <f t="shared" si="1"/>
        <v>2560</v>
      </c>
      <c r="V80" s="21">
        <f t="shared" si="2"/>
        <v>100</v>
      </c>
      <c r="Y80" s="45"/>
      <c r="Z80" s="36"/>
    </row>
    <row r="81" ht="14.25" customHeight="1">
      <c r="A81" s="38">
        <v>0.2673611111111111</v>
      </c>
      <c r="B81" s="36">
        <v>106.0</v>
      </c>
      <c r="C81" s="36">
        <v>13.5</v>
      </c>
      <c r="D81" s="36">
        <v>862.0</v>
      </c>
      <c r="E81" s="36">
        <v>637.0</v>
      </c>
      <c r="F81" s="36">
        <v>0.74</v>
      </c>
      <c r="G81" s="36">
        <v>23.0</v>
      </c>
      <c r="H81" s="36">
        <v>0.76</v>
      </c>
      <c r="I81" s="36">
        <v>17.8</v>
      </c>
      <c r="J81" s="36">
        <v>89.3</v>
      </c>
      <c r="K81" s="36">
        <v>87.0</v>
      </c>
      <c r="L81" s="36">
        <v>55.6</v>
      </c>
      <c r="M81" s="36">
        <v>93.0</v>
      </c>
      <c r="N81" s="36">
        <v>48.0</v>
      </c>
      <c r="O81" s="36">
        <v>23.0</v>
      </c>
      <c r="P81" s="36">
        <v>33.0</v>
      </c>
      <c r="Q81" s="36">
        <v>0.37</v>
      </c>
      <c r="R81" s="36">
        <v>0.95</v>
      </c>
      <c r="S81" s="36">
        <v>1.61</v>
      </c>
      <c r="T81" s="36">
        <v>2.57</v>
      </c>
      <c r="U81" s="21">
        <f t="shared" si="1"/>
        <v>2570</v>
      </c>
      <c r="V81" s="21">
        <f t="shared" si="2"/>
        <v>100</v>
      </c>
      <c r="Y81" s="45"/>
      <c r="Z81" s="36"/>
    </row>
    <row r="82" ht="14.25" customHeight="1">
      <c r="A82" s="38">
        <v>0.26875</v>
      </c>
      <c r="B82" s="36">
        <v>107.0</v>
      </c>
      <c r="C82" s="36">
        <v>13.8</v>
      </c>
      <c r="D82" s="36">
        <v>884.0</v>
      </c>
      <c r="E82" s="36">
        <v>653.0</v>
      </c>
      <c r="F82" s="36">
        <v>0.74</v>
      </c>
      <c r="G82" s="36">
        <v>23.0</v>
      </c>
      <c r="H82" s="36">
        <v>0.78</v>
      </c>
      <c r="I82" s="36">
        <v>18.1</v>
      </c>
      <c r="J82" s="36">
        <v>89.2</v>
      </c>
      <c r="K82" s="36">
        <v>87.0</v>
      </c>
      <c r="L82" s="36">
        <v>55.4</v>
      </c>
      <c r="M82" s="36">
        <v>93.0</v>
      </c>
      <c r="N82" s="36">
        <v>48.0</v>
      </c>
      <c r="O82" s="36">
        <v>23.0</v>
      </c>
      <c r="P82" s="36">
        <v>33.0</v>
      </c>
      <c r="Q82" s="36">
        <v>0.37</v>
      </c>
      <c r="R82" s="36">
        <v>0.96</v>
      </c>
      <c r="S82" s="36">
        <v>1.61</v>
      </c>
      <c r="T82" s="36">
        <v>2.58</v>
      </c>
      <c r="U82" s="21">
        <f t="shared" si="1"/>
        <v>2580</v>
      </c>
      <c r="V82" s="21">
        <f t="shared" si="2"/>
        <v>2500</v>
      </c>
      <c r="Y82" s="45"/>
      <c r="Z82" s="36"/>
    </row>
    <row r="83" ht="14.25" customHeight="1">
      <c r="A83" s="38">
        <v>0.2708333333333333</v>
      </c>
      <c r="B83" s="36">
        <v>108.0</v>
      </c>
      <c r="C83" s="36">
        <v>14.2</v>
      </c>
      <c r="D83" s="36">
        <v>911.0</v>
      </c>
      <c r="E83" s="36">
        <v>672.0</v>
      </c>
      <c r="F83" s="36">
        <v>0.74</v>
      </c>
      <c r="G83" s="36">
        <v>24.0</v>
      </c>
      <c r="H83" s="36">
        <v>0.78</v>
      </c>
      <c r="I83" s="36">
        <v>18.5</v>
      </c>
      <c r="J83" s="36">
        <v>88.9</v>
      </c>
      <c r="K83" s="36">
        <v>88.0</v>
      </c>
      <c r="L83" s="36">
        <v>54.8</v>
      </c>
      <c r="M83" s="36">
        <v>93.0</v>
      </c>
      <c r="N83" s="36">
        <v>48.0</v>
      </c>
      <c r="O83" s="36">
        <v>24.0</v>
      </c>
      <c r="P83" s="36">
        <v>34.0</v>
      </c>
      <c r="Q83" s="36">
        <v>0.37</v>
      </c>
      <c r="R83" s="36">
        <v>0.94</v>
      </c>
      <c r="S83" s="36">
        <v>1.58</v>
      </c>
      <c r="T83" s="36">
        <v>2.53</v>
      </c>
      <c r="U83" s="21">
        <f t="shared" si="1"/>
        <v>2530</v>
      </c>
      <c r="V83" s="21">
        <f t="shared" si="2"/>
        <v>100</v>
      </c>
      <c r="Y83" s="45"/>
      <c r="Z83" s="36"/>
    </row>
    <row r="84" ht="14.25" customHeight="1">
      <c r="A84" s="38">
        <v>0.2722222222222222</v>
      </c>
      <c r="B84" s="36">
        <v>109.0</v>
      </c>
      <c r="C84" s="36">
        <v>14.7</v>
      </c>
      <c r="D84" s="36">
        <v>943.0</v>
      </c>
      <c r="E84" s="36">
        <v>697.0</v>
      </c>
      <c r="F84" s="36">
        <v>0.74</v>
      </c>
      <c r="G84" s="36">
        <v>24.0</v>
      </c>
      <c r="H84" s="36">
        <v>0.8</v>
      </c>
      <c r="I84" s="36">
        <v>19.0</v>
      </c>
      <c r="J84" s="36">
        <v>88.6</v>
      </c>
      <c r="K84" s="36">
        <v>89.0</v>
      </c>
      <c r="L84" s="36">
        <v>54.4</v>
      </c>
      <c r="M84" s="36">
        <v>93.0</v>
      </c>
      <c r="N84" s="36">
        <v>48.0</v>
      </c>
      <c r="O84" s="36">
        <v>24.0</v>
      </c>
      <c r="P84" s="36">
        <v>36.0</v>
      </c>
      <c r="Q84" s="36">
        <v>0.37</v>
      </c>
      <c r="R84" s="36">
        <v>0.94</v>
      </c>
      <c r="S84" s="36">
        <v>1.58</v>
      </c>
      <c r="T84" s="36">
        <v>2.52</v>
      </c>
      <c r="U84" s="21">
        <f t="shared" si="1"/>
        <v>2520</v>
      </c>
      <c r="V84" s="21">
        <f t="shared" si="2"/>
        <v>100</v>
      </c>
      <c r="Y84" s="45"/>
      <c r="Z84" s="36"/>
    </row>
    <row r="85" ht="14.25" customHeight="1">
      <c r="A85" s="38">
        <v>0.2743055555555556</v>
      </c>
      <c r="B85" s="36">
        <v>110.0</v>
      </c>
      <c r="C85" s="36">
        <v>14.9</v>
      </c>
      <c r="D85" s="36">
        <v>952.0</v>
      </c>
      <c r="E85" s="36">
        <v>704.0</v>
      </c>
      <c r="F85" s="36">
        <v>0.74</v>
      </c>
      <c r="G85" s="36">
        <v>24.0</v>
      </c>
      <c r="H85" s="36">
        <v>0.8</v>
      </c>
      <c r="I85" s="36">
        <v>19.2</v>
      </c>
      <c r="J85" s="36">
        <v>88.5</v>
      </c>
      <c r="K85" s="36">
        <v>89.0</v>
      </c>
      <c r="L85" s="36">
        <v>54.5</v>
      </c>
      <c r="M85" s="36">
        <v>93.0</v>
      </c>
      <c r="N85" s="36">
        <v>48.0</v>
      </c>
      <c r="O85" s="36">
        <v>24.0</v>
      </c>
      <c r="P85" s="36">
        <v>36.0</v>
      </c>
      <c r="Q85" s="36">
        <v>0.38</v>
      </c>
      <c r="R85" s="36">
        <v>0.95</v>
      </c>
      <c r="S85" s="36">
        <v>1.55</v>
      </c>
      <c r="T85" s="36">
        <v>2.51</v>
      </c>
      <c r="U85" s="21">
        <f t="shared" si="1"/>
        <v>2510</v>
      </c>
      <c r="V85" s="21">
        <f t="shared" si="2"/>
        <v>1600</v>
      </c>
      <c r="Y85" s="45"/>
      <c r="Z85" s="36"/>
    </row>
    <row r="86" ht="14.25" customHeight="1">
      <c r="A86" s="38">
        <v>0.27569444444444446</v>
      </c>
      <c r="B86" s="36">
        <v>111.0</v>
      </c>
      <c r="C86" s="36">
        <v>15.2</v>
      </c>
      <c r="D86" s="36">
        <v>970.0</v>
      </c>
      <c r="E86" s="36">
        <v>718.0</v>
      </c>
      <c r="F86" s="36">
        <v>0.74</v>
      </c>
      <c r="G86" s="36">
        <v>24.0</v>
      </c>
      <c r="H86" s="36">
        <v>0.81</v>
      </c>
      <c r="I86" s="36">
        <v>19.6</v>
      </c>
      <c r="J86" s="36">
        <v>88.3</v>
      </c>
      <c r="K86" s="36">
        <v>93.0</v>
      </c>
      <c r="L86" s="36">
        <v>52.4</v>
      </c>
      <c r="M86" s="36">
        <v>93.0</v>
      </c>
      <c r="N86" s="36">
        <v>48.0</v>
      </c>
      <c r="O86" s="36">
        <v>24.0</v>
      </c>
      <c r="P86" s="36">
        <v>37.0</v>
      </c>
      <c r="Q86" s="36">
        <v>0.39</v>
      </c>
      <c r="R86" s="36">
        <v>0.96</v>
      </c>
      <c r="S86" s="36">
        <v>1.52</v>
      </c>
      <c r="T86" s="36">
        <v>2.47</v>
      </c>
      <c r="U86" s="21">
        <f t="shared" si="1"/>
        <v>2470</v>
      </c>
      <c r="V86" s="21">
        <f t="shared" si="2"/>
        <v>0</v>
      </c>
      <c r="Y86" s="45"/>
      <c r="Z86" s="36"/>
    </row>
    <row r="87" ht="14.25" customHeight="1">
      <c r="A87" s="38">
        <v>0.2791666666666667</v>
      </c>
      <c r="B87" s="36">
        <v>113.0</v>
      </c>
      <c r="C87" s="36">
        <v>15.7</v>
      </c>
      <c r="D87" s="36">
        <v>1005.0</v>
      </c>
      <c r="E87" s="36">
        <v>746.0</v>
      </c>
      <c r="F87" s="36">
        <v>0.74</v>
      </c>
      <c r="G87" s="36">
        <v>24.0</v>
      </c>
      <c r="H87" s="36">
        <v>0.83</v>
      </c>
      <c r="I87" s="36">
        <v>20.2</v>
      </c>
      <c r="J87" s="36">
        <v>87.9</v>
      </c>
      <c r="K87" s="36">
        <v>93.0</v>
      </c>
      <c r="L87" s="36">
        <v>52.4</v>
      </c>
      <c r="M87" s="36">
        <v>93.0</v>
      </c>
      <c r="N87" s="36">
        <v>48.0</v>
      </c>
      <c r="O87" s="36">
        <v>24.0</v>
      </c>
      <c r="P87" s="36">
        <v>38.0</v>
      </c>
      <c r="Q87" s="36">
        <v>0.39</v>
      </c>
      <c r="R87" s="36">
        <v>0.95</v>
      </c>
      <c r="S87" s="36">
        <v>1.52</v>
      </c>
      <c r="T87" s="36">
        <v>2.47</v>
      </c>
      <c r="U87" s="21">
        <f t="shared" si="1"/>
        <v>2470</v>
      </c>
      <c r="V87" s="21">
        <f t="shared" si="2"/>
        <v>0</v>
      </c>
      <c r="Y87" s="45"/>
      <c r="Z87" s="36"/>
    </row>
    <row r="88" ht="14.25" customHeight="1">
      <c r="A88" s="38">
        <v>0.28194444444444444</v>
      </c>
      <c r="B88" s="36">
        <v>115.0</v>
      </c>
      <c r="C88" s="36">
        <v>15.7</v>
      </c>
      <c r="D88" s="36">
        <v>1005.0</v>
      </c>
      <c r="E88" s="36">
        <v>746.0</v>
      </c>
      <c r="F88" s="36">
        <v>0.74</v>
      </c>
      <c r="G88" s="36">
        <v>24.0</v>
      </c>
      <c r="H88" s="36">
        <v>0.83</v>
      </c>
      <c r="I88" s="36">
        <v>20.2</v>
      </c>
      <c r="J88" s="36">
        <v>87.9</v>
      </c>
      <c r="K88" s="36">
        <v>93.0</v>
      </c>
      <c r="L88" s="36">
        <v>52.4</v>
      </c>
      <c r="M88" s="36">
        <v>93.0</v>
      </c>
      <c r="N88" s="36">
        <v>48.0</v>
      </c>
      <c r="O88" s="36">
        <v>24.0</v>
      </c>
      <c r="P88" s="36">
        <v>38.0</v>
      </c>
      <c r="Q88" s="36">
        <v>0.39</v>
      </c>
      <c r="R88" s="36">
        <v>0.95</v>
      </c>
      <c r="S88" s="36">
        <v>1.52</v>
      </c>
      <c r="T88" s="36">
        <v>2.47</v>
      </c>
      <c r="U88" s="21">
        <f t="shared" si="1"/>
        <v>2470</v>
      </c>
      <c r="V88" s="21">
        <f t="shared" si="2"/>
        <v>193600</v>
      </c>
      <c r="Y88" s="45"/>
      <c r="Z88" s="36"/>
    </row>
    <row r="89" ht="14.25" customHeight="1">
      <c r="A89" s="38">
        <v>0.28402777777777777</v>
      </c>
      <c r="B89" s="36">
        <v>116.0</v>
      </c>
      <c r="C89" s="36">
        <v>16.3</v>
      </c>
      <c r="D89" s="36">
        <v>1044.0</v>
      </c>
      <c r="E89" s="36">
        <v>797.0</v>
      </c>
      <c r="F89" s="36">
        <v>0.76</v>
      </c>
      <c r="G89" s="36">
        <v>21.0</v>
      </c>
      <c r="H89" s="36">
        <v>1.02</v>
      </c>
      <c r="I89" s="36">
        <v>21.0</v>
      </c>
      <c r="J89" s="36">
        <v>87.4</v>
      </c>
      <c r="K89" s="36">
        <v>98.0</v>
      </c>
      <c r="L89" s="36">
        <v>49.7</v>
      </c>
      <c r="M89" s="36">
        <v>94.0</v>
      </c>
      <c r="N89" s="36">
        <v>48.0</v>
      </c>
      <c r="O89" s="36">
        <v>21.0</v>
      </c>
      <c r="P89" s="36">
        <v>39.0</v>
      </c>
      <c r="Q89" s="36">
        <v>0.38</v>
      </c>
      <c r="R89" s="36">
        <v>1.09</v>
      </c>
      <c r="S89" s="36">
        <v>1.81</v>
      </c>
      <c r="T89" s="36">
        <v>2.91</v>
      </c>
      <c r="U89" s="21">
        <f t="shared" si="1"/>
        <v>2910</v>
      </c>
      <c r="V89" s="21">
        <f t="shared" si="2"/>
        <v>6400</v>
      </c>
      <c r="Y89" s="45"/>
      <c r="Z89" s="36"/>
    </row>
    <row r="90" ht="14.25" customHeight="1">
      <c r="A90" s="38">
        <v>0.2861111111111111</v>
      </c>
      <c r="B90" s="36">
        <v>118.0</v>
      </c>
      <c r="C90" s="36">
        <v>16.5</v>
      </c>
      <c r="D90" s="36">
        <v>1054.0</v>
      </c>
      <c r="E90" s="36">
        <v>807.0</v>
      </c>
      <c r="F90" s="36">
        <v>0.77</v>
      </c>
      <c r="G90" s="36">
        <v>20.0</v>
      </c>
      <c r="H90" s="36">
        <v>1.05</v>
      </c>
      <c r="I90" s="36">
        <v>21.0</v>
      </c>
      <c r="J90" s="36">
        <v>87.4</v>
      </c>
      <c r="K90" s="36">
        <v>101.0</v>
      </c>
      <c r="L90" s="36">
        <v>48.1</v>
      </c>
      <c r="M90" s="36">
        <v>94.0</v>
      </c>
      <c r="N90" s="36">
        <v>48.0</v>
      </c>
      <c r="O90" s="36">
        <v>20.0</v>
      </c>
      <c r="P90" s="36">
        <v>40.0</v>
      </c>
      <c r="Q90" s="36">
        <v>0.36</v>
      </c>
      <c r="R90" s="36">
        <v>1.09</v>
      </c>
      <c r="S90" s="36">
        <v>1.9</v>
      </c>
      <c r="T90" s="36">
        <v>2.99</v>
      </c>
      <c r="U90" s="21">
        <f t="shared" si="1"/>
        <v>2990</v>
      </c>
      <c r="V90" s="21">
        <f t="shared" si="2"/>
        <v>3600</v>
      </c>
      <c r="Y90" s="45"/>
      <c r="Z90" s="36"/>
    </row>
    <row r="91" ht="14.25" customHeight="1">
      <c r="A91" s="38">
        <v>0.2875</v>
      </c>
      <c r="B91" s="36">
        <v>119.0</v>
      </c>
      <c r="C91" s="36">
        <v>16.7</v>
      </c>
      <c r="D91" s="36">
        <v>1068.0</v>
      </c>
      <c r="E91" s="36">
        <v>820.0</v>
      </c>
      <c r="F91" s="36">
        <v>0.77</v>
      </c>
      <c r="G91" s="36">
        <v>20.0</v>
      </c>
      <c r="H91" s="36">
        <v>1.08</v>
      </c>
      <c r="I91" s="36">
        <v>21.2</v>
      </c>
      <c r="J91" s="36">
        <v>87.3</v>
      </c>
      <c r="K91" s="36">
        <v>103.0</v>
      </c>
      <c r="L91" s="36">
        <v>47.4</v>
      </c>
      <c r="M91" s="36">
        <v>94.0</v>
      </c>
      <c r="N91" s="36">
        <v>49.0</v>
      </c>
      <c r="O91" s="36">
        <v>20.0</v>
      </c>
      <c r="P91" s="36">
        <v>40.0</v>
      </c>
      <c r="Q91" s="36">
        <v>0.36</v>
      </c>
      <c r="R91" s="36">
        <v>1.09</v>
      </c>
      <c r="S91" s="36">
        <v>1.95</v>
      </c>
      <c r="T91" s="36">
        <v>3.05</v>
      </c>
      <c r="U91" s="21">
        <f t="shared" si="1"/>
        <v>3050</v>
      </c>
      <c r="V91" s="21">
        <f t="shared" si="2"/>
        <v>12100</v>
      </c>
      <c r="Y91" s="45"/>
      <c r="Z91" s="36"/>
    </row>
    <row r="92" ht="14.25" customHeight="1">
      <c r="A92" s="38">
        <v>0.2902777777777778</v>
      </c>
      <c r="B92" s="36">
        <v>120.0</v>
      </c>
      <c r="C92" s="36">
        <v>16.8</v>
      </c>
      <c r="D92" s="36">
        <v>1076.0</v>
      </c>
      <c r="E92" s="36">
        <v>830.0</v>
      </c>
      <c r="F92" s="36">
        <v>0.77</v>
      </c>
      <c r="G92" s="36">
        <v>19.0</v>
      </c>
      <c r="H92" s="36">
        <v>1.11</v>
      </c>
      <c r="I92" s="36">
        <v>21.2</v>
      </c>
      <c r="J92" s="36">
        <v>87.3</v>
      </c>
      <c r="K92" s="36">
        <v>102.0</v>
      </c>
      <c r="L92" s="36">
        <v>47.8</v>
      </c>
      <c r="M92" s="36">
        <v>93.0</v>
      </c>
      <c r="N92" s="36">
        <v>49.0</v>
      </c>
      <c r="O92" s="36">
        <v>19.0</v>
      </c>
      <c r="P92" s="36">
        <v>41.0</v>
      </c>
      <c r="Q92" s="36">
        <v>0.36</v>
      </c>
      <c r="R92" s="36">
        <v>1.13</v>
      </c>
      <c r="S92" s="36">
        <v>2.02</v>
      </c>
      <c r="T92" s="36">
        <v>3.16</v>
      </c>
      <c r="U92" s="21">
        <f t="shared" si="1"/>
        <v>3160</v>
      </c>
      <c r="V92" s="21">
        <f t="shared" si="2"/>
        <v>22500</v>
      </c>
      <c r="Y92" s="45"/>
      <c r="Z92" s="36"/>
    </row>
    <row r="93" ht="14.25" customHeight="1">
      <c r="A93" s="38">
        <v>0.2923611111111111</v>
      </c>
      <c r="B93" s="36">
        <v>121.0</v>
      </c>
      <c r="C93" s="36">
        <v>17.1</v>
      </c>
      <c r="D93" s="36">
        <v>1094.0</v>
      </c>
      <c r="E93" s="36">
        <v>847.0</v>
      </c>
      <c r="F93" s="36">
        <v>0.77</v>
      </c>
      <c r="G93" s="36">
        <v>18.0</v>
      </c>
      <c r="H93" s="36">
        <v>1.17</v>
      </c>
      <c r="I93" s="36">
        <v>21.2</v>
      </c>
      <c r="J93" s="36">
        <v>87.3</v>
      </c>
      <c r="K93" s="36">
        <v>102.0</v>
      </c>
      <c r="L93" s="36">
        <v>47.7</v>
      </c>
      <c r="M93" s="36">
        <v>93.0</v>
      </c>
      <c r="N93" s="36">
        <v>49.0</v>
      </c>
      <c r="O93" s="36">
        <v>18.0</v>
      </c>
      <c r="P93" s="36">
        <v>41.0</v>
      </c>
      <c r="Q93" s="36">
        <v>0.35</v>
      </c>
      <c r="R93" s="36">
        <v>1.14</v>
      </c>
      <c r="S93" s="36">
        <v>2.16</v>
      </c>
      <c r="T93" s="36">
        <v>3.31</v>
      </c>
      <c r="U93" s="21">
        <f t="shared" si="1"/>
        <v>3310</v>
      </c>
      <c r="V93" s="21">
        <f t="shared" si="2"/>
        <v>84100</v>
      </c>
      <c r="Y93" s="45"/>
      <c r="Z93" s="36"/>
    </row>
    <row r="94" ht="14.25" customHeight="1">
      <c r="A94" s="38">
        <v>0.29444444444444445</v>
      </c>
      <c r="B94" s="36">
        <v>123.0</v>
      </c>
      <c r="C94" s="36">
        <v>17.1</v>
      </c>
      <c r="D94" s="36">
        <v>1092.0</v>
      </c>
      <c r="E94" s="36">
        <v>837.0</v>
      </c>
      <c r="F94" s="36">
        <v>0.77</v>
      </c>
      <c r="G94" s="36">
        <v>20.0</v>
      </c>
      <c r="H94" s="36">
        <v>1.05</v>
      </c>
      <c r="I94" s="36">
        <v>20.8</v>
      </c>
      <c r="J94" s="36">
        <v>87.5</v>
      </c>
      <c r="K94" s="36">
        <v>101.0</v>
      </c>
      <c r="L94" s="36">
        <v>48.0</v>
      </c>
      <c r="M94" s="36">
        <v>92.0</v>
      </c>
      <c r="N94" s="36">
        <v>50.0</v>
      </c>
      <c r="O94" s="36">
        <v>20.0</v>
      </c>
      <c r="P94" s="36">
        <v>41.0</v>
      </c>
      <c r="Q94" s="36">
        <v>0.35</v>
      </c>
      <c r="R94" s="36">
        <v>1.04</v>
      </c>
      <c r="S94" s="36">
        <v>1.98</v>
      </c>
      <c r="T94" s="36">
        <v>3.02</v>
      </c>
      <c r="U94" s="21">
        <f t="shared" si="1"/>
        <v>3020</v>
      </c>
      <c r="V94" s="21">
        <f t="shared" si="2"/>
        <v>0</v>
      </c>
      <c r="Y94" s="45"/>
      <c r="Z94" s="36"/>
    </row>
    <row r="95" ht="14.25" customHeight="1">
      <c r="A95" s="38">
        <v>0.2965277777777778</v>
      </c>
      <c r="B95" s="36">
        <v>124.0</v>
      </c>
      <c r="C95" s="36">
        <v>17.1</v>
      </c>
      <c r="D95" s="36">
        <v>1092.0</v>
      </c>
      <c r="E95" s="36">
        <v>837.0</v>
      </c>
      <c r="F95" s="36">
        <v>0.77</v>
      </c>
      <c r="G95" s="36">
        <v>20.0</v>
      </c>
      <c r="H95" s="36">
        <v>1.05</v>
      </c>
      <c r="I95" s="36">
        <v>20.8</v>
      </c>
      <c r="J95" s="36">
        <v>87.5</v>
      </c>
      <c r="K95" s="36">
        <v>101.0</v>
      </c>
      <c r="L95" s="36">
        <v>48.0</v>
      </c>
      <c r="M95" s="36">
        <v>92.0</v>
      </c>
      <c r="N95" s="36">
        <v>50.0</v>
      </c>
      <c r="O95" s="36">
        <v>20.0</v>
      </c>
      <c r="P95" s="36">
        <v>41.0</v>
      </c>
      <c r="Q95" s="36">
        <v>0.35</v>
      </c>
      <c r="R95" s="36">
        <v>1.04</v>
      </c>
      <c r="S95" s="36">
        <v>1.98</v>
      </c>
      <c r="T95" s="36">
        <v>3.02</v>
      </c>
      <c r="U95" s="21">
        <f t="shared" si="1"/>
        <v>3020</v>
      </c>
      <c r="V95" s="21">
        <f t="shared" si="2"/>
        <v>16900</v>
      </c>
      <c r="Y95" s="45"/>
      <c r="Z95" s="36"/>
    </row>
    <row r="96" ht="14.25" customHeight="1">
      <c r="A96" s="38">
        <v>0.29930555555555555</v>
      </c>
      <c r="B96" s="36">
        <v>125.0</v>
      </c>
      <c r="C96" s="36">
        <v>16.9</v>
      </c>
      <c r="D96" s="36">
        <v>1085.0</v>
      </c>
      <c r="E96" s="36">
        <v>833.0</v>
      </c>
      <c r="F96" s="36">
        <v>0.77</v>
      </c>
      <c r="G96" s="36">
        <v>19.0</v>
      </c>
      <c r="H96" s="36">
        <v>1.08</v>
      </c>
      <c r="I96" s="36">
        <v>20.5</v>
      </c>
      <c r="J96" s="36">
        <v>87.7</v>
      </c>
      <c r="K96" s="36">
        <v>101.0</v>
      </c>
      <c r="L96" s="36">
        <v>48.0</v>
      </c>
      <c r="M96" s="36">
        <v>91.0</v>
      </c>
      <c r="N96" s="36">
        <v>50.0</v>
      </c>
      <c r="O96" s="36">
        <v>19.0</v>
      </c>
      <c r="P96" s="36">
        <v>41.0</v>
      </c>
      <c r="Q96" s="36">
        <v>0.34</v>
      </c>
      <c r="R96" s="36">
        <v>1.08</v>
      </c>
      <c r="S96" s="36">
        <v>2.07</v>
      </c>
      <c r="T96" s="36">
        <v>3.15</v>
      </c>
      <c r="U96" s="21">
        <f t="shared" si="1"/>
        <v>3150</v>
      </c>
      <c r="V96" s="21">
        <f t="shared" si="2"/>
        <v>900</v>
      </c>
      <c r="Y96" s="45"/>
      <c r="Z96" s="36"/>
    </row>
    <row r="97" ht="14.25" customHeight="1">
      <c r="A97" s="38">
        <v>0.30069444444444443</v>
      </c>
      <c r="B97" s="36">
        <v>126.0</v>
      </c>
      <c r="C97" s="36">
        <v>17.0</v>
      </c>
      <c r="D97" s="36">
        <v>1088.0</v>
      </c>
      <c r="E97" s="36">
        <v>838.0</v>
      </c>
      <c r="F97" s="36">
        <v>0.77</v>
      </c>
      <c r="G97" s="36">
        <v>19.0</v>
      </c>
      <c r="H97" s="36">
        <v>1.07</v>
      </c>
      <c r="I97" s="36">
        <v>20.6</v>
      </c>
      <c r="J97" s="36">
        <v>87.6</v>
      </c>
      <c r="K97" s="36">
        <v>102.0</v>
      </c>
      <c r="L97" s="36">
        <v>47.9</v>
      </c>
      <c r="M97" s="36">
        <v>92.0</v>
      </c>
      <c r="N97" s="36">
        <v>50.0</v>
      </c>
      <c r="O97" s="36">
        <v>19.0</v>
      </c>
      <c r="P97" s="36">
        <v>41.0</v>
      </c>
      <c r="Q97" s="36">
        <v>0.35</v>
      </c>
      <c r="R97" s="36">
        <v>1.1</v>
      </c>
      <c r="S97" s="36">
        <v>2.02</v>
      </c>
      <c r="T97" s="36">
        <v>3.12</v>
      </c>
      <c r="U97" s="21">
        <f t="shared" si="1"/>
        <v>3120</v>
      </c>
      <c r="V97" s="21">
        <f t="shared" si="2"/>
        <v>3600</v>
      </c>
      <c r="Y97" s="45"/>
      <c r="Z97" s="36"/>
    </row>
    <row r="98" ht="14.25" customHeight="1">
      <c r="A98" s="38">
        <v>0.30277777777777776</v>
      </c>
      <c r="B98" s="36">
        <v>127.0</v>
      </c>
      <c r="C98" s="36">
        <v>16.9</v>
      </c>
      <c r="D98" s="36">
        <v>1080.0</v>
      </c>
      <c r="E98" s="36">
        <v>833.0</v>
      </c>
      <c r="F98" s="36">
        <v>0.77</v>
      </c>
      <c r="G98" s="36">
        <v>20.0</v>
      </c>
      <c r="H98" s="36">
        <v>1.05</v>
      </c>
      <c r="I98" s="36">
        <v>20.6</v>
      </c>
      <c r="J98" s="36">
        <v>87.6</v>
      </c>
      <c r="K98" s="36">
        <v>102.0</v>
      </c>
      <c r="L98" s="36">
        <v>47.8</v>
      </c>
      <c r="M98" s="36">
        <v>92.0</v>
      </c>
      <c r="N98" s="36">
        <v>50.0</v>
      </c>
      <c r="O98" s="36">
        <v>20.0</v>
      </c>
      <c r="P98" s="36">
        <v>41.0</v>
      </c>
      <c r="Q98" s="36">
        <v>0.36</v>
      </c>
      <c r="R98" s="36">
        <v>1.1</v>
      </c>
      <c r="S98" s="36">
        <v>1.96</v>
      </c>
      <c r="T98" s="36">
        <v>3.06</v>
      </c>
      <c r="U98" s="21">
        <f t="shared" si="1"/>
        <v>3060</v>
      </c>
      <c r="V98" s="21">
        <f t="shared" si="2"/>
        <v>19600</v>
      </c>
      <c r="Y98" s="45"/>
      <c r="Z98" s="36"/>
    </row>
    <row r="99" ht="14.25" customHeight="1">
      <c r="A99" s="38">
        <v>0.30486111111111114</v>
      </c>
      <c r="B99" s="36">
        <v>128.0</v>
      </c>
      <c r="C99" s="36">
        <v>16.8</v>
      </c>
      <c r="D99" s="36">
        <v>1073.0</v>
      </c>
      <c r="E99" s="36">
        <v>828.0</v>
      </c>
      <c r="F99" s="36">
        <v>0.77</v>
      </c>
      <c r="G99" s="36">
        <v>21.0</v>
      </c>
      <c r="H99" s="36">
        <v>1.01</v>
      </c>
      <c r="I99" s="36">
        <v>20.7</v>
      </c>
      <c r="J99" s="36">
        <v>87.6</v>
      </c>
      <c r="K99" s="36">
        <v>103.0</v>
      </c>
      <c r="L99" s="36">
        <v>47.4</v>
      </c>
      <c r="M99" s="36">
        <v>92.0</v>
      </c>
      <c r="N99" s="36">
        <v>50.0</v>
      </c>
      <c r="O99" s="36">
        <v>21.0</v>
      </c>
      <c r="P99" s="36">
        <v>40.0</v>
      </c>
      <c r="Q99" s="36">
        <v>0.37</v>
      </c>
      <c r="R99" s="36">
        <v>1.07</v>
      </c>
      <c r="S99" s="36">
        <v>1.85</v>
      </c>
      <c r="T99" s="36">
        <v>2.92</v>
      </c>
      <c r="U99" s="21">
        <f t="shared" si="1"/>
        <v>2920</v>
      </c>
      <c r="V99" s="21">
        <f t="shared" si="2"/>
        <v>0</v>
      </c>
      <c r="Y99" s="45"/>
      <c r="Z99" s="36"/>
    </row>
    <row r="100" ht="14.25" customHeight="1">
      <c r="A100" s="38">
        <v>0.3076388888888889</v>
      </c>
      <c r="B100" s="36">
        <v>130.0</v>
      </c>
      <c r="C100" s="36">
        <v>16.8</v>
      </c>
      <c r="D100" s="36">
        <v>1074.0</v>
      </c>
      <c r="E100" s="36">
        <v>828.0</v>
      </c>
      <c r="F100" s="36">
        <v>0.77</v>
      </c>
      <c r="G100" s="36">
        <v>21.0</v>
      </c>
      <c r="H100" s="36">
        <v>1.01</v>
      </c>
      <c r="I100" s="36">
        <v>20.7</v>
      </c>
      <c r="J100" s="36">
        <v>87.6</v>
      </c>
      <c r="K100" s="36">
        <v>102.0</v>
      </c>
      <c r="L100" s="36">
        <v>47.8</v>
      </c>
      <c r="M100" s="36">
        <v>92.0</v>
      </c>
      <c r="N100" s="36">
        <v>50.0</v>
      </c>
      <c r="O100" s="36">
        <v>21.0</v>
      </c>
      <c r="P100" s="36">
        <v>40.0</v>
      </c>
      <c r="Q100" s="36">
        <v>0.37</v>
      </c>
      <c r="R100" s="36">
        <v>1.07</v>
      </c>
      <c r="S100" s="36">
        <v>1.85</v>
      </c>
      <c r="T100" s="36">
        <v>2.92</v>
      </c>
      <c r="U100" s="21">
        <f t="shared" si="1"/>
        <v>2920</v>
      </c>
      <c r="V100" s="21">
        <f t="shared" si="2"/>
        <v>28900</v>
      </c>
      <c r="Y100" s="45"/>
      <c r="Z100" s="36"/>
    </row>
    <row r="101" ht="14.25" customHeight="1">
      <c r="A101" s="38">
        <v>0.3090277777777778</v>
      </c>
      <c r="B101" s="36">
        <v>131.0</v>
      </c>
      <c r="C101" s="36">
        <v>16.6</v>
      </c>
      <c r="D101" s="36">
        <v>1061.0</v>
      </c>
      <c r="E101" s="36">
        <v>828.0</v>
      </c>
      <c r="F101" s="36">
        <v>0.78</v>
      </c>
      <c r="G101" s="36">
        <v>22.0</v>
      </c>
      <c r="H101" s="36">
        <v>0.96</v>
      </c>
      <c r="I101" s="36">
        <v>20.9</v>
      </c>
      <c r="J101" s="36">
        <v>87.4</v>
      </c>
      <c r="K101" s="36">
        <v>103.0</v>
      </c>
      <c r="L101" s="36">
        <v>47.4</v>
      </c>
      <c r="M101" s="36">
        <v>93.0</v>
      </c>
      <c r="N101" s="36">
        <v>50.0</v>
      </c>
      <c r="O101" s="36">
        <v>22.0</v>
      </c>
      <c r="P101" s="36">
        <v>40.0</v>
      </c>
      <c r="Q101" s="36">
        <v>0.36</v>
      </c>
      <c r="R101" s="36">
        <v>1.0</v>
      </c>
      <c r="S101" s="36">
        <v>1.75</v>
      </c>
      <c r="T101" s="36">
        <v>2.75</v>
      </c>
      <c r="U101" s="21">
        <f t="shared" si="1"/>
        <v>2750</v>
      </c>
      <c r="V101" s="21">
        <f t="shared" si="2"/>
        <v>32400</v>
      </c>
      <c r="Y101" s="45"/>
      <c r="Z101" s="36"/>
    </row>
    <row r="102" ht="14.25" customHeight="1">
      <c r="A102" s="38">
        <v>0.3111111111111111</v>
      </c>
      <c r="B102" s="36">
        <v>132.0</v>
      </c>
      <c r="C102" s="36">
        <v>16.8</v>
      </c>
      <c r="D102" s="36">
        <v>1076.0</v>
      </c>
      <c r="E102" s="36">
        <v>848.0</v>
      </c>
      <c r="F102" s="36">
        <v>0.79</v>
      </c>
      <c r="G102" s="36">
        <v>23.0</v>
      </c>
      <c r="H102" s="36">
        <v>0.92</v>
      </c>
      <c r="I102" s="36">
        <v>21.5</v>
      </c>
      <c r="J102" s="36">
        <v>87.1</v>
      </c>
      <c r="K102" s="36">
        <v>104.0</v>
      </c>
      <c r="L102" s="36">
        <v>46.5</v>
      </c>
      <c r="M102" s="36">
        <v>93.0</v>
      </c>
      <c r="N102" s="36">
        <v>50.0</v>
      </c>
      <c r="O102" s="36">
        <v>23.0</v>
      </c>
      <c r="P102" s="36">
        <v>41.0</v>
      </c>
      <c r="Q102" s="36">
        <v>0.37</v>
      </c>
      <c r="R102" s="36">
        <v>0.95</v>
      </c>
      <c r="S102" s="36">
        <v>1.62</v>
      </c>
      <c r="T102" s="36">
        <v>2.57</v>
      </c>
      <c r="U102" s="21">
        <f t="shared" si="1"/>
        <v>2570</v>
      </c>
      <c r="V102" s="21">
        <f t="shared" si="2"/>
        <v>3600</v>
      </c>
      <c r="Y102" s="45"/>
      <c r="Z102" s="36"/>
    </row>
    <row r="103" ht="14.25" customHeight="1">
      <c r="A103" s="38">
        <v>0.3125</v>
      </c>
      <c r="B103" s="36">
        <v>133.0</v>
      </c>
      <c r="C103" s="36">
        <v>17.4</v>
      </c>
      <c r="D103" s="36">
        <v>1113.0</v>
      </c>
      <c r="E103" s="36">
        <v>881.0</v>
      </c>
      <c r="F103" s="36">
        <v>0.79</v>
      </c>
      <c r="G103" s="36">
        <v>24.0</v>
      </c>
      <c r="H103" s="36">
        <v>0.93</v>
      </c>
      <c r="I103" s="36">
        <v>22.2</v>
      </c>
      <c r="J103" s="36">
        <v>86.7</v>
      </c>
      <c r="K103" s="36">
        <v>107.0</v>
      </c>
      <c r="L103" s="36">
        <v>45.3</v>
      </c>
      <c r="M103" s="36">
        <v>93.0</v>
      </c>
      <c r="N103" s="36">
        <v>50.0</v>
      </c>
      <c r="O103" s="36">
        <v>24.0</v>
      </c>
      <c r="P103" s="36">
        <v>42.0</v>
      </c>
      <c r="Q103" s="36">
        <v>0.38</v>
      </c>
      <c r="R103" s="36">
        <v>0.96</v>
      </c>
      <c r="S103" s="36">
        <v>1.55</v>
      </c>
      <c r="T103" s="36">
        <v>2.51</v>
      </c>
      <c r="U103" s="21">
        <f t="shared" si="1"/>
        <v>2510</v>
      </c>
      <c r="V103" s="21">
        <f t="shared" si="2"/>
        <v>2500</v>
      </c>
      <c r="Y103" s="45"/>
      <c r="Z103" s="36"/>
    </row>
    <row r="104" ht="14.25" customHeight="1">
      <c r="A104" s="38">
        <v>0.3145833333333333</v>
      </c>
      <c r="B104" s="36">
        <v>134.0</v>
      </c>
      <c r="C104" s="36">
        <v>18.0</v>
      </c>
      <c r="D104" s="36">
        <v>1150.0</v>
      </c>
      <c r="E104" s="36">
        <v>916.0</v>
      </c>
      <c r="F104" s="36">
        <v>0.8</v>
      </c>
      <c r="G104" s="36">
        <v>24.0</v>
      </c>
      <c r="H104" s="36">
        <v>0.94</v>
      </c>
      <c r="I104" s="36">
        <v>23.0</v>
      </c>
      <c r="J104" s="36">
        <v>86.2</v>
      </c>
      <c r="K104" s="36">
        <v>106.0</v>
      </c>
      <c r="L104" s="36">
        <v>45.4</v>
      </c>
      <c r="M104" s="36">
        <v>93.0</v>
      </c>
      <c r="N104" s="36">
        <v>51.0</v>
      </c>
      <c r="O104" s="36">
        <v>24.0</v>
      </c>
      <c r="P104" s="36">
        <v>43.0</v>
      </c>
      <c r="Q104" s="36">
        <v>0.38</v>
      </c>
      <c r="R104" s="36">
        <v>0.94</v>
      </c>
      <c r="S104" s="36">
        <v>1.52</v>
      </c>
      <c r="T104" s="36">
        <v>2.46</v>
      </c>
      <c r="U104" s="21">
        <f t="shared" si="1"/>
        <v>2460</v>
      </c>
      <c r="V104" s="21">
        <f t="shared" si="2"/>
        <v>400</v>
      </c>
      <c r="Y104" s="45"/>
      <c r="Z104" s="36"/>
    </row>
    <row r="105" ht="14.25" customHeight="1">
      <c r="A105" s="38">
        <v>0.3159722222222222</v>
      </c>
      <c r="B105" s="36">
        <v>135.0</v>
      </c>
      <c r="C105" s="36">
        <v>18.7</v>
      </c>
      <c r="D105" s="36">
        <v>1194.0</v>
      </c>
      <c r="E105" s="36">
        <v>946.0</v>
      </c>
      <c r="F105" s="36">
        <v>0.79</v>
      </c>
      <c r="G105" s="36">
        <v>25.0</v>
      </c>
      <c r="H105" s="36">
        <v>0.96</v>
      </c>
      <c r="I105" s="36">
        <v>23.7</v>
      </c>
      <c r="J105" s="36">
        <v>85.8</v>
      </c>
      <c r="K105" s="36">
        <v>107.0</v>
      </c>
      <c r="L105" s="36">
        <v>45.3</v>
      </c>
      <c r="M105" s="36">
        <v>93.0</v>
      </c>
      <c r="N105" s="36">
        <v>51.0</v>
      </c>
      <c r="O105" s="36">
        <v>25.0</v>
      </c>
      <c r="P105" s="36">
        <v>45.0</v>
      </c>
      <c r="Q105" s="36">
        <v>0.39</v>
      </c>
      <c r="R105" s="36">
        <v>0.96</v>
      </c>
      <c r="S105" s="36">
        <v>1.48</v>
      </c>
      <c r="T105" s="36">
        <v>2.44</v>
      </c>
      <c r="U105" s="21">
        <f t="shared" si="1"/>
        <v>2440</v>
      </c>
      <c r="V105" s="21">
        <f t="shared" si="2"/>
        <v>100</v>
      </c>
      <c r="Y105" s="45"/>
      <c r="Z105" s="36"/>
    </row>
    <row r="106" ht="14.25" customHeight="1">
      <c r="A106" s="38">
        <v>0.3173611111111111</v>
      </c>
      <c r="B106" s="36">
        <v>136.0</v>
      </c>
      <c r="C106" s="36">
        <v>19.6</v>
      </c>
      <c r="D106" s="36">
        <v>1253.0</v>
      </c>
      <c r="E106" s="36">
        <v>998.0</v>
      </c>
      <c r="F106" s="36">
        <v>0.8</v>
      </c>
      <c r="G106" s="36">
        <v>25.0</v>
      </c>
      <c r="H106" s="36">
        <v>1.0</v>
      </c>
      <c r="I106" s="36">
        <v>24.7</v>
      </c>
      <c r="J106" s="36">
        <v>85.2</v>
      </c>
      <c r="K106" s="36">
        <v>107.0</v>
      </c>
      <c r="L106" s="36">
        <v>45.1</v>
      </c>
      <c r="M106" s="36">
        <v>93.0</v>
      </c>
      <c r="N106" s="36">
        <v>51.0</v>
      </c>
      <c r="O106" s="36">
        <v>25.0</v>
      </c>
      <c r="P106" s="36">
        <v>47.0</v>
      </c>
      <c r="Q106" s="36">
        <v>0.39</v>
      </c>
      <c r="R106" s="36">
        <v>0.94</v>
      </c>
      <c r="S106" s="36">
        <v>1.48</v>
      </c>
      <c r="T106" s="36">
        <v>2.43</v>
      </c>
      <c r="U106" s="21">
        <f t="shared" si="1"/>
        <v>2430</v>
      </c>
      <c r="V106" s="21">
        <f t="shared" si="2"/>
        <v>6400</v>
      </c>
      <c r="Y106" s="45"/>
      <c r="Z106" s="36"/>
    </row>
    <row r="107" ht="14.25" customHeight="1">
      <c r="A107" s="38">
        <v>0.3194444444444444</v>
      </c>
      <c r="B107" s="36">
        <v>137.0</v>
      </c>
      <c r="C107" s="36">
        <v>18.9</v>
      </c>
      <c r="D107" s="36">
        <v>1213.0</v>
      </c>
      <c r="E107" s="36">
        <v>970.0</v>
      </c>
      <c r="F107" s="36">
        <v>0.8</v>
      </c>
      <c r="G107" s="36">
        <v>24.0</v>
      </c>
      <c r="H107" s="36">
        <v>1.0</v>
      </c>
      <c r="I107" s="36">
        <v>24.0</v>
      </c>
      <c r="J107" s="36">
        <v>85.6</v>
      </c>
      <c r="K107" s="36">
        <v>107.0</v>
      </c>
      <c r="L107" s="36">
        <v>45.1</v>
      </c>
      <c r="M107" s="36">
        <v>93.0</v>
      </c>
      <c r="N107" s="36">
        <v>51.0</v>
      </c>
      <c r="O107" s="36">
        <v>24.0</v>
      </c>
      <c r="P107" s="36">
        <v>46.0</v>
      </c>
      <c r="Q107" s="36">
        <v>0.39</v>
      </c>
      <c r="R107" s="36">
        <v>0.97</v>
      </c>
      <c r="S107" s="36">
        <v>1.53</v>
      </c>
      <c r="T107" s="36">
        <v>2.51</v>
      </c>
      <c r="U107" s="21">
        <f t="shared" si="1"/>
        <v>2510</v>
      </c>
      <c r="V107" s="21">
        <f t="shared" si="2"/>
        <v>1600</v>
      </c>
      <c r="Y107" s="45"/>
      <c r="Z107" s="36"/>
    </row>
    <row r="108" ht="14.25" customHeight="1">
      <c r="A108" s="38">
        <v>0.3215277777777778</v>
      </c>
      <c r="B108" s="36">
        <v>138.0</v>
      </c>
      <c r="C108" s="36">
        <v>19.1</v>
      </c>
      <c r="D108" s="36">
        <v>1219.0</v>
      </c>
      <c r="E108" s="36">
        <v>978.0</v>
      </c>
      <c r="F108" s="36">
        <v>0.8</v>
      </c>
      <c r="G108" s="36">
        <v>24.0</v>
      </c>
      <c r="H108" s="36">
        <v>1.03</v>
      </c>
      <c r="I108" s="36">
        <v>24.1</v>
      </c>
      <c r="J108" s="36">
        <v>85.5</v>
      </c>
      <c r="K108" s="36">
        <v>110.0</v>
      </c>
      <c r="L108" s="36">
        <v>43.7</v>
      </c>
      <c r="M108" s="36">
        <v>94.0</v>
      </c>
      <c r="N108" s="36">
        <v>51.0</v>
      </c>
      <c r="O108" s="36">
        <v>24.0</v>
      </c>
      <c r="P108" s="36">
        <v>46.0</v>
      </c>
      <c r="Q108" s="36">
        <v>0.39</v>
      </c>
      <c r="R108" s="36">
        <v>1.0</v>
      </c>
      <c r="S108" s="36">
        <v>1.55</v>
      </c>
      <c r="T108" s="36">
        <v>2.55</v>
      </c>
      <c r="U108" s="21">
        <f t="shared" si="1"/>
        <v>2550</v>
      </c>
      <c r="V108" s="21">
        <f t="shared" si="2"/>
        <v>6400</v>
      </c>
      <c r="Y108" s="45"/>
      <c r="Z108" s="36"/>
    </row>
    <row r="109" ht="14.25" customHeight="1">
      <c r="A109" s="38">
        <v>0.3229166666666667</v>
      </c>
      <c r="B109" s="36">
        <v>139.0</v>
      </c>
      <c r="C109" s="36">
        <v>19.1</v>
      </c>
      <c r="D109" s="36">
        <v>1221.0</v>
      </c>
      <c r="E109" s="36">
        <v>980.0</v>
      </c>
      <c r="F109" s="36">
        <v>0.8</v>
      </c>
      <c r="G109" s="36">
        <v>24.0</v>
      </c>
      <c r="H109" s="36">
        <v>1.0</v>
      </c>
      <c r="I109" s="36">
        <v>24.3</v>
      </c>
      <c r="J109" s="36">
        <v>85.5</v>
      </c>
      <c r="K109" s="36">
        <v>110.0</v>
      </c>
      <c r="L109" s="36">
        <v>43.8</v>
      </c>
      <c r="M109" s="36">
        <v>94.0</v>
      </c>
      <c r="N109" s="36">
        <v>51.0</v>
      </c>
      <c r="O109" s="36">
        <v>24.0</v>
      </c>
      <c r="P109" s="36">
        <v>46.0</v>
      </c>
      <c r="Q109" s="36">
        <v>0.39</v>
      </c>
      <c r="R109" s="36">
        <v>0.97</v>
      </c>
      <c r="S109" s="36">
        <v>1.51</v>
      </c>
      <c r="T109" s="36">
        <v>2.47</v>
      </c>
      <c r="U109" s="21">
        <f t="shared" si="1"/>
        <v>2470</v>
      </c>
      <c r="V109" s="21">
        <f t="shared" si="2"/>
        <v>3600</v>
      </c>
      <c r="Y109" s="45"/>
      <c r="Z109" s="36"/>
    </row>
    <row r="110" ht="14.25" customHeight="1">
      <c r="A110" s="38">
        <v>0.325</v>
      </c>
      <c r="B110" s="36">
        <v>141.0</v>
      </c>
      <c r="C110" s="36">
        <v>18.8</v>
      </c>
      <c r="D110" s="36">
        <v>1202.0</v>
      </c>
      <c r="E110" s="36">
        <v>968.0</v>
      </c>
      <c r="F110" s="36">
        <v>0.81</v>
      </c>
      <c r="G110" s="36">
        <v>24.0</v>
      </c>
      <c r="H110" s="36">
        <v>1.01</v>
      </c>
      <c r="I110" s="36">
        <v>24.0</v>
      </c>
      <c r="J110" s="36">
        <v>85.6</v>
      </c>
      <c r="K110" s="36">
        <v>111.0</v>
      </c>
      <c r="L110" s="36">
        <v>43.3</v>
      </c>
      <c r="M110" s="36">
        <v>94.0</v>
      </c>
      <c r="N110" s="36">
        <v>51.0</v>
      </c>
      <c r="O110" s="36">
        <v>24.0</v>
      </c>
      <c r="P110" s="36">
        <v>45.0</v>
      </c>
      <c r="Q110" s="36">
        <v>0.39</v>
      </c>
      <c r="R110" s="36">
        <v>0.98</v>
      </c>
      <c r="S110" s="36">
        <v>1.55</v>
      </c>
      <c r="T110" s="36">
        <v>2.53</v>
      </c>
      <c r="U110" s="21">
        <f t="shared" si="1"/>
        <v>2530</v>
      </c>
      <c r="V110" s="21">
        <f t="shared" si="2"/>
        <v>900</v>
      </c>
      <c r="Y110" s="45"/>
      <c r="Z110" s="36"/>
    </row>
    <row r="111" ht="14.25" customHeight="1">
      <c r="A111" s="38">
        <v>0.32708333333333334</v>
      </c>
      <c r="B111" s="36">
        <v>142.0</v>
      </c>
      <c r="C111" s="36">
        <v>19.1</v>
      </c>
      <c r="D111" s="36">
        <v>1220.0</v>
      </c>
      <c r="E111" s="36">
        <v>983.0</v>
      </c>
      <c r="F111" s="36">
        <v>0.81</v>
      </c>
      <c r="G111" s="36">
        <v>24.0</v>
      </c>
      <c r="H111" s="36">
        <v>1.01</v>
      </c>
      <c r="I111" s="36">
        <v>24.4</v>
      </c>
      <c r="J111" s="36">
        <v>85.4</v>
      </c>
      <c r="K111" s="36">
        <v>112.0</v>
      </c>
      <c r="L111" s="36">
        <v>42.4</v>
      </c>
      <c r="M111" s="36">
        <v>94.0</v>
      </c>
      <c r="N111" s="36">
        <v>51.0</v>
      </c>
      <c r="O111" s="36">
        <v>24.0</v>
      </c>
      <c r="P111" s="36">
        <v>46.0</v>
      </c>
      <c r="Q111" s="36">
        <v>0.39</v>
      </c>
      <c r="R111" s="36">
        <v>0.96</v>
      </c>
      <c r="S111" s="36">
        <v>1.53</v>
      </c>
      <c r="T111" s="36">
        <v>2.5</v>
      </c>
      <c r="U111" s="21">
        <f t="shared" si="1"/>
        <v>2500</v>
      </c>
      <c r="V111" s="21">
        <f t="shared" si="2"/>
        <v>900</v>
      </c>
      <c r="Y111" s="45"/>
      <c r="Z111" s="36"/>
    </row>
    <row r="112" ht="14.25" customHeight="1">
      <c r="A112" s="38">
        <v>0.3284722222222222</v>
      </c>
      <c r="B112" s="36">
        <v>143.0</v>
      </c>
      <c r="C112" s="36">
        <v>19.9</v>
      </c>
      <c r="D112" s="36">
        <v>1271.0</v>
      </c>
      <c r="E112" s="36">
        <v>1022.0</v>
      </c>
      <c r="F112" s="36">
        <v>0.8</v>
      </c>
      <c r="G112" s="36">
        <v>24.0</v>
      </c>
      <c r="H112" s="36">
        <v>1.05</v>
      </c>
      <c r="I112" s="36">
        <v>24.9</v>
      </c>
      <c r="J112" s="36">
        <v>85.0</v>
      </c>
      <c r="K112" s="36">
        <v>112.0</v>
      </c>
      <c r="L112" s="36">
        <v>42.4</v>
      </c>
      <c r="M112" s="36">
        <v>94.0</v>
      </c>
      <c r="N112" s="36">
        <v>51.0</v>
      </c>
      <c r="O112" s="36">
        <v>24.0</v>
      </c>
      <c r="P112" s="36">
        <v>48.0</v>
      </c>
      <c r="Q112" s="36">
        <v>0.39</v>
      </c>
      <c r="R112" s="36">
        <v>0.99</v>
      </c>
      <c r="S112" s="36">
        <v>1.54</v>
      </c>
      <c r="T112" s="36">
        <v>2.53</v>
      </c>
      <c r="U112" s="21">
        <f t="shared" si="1"/>
        <v>2530</v>
      </c>
      <c r="V112" s="21">
        <f t="shared" si="2"/>
        <v>2500</v>
      </c>
      <c r="Y112" s="45"/>
      <c r="Z112" s="36"/>
    </row>
    <row r="113" ht="14.25" customHeight="1">
      <c r="A113" s="38">
        <v>0.33055555555555555</v>
      </c>
      <c r="B113" s="36">
        <v>144.0</v>
      </c>
      <c r="C113" s="36">
        <v>20.3</v>
      </c>
      <c r="D113" s="36">
        <v>1300.0</v>
      </c>
      <c r="E113" s="36">
        <v>1052.0</v>
      </c>
      <c r="F113" s="36">
        <v>0.81</v>
      </c>
      <c r="G113" s="36">
        <v>23.0</v>
      </c>
      <c r="H113" s="36">
        <v>1.09</v>
      </c>
      <c r="I113" s="36">
        <v>25.4</v>
      </c>
      <c r="J113" s="36">
        <v>84.8</v>
      </c>
      <c r="K113" s="36">
        <v>115.0</v>
      </c>
      <c r="L113" s="36">
        <v>40.9</v>
      </c>
      <c r="M113" s="36">
        <v>94.0</v>
      </c>
      <c r="N113" s="36">
        <v>51.0</v>
      </c>
      <c r="O113" s="36">
        <v>23.0</v>
      </c>
      <c r="P113" s="36">
        <v>49.0</v>
      </c>
      <c r="Q113" s="36">
        <v>0.39</v>
      </c>
      <c r="R113" s="36">
        <v>1.0</v>
      </c>
      <c r="S113" s="36">
        <v>1.58</v>
      </c>
      <c r="T113" s="36">
        <v>2.58</v>
      </c>
      <c r="U113" s="21">
        <f t="shared" si="1"/>
        <v>2580</v>
      </c>
      <c r="V113" s="21">
        <f t="shared" si="2"/>
        <v>400</v>
      </c>
      <c r="Y113" s="45"/>
      <c r="Z113" s="36"/>
    </row>
    <row r="114" ht="14.25" customHeight="1">
      <c r="A114" s="38">
        <v>0.3326388888888889</v>
      </c>
      <c r="B114" s="36">
        <v>145.0</v>
      </c>
      <c r="C114" s="36">
        <v>21.1</v>
      </c>
      <c r="D114" s="36">
        <v>1350.0</v>
      </c>
      <c r="E114" s="36">
        <v>1096.0</v>
      </c>
      <c r="F114" s="36">
        <v>0.81</v>
      </c>
      <c r="G114" s="36">
        <v>23.0</v>
      </c>
      <c r="H114" s="36">
        <v>1.14</v>
      </c>
      <c r="I114" s="36">
        <v>26.3</v>
      </c>
      <c r="J114" s="36">
        <v>84.3</v>
      </c>
      <c r="K114" s="36">
        <v>117.0</v>
      </c>
      <c r="L114" s="36">
        <v>39.9</v>
      </c>
      <c r="M114" s="36">
        <v>94.0</v>
      </c>
      <c r="N114" s="36">
        <v>51.0</v>
      </c>
      <c r="O114" s="36">
        <v>23.0</v>
      </c>
      <c r="P114" s="36">
        <v>51.0</v>
      </c>
      <c r="Q114" s="36">
        <v>0.39</v>
      </c>
      <c r="R114" s="36">
        <v>1.01</v>
      </c>
      <c r="S114" s="36">
        <v>1.6</v>
      </c>
      <c r="T114" s="36">
        <v>2.6</v>
      </c>
      <c r="U114" s="21">
        <f t="shared" si="1"/>
        <v>2600</v>
      </c>
      <c r="V114" s="21">
        <f t="shared" si="2"/>
        <v>900</v>
      </c>
      <c r="Y114" s="45"/>
      <c r="Z114" s="36"/>
    </row>
    <row r="115" ht="14.25" customHeight="1">
      <c r="A115" s="38">
        <v>0.33402777777777776</v>
      </c>
      <c r="B115" s="36">
        <v>146.0</v>
      </c>
      <c r="C115" s="36">
        <v>21.8</v>
      </c>
      <c r="D115" s="36">
        <v>1393.0</v>
      </c>
      <c r="E115" s="36">
        <v>1135.0</v>
      </c>
      <c r="F115" s="36">
        <v>0.82</v>
      </c>
      <c r="G115" s="36">
        <v>23.0</v>
      </c>
      <c r="H115" s="36">
        <v>1.16</v>
      </c>
      <c r="I115" s="36">
        <v>27.1</v>
      </c>
      <c r="J115" s="36">
        <v>83.8</v>
      </c>
      <c r="K115" s="36">
        <v>119.0</v>
      </c>
      <c r="L115" s="36">
        <v>38.9</v>
      </c>
      <c r="M115" s="36">
        <v>94.0</v>
      </c>
      <c r="N115" s="36">
        <v>52.0</v>
      </c>
      <c r="O115" s="36">
        <v>23.0</v>
      </c>
      <c r="P115" s="36">
        <v>53.0</v>
      </c>
      <c r="Q115" s="36">
        <v>0.38</v>
      </c>
      <c r="R115" s="36">
        <v>0.97</v>
      </c>
      <c r="S115" s="36">
        <v>1.6</v>
      </c>
      <c r="T115" s="36">
        <v>2.57</v>
      </c>
      <c r="U115" s="21">
        <f t="shared" si="1"/>
        <v>2570</v>
      </c>
      <c r="V115" s="21">
        <f t="shared" si="2"/>
        <v>2500</v>
      </c>
      <c r="Y115" s="45"/>
      <c r="Z115" s="36"/>
    </row>
    <row r="116" ht="14.25" customHeight="1">
      <c r="A116" s="38">
        <v>0.33611111111111114</v>
      </c>
      <c r="B116" s="36">
        <v>148.0</v>
      </c>
      <c r="C116" s="36">
        <v>23.0</v>
      </c>
      <c r="D116" s="36">
        <v>1471.0</v>
      </c>
      <c r="E116" s="36">
        <v>1197.0</v>
      </c>
      <c r="F116" s="36">
        <v>0.81</v>
      </c>
      <c r="G116" s="36">
        <v>23.0</v>
      </c>
      <c r="H116" s="36">
        <v>1.23</v>
      </c>
      <c r="I116" s="36">
        <v>28.2</v>
      </c>
      <c r="J116" s="36">
        <v>83.1</v>
      </c>
      <c r="K116" s="36">
        <v>120.0</v>
      </c>
      <c r="L116" s="36">
        <v>38.2</v>
      </c>
      <c r="M116" s="36">
        <v>93.0</v>
      </c>
      <c r="N116" s="36">
        <v>52.0</v>
      </c>
      <c r="O116" s="36">
        <v>23.0</v>
      </c>
      <c r="P116" s="36">
        <v>56.0</v>
      </c>
      <c r="Q116" s="36">
        <v>0.38</v>
      </c>
      <c r="R116" s="36">
        <v>0.99</v>
      </c>
      <c r="S116" s="36">
        <v>1.63</v>
      </c>
      <c r="T116" s="36">
        <v>2.62</v>
      </c>
      <c r="U116" s="21">
        <f t="shared" si="1"/>
        <v>2620</v>
      </c>
      <c r="V116" s="21">
        <f t="shared" si="2"/>
        <v>0</v>
      </c>
      <c r="Y116" s="45"/>
      <c r="Z116" s="36"/>
    </row>
    <row r="117" ht="14.25" customHeight="1">
      <c r="A117" s="38">
        <v>0.33819444444444446</v>
      </c>
      <c r="B117" s="36">
        <v>149.0</v>
      </c>
      <c r="C117" s="36">
        <v>23.0</v>
      </c>
      <c r="D117" s="36">
        <v>1471.0</v>
      </c>
      <c r="E117" s="36">
        <v>1197.0</v>
      </c>
      <c r="F117" s="36">
        <v>0.81</v>
      </c>
      <c r="G117" s="36">
        <v>23.0</v>
      </c>
      <c r="H117" s="36">
        <v>1.23</v>
      </c>
      <c r="I117" s="36">
        <v>28.2</v>
      </c>
      <c r="J117" s="36">
        <v>83.1</v>
      </c>
      <c r="K117" s="36">
        <v>122.0</v>
      </c>
      <c r="L117" s="36">
        <v>37.6</v>
      </c>
      <c r="M117" s="36">
        <v>93.0</v>
      </c>
      <c r="N117" s="36">
        <v>52.0</v>
      </c>
      <c r="O117" s="36">
        <v>23.0</v>
      </c>
      <c r="P117" s="36">
        <v>56.0</v>
      </c>
      <c r="Q117" s="36">
        <v>0.38</v>
      </c>
      <c r="R117" s="36">
        <v>0.99</v>
      </c>
      <c r="S117" s="36">
        <v>1.63</v>
      </c>
      <c r="T117" s="36">
        <v>2.62</v>
      </c>
      <c r="U117" s="21">
        <f t="shared" si="1"/>
        <v>2620</v>
      </c>
      <c r="V117" s="21">
        <f t="shared" si="2"/>
        <v>900</v>
      </c>
      <c r="Y117" s="45"/>
      <c r="Z117" s="36"/>
    </row>
    <row r="118" ht="14.25" customHeight="1">
      <c r="A118" s="38">
        <v>0.33958333333333335</v>
      </c>
      <c r="B118" s="36">
        <v>149.0</v>
      </c>
      <c r="C118" s="36">
        <v>22.5</v>
      </c>
      <c r="D118" s="36">
        <v>1443.0</v>
      </c>
      <c r="E118" s="36">
        <v>1185.0</v>
      </c>
      <c r="F118" s="36">
        <v>0.82</v>
      </c>
      <c r="G118" s="36">
        <v>23.0</v>
      </c>
      <c r="H118" s="36">
        <v>1.22</v>
      </c>
      <c r="I118" s="36">
        <v>28.1</v>
      </c>
      <c r="J118" s="36">
        <v>83.1</v>
      </c>
      <c r="K118" s="36">
        <v>123.0</v>
      </c>
      <c r="L118" s="36">
        <v>37.0</v>
      </c>
      <c r="M118" s="36">
        <v>94.0</v>
      </c>
      <c r="N118" s="36">
        <v>51.0</v>
      </c>
      <c r="O118" s="36">
        <v>23.0</v>
      </c>
      <c r="P118" s="36">
        <v>54.0</v>
      </c>
      <c r="Q118" s="36">
        <v>0.37</v>
      </c>
      <c r="R118" s="36">
        <v>0.97</v>
      </c>
      <c r="S118" s="36">
        <v>1.63</v>
      </c>
      <c r="T118" s="36">
        <v>2.59</v>
      </c>
      <c r="U118" s="21">
        <f t="shared" si="1"/>
        <v>2590</v>
      </c>
      <c r="V118" s="21">
        <f t="shared" si="2"/>
        <v>100</v>
      </c>
      <c r="Y118" s="45"/>
      <c r="Z118" s="36"/>
    </row>
    <row r="119" ht="14.25" customHeight="1">
      <c r="A119" s="38">
        <v>0.34097222222222223</v>
      </c>
      <c r="B119" s="36">
        <v>150.0</v>
      </c>
      <c r="C119" s="36">
        <v>22.6</v>
      </c>
      <c r="D119" s="36">
        <v>1449.0</v>
      </c>
      <c r="E119" s="36">
        <v>1197.0</v>
      </c>
      <c r="F119" s="36">
        <v>0.83</v>
      </c>
      <c r="G119" s="36">
        <v>23.0</v>
      </c>
      <c r="H119" s="36">
        <v>1.22</v>
      </c>
      <c r="I119" s="36">
        <v>28.3</v>
      </c>
      <c r="J119" s="36">
        <v>83.0</v>
      </c>
      <c r="K119" s="36">
        <v>124.0</v>
      </c>
      <c r="L119" s="36">
        <v>36.6</v>
      </c>
      <c r="M119" s="36">
        <v>94.0</v>
      </c>
      <c r="N119" s="36">
        <v>51.0</v>
      </c>
      <c r="O119" s="36">
        <v>23.0</v>
      </c>
      <c r="P119" s="36">
        <v>55.0</v>
      </c>
      <c r="Q119" s="36">
        <v>0.37</v>
      </c>
      <c r="R119" s="36">
        <v>0.95</v>
      </c>
      <c r="S119" s="36">
        <v>1.63</v>
      </c>
      <c r="T119" s="36">
        <v>2.58</v>
      </c>
      <c r="U119" s="21">
        <f t="shared" si="1"/>
        <v>2580</v>
      </c>
      <c r="V119" s="21">
        <f t="shared" si="2"/>
        <v>400</v>
      </c>
      <c r="Y119" s="45"/>
      <c r="Z119" s="36"/>
    </row>
    <row r="120" ht="14.25" customHeight="1">
      <c r="A120" s="38">
        <v>0.34305555555555556</v>
      </c>
      <c r="B120" s="36">
        <v>152.0</v>
      </c>
      <c r="C120" s="36">
        <v>22.2</v>
      </c>
      <c r="D120" s="36">
        <v>1419.0</v>
      </c>
      <c r="E120" s="36">
        <v>1181.0</v>
      </c>
      <c r="F120" s="36">
        <v>0.83</v>
      </c>
      <c r="G120" s="36">
        <v>23.0</v>
      </c>
      <c r="H120" s="36">
        <v>1.2</v>
      </c>
      <c r="I120" s="36">
        <v>28.1</v>
      </c>
      <c r="J120" s="36">
        <v>83.2</v>
      </c>
      <c r="K120" s="36">
        <v>124.0</v>
      </c>
      <c r="L120" s="36">
        <v>36.3</v>
      </c>
      <c r="M120" s="36">
        <v>95.0</v>
      </c>
      <c r="N120" s="36">
        <v>52.0</v>
      </c>
      <c r="O120" s="36">
        <v>23.0</v>
      </c>
      <c r="P120" s="36">
        <v>54.0</v>
      </c>
      <c r="Q120" s="36">
        <v>0.37</v>
      </c>
      <c r="R120" s="36">
        <v>0.95</v>
      </c>
      <c r="S120" s="36">
        <v>1.61</v>
      </c>
      <c r="T120" s="36">
        <v>2.56</v>
      </c>
      <c r="U120" s="21">
        <f t="shared" si="1"/>
        <v>2560</v>
      </c>
      <c r="V120" s="21">
        <f t="shared" si="2"/>
        <v>400</v>
      </c>
      <c r="Y120" s="45"/>
      <c r="Z120" s="36"/>
    </row>
    <row r="121" ht="14.25" customHeight="1">
      <c r="A121" s="38">
        <v>0.34444444444444444</v>
      </c>
      <c r="B121" s="36">
        <v>153.0</v>
      </c>
      <c r="C121" s="36">
        <v>21.9</v>
      </c>
      <c r="D121" s="36">
        <v>1401.0</v>
      </c>
      <c r="E121" s="36">
        <v>1169.0</v>
      </c>
      <c r="F121" s="36">
        <v>0.83</v>
      </c>
      <c r="G121" s="36">
        <v>24.0</v>
      </c>
      <c r="H121" s="36">
        <v>1.18</v>
      </c>
      <c r="I121" s="36">
        <v>27.9</v>
      </c>
      <c r="J121" s="36">
        <v>83.3</v>
      </c>
      <c r="K121" s="36">
        <v>124.0</v>
      </c>
      <c r="L121" s="36">
        <v>36.3</v>
      </c>
      <c r="M121" s="36">
        <v>95.0</v>
      </c>
      <c r="N121" s="36">
        <v>52.0</v>
      </c>
      <c r="O121" s="36">
        <v>24.0</v>
      </c>
      <c r="P121" s="36">
        <v>53.0</v>
      </c>
      <c r="Q121" s="36">
        <v>0.37</v>
      </c>
      <c r="R121" s="36">
        <v>0.94</v>
      </c>
      <c r="S121" s="36">
        <v>1.6</v>
      </c>
      <c r="T121" s="36">
        <v>2.54</v>
      </c>
      <c r="U121" s="21">
        <f t="shared" si="1"/>
        <v>2540</v>
      </c>
      <c r="V121" s="21">
        <f t="shared" si="2"/>
        <v>900</v>
      </c>
      <c r="Y121" s="45"/>
      <c r="Z121" s="36"/>
    </row>
    <row r="122" ht="14.25" customHeight="1">
      <c r="A122" s="38">
        <v>0.34652777777777777</v>
      </c>
      <c r="B122" s="36">
        <v>154.0</v>
      </c>
      <c r="C122" s="36">
        <v>21.8</v>
      </c>
      <c r="D122" s="36">
        <v>1395.0</v>
      </c>
      <c r="E122" s="36">
        <v>1174.0</v>
      </c>
      <c r="F122" s="36">
        <v>0.84</v>
      </c>
      <c r="G122" s="36">
        <v>23.0</v>
      </c>
      <c r="H122" s="36">
        <v>1.19</v>
      </c>
      <c r="I122" s="36">
        <v>27.9</v>
      </c>
      <c r="J122" s="36">
        <v>83.3</v>
      </c>
      <c r="K122" s="36">
        <v>124.0</v>
      </c>
      <c r="L122" s="36">
        <v>36.4</v>
      </c>
      <c r="M122" s="36">
        <v>95.0</v>
      </c>
      <c r="N122" s="36">
        <v>52.0</v>
      </c>
      <c r="O122" s="36">
        <v>23.0</v>
      </c>
      <c r="P122" s="36">
        <v>53.0</v>
      </c>
      <c r="Q122" s="36">
        <v>0.37</v>
      </c>
      <c r="R122" s="36">
        <v>0.95</v>
      </c>
      <c r="S122" s="36">
        <v>1.61</v>
      </c>
      <c r="T122" s="36">
        <v>2.57</v>
      </c>
      <c r="U122" s="21">
        <f t="shared" si="1"/>
        <v>2570</v>
      </c>
      <c r="V122" s="21">
        <f t="shared" si="2"/>
        <v>0</v>
      </c>
      <c r="Y122" s="45"/>
      <c r="Z122" s="36"/>
    </row>
    <row r="123" ht="14.25" customHeight="1">
      <c r="A123" s="38">
        <v>0.3486111111111111</v>
      </c>
      <c r="B123" s="36">
        <v>155.0</v>
      </c>
      <c r="C123" s="36">
        <v>21.0</v>
      </c>
      <c r="D123" s="36">
        <v>1346.0</v>
      </c>
      <c r="E123" s="36">
        <v>1139.0</v>
      </c>
      <c r="F123" s="36">
        <v>0.85</v>
      </c>
      <c r="G123" s="36">
        <v>23.0</v>
      </c>
      <c r="H123" s="36">
        <v>1.17</v>
      </c>
      <c r="I123" s="36">
        <v>27.3</v>
      </c>
      <c r="J123" s="36">
        <v>83.6</v>
      </c>
      <c r="K123" s="36">
        <v>124.0</v>
      </c>
      <c r="L123" s="36">
        <v>36.3</v>
      </c>
      <c r="M123" s="36">
        <v>95.0</v>
      </c>
      <c r="N123" s="36">
        <v>52.0</v>
      </c>
      <c r="O123" s="36">
        <v>23.0</v>
      </c>
      <c r="P123" s="36">
        <v>51.0</v>
      </c>
      <c r="Q123" s="36">
        <v>0.38</v>
      </c>
      <c r="R123" s="36">
        <v>0.97</v>
      </c>
      <c r="S123" s="36">
        <v>1.6</v>
      </c>
      <c r="T123" s="36">
        <v>2.57</v>
      </c>
      <c r="U123" s="21">
        <f t="shared" si="1"/>
        <v>2570</v>
      </c>
      <c r="V123" s="21">
        <f t="shared" si="2"/>
        <v>12100</v>
      </c>
      <c r="Y123" s="45"/>
      <c r="Z123" s="36"/>
    </row>
    <row r="124" ht="14.25" customHeight="1">
      <c r="A124" s="38">
        <v>0.35</v>
      </c>
      <c r="B124" s="36">
        <v>155.0</v>
      </c>
      <c r="C124" s="36">
        <v>21.2</v>
      </c>
      <c r="D124" s="36">
        <v>1355.0</v>
      </c>
      <c r="E124" s="36">
        <v>1150.0</v>
      </c>
      <c r="F124" s="36">
        <v>0.85</v>
      </c>
      <c r="G124" s="36">
        <v>24.0</v>
      </c>
      <c r="H124" s="36">
        <v>1.13</v>
      </c>
      <c r="I124" s="36">
        <v>27.6</v>
      </c>
      <c r="J124" s="36">
        <v>83.4</v>
      </c>
      <c r="K124" s="36">
        <v>124.0</v>
      </c>
      <c r="L124" s="36">
        <v>36.6</v>
      </c>
      <c r="M124" s="36">
        <v>95.0</v>
      </c>
      <c r="N124" s="36">
        <v>52.0</v>
      </c>
      <c r="O124" s="36">
        <v>24.0</v>
      </c>
      <c r="P124" s="36">
        <v>51.0</v>
      </c>
      <c r="Q124" s="36">
        <v>0.37</v>
      </c>
      <c r="R124" s="36">
        <v>0.92</v>
      </c>
      <c r="S124" s="36">
        <v>1.54</v>
      </c>
      <c r="T124" s="36">
        <v>2.46</v>
      </c>
      <c r="U124" s="21">
        <f t="shared" si="1"/>
        <v>2460</v>
      </c>
      <c r="V124" s="21">
        <f t="shared" si="2"/>
        <v>900</v>
      </c>
      <c r="Y124" s="45"/>
      <c r="Z124" s="36"/>
    </row>
    <row r="125" ht="14.25" customHeight="1">
      <c r="A125" s="38">
        <v>0.35138888888888886</v>
      </c>
      <c r="B125" s="36">
        <v>157.0</v>
      </c>
      <c r="C125" s="36">
        <v>21.7</v>
      </c>
      <c r="D125" s="36">
        <v>1387.0</v>
      </c>
      <c r="E125" s="36">
        <v>1181.0</v>
      </c>
      <c r="F125" s="36">
        <v>0.85</v>
      </c>
      <c r="G125" s="36">
        <v>25.0</v>
      </c>
      <c r="H125" s="36">
        <v>1.15</v>
      </c>
      <c r="I125" s="36">
        <v>28.3</v>
      </c>
      <c r="J125" s="36">
        <v>83.0</v>
      </c>
      <c r="K125" s="36">
        <v>123.0</v>
      </c>
      <c r="L125" s="36">
        <v>36.7</v>
      </c>
      <c r="M125" s="36">
        <v>95.0</v>
      </c>
      <c r="N125" s="36">
        <v>52.0</v>
      </c>
      <c r="O125" s="36">
        <v>25.0</v>
      </c>
      <c r="P125" s="36">
        <v>52.0</v>
      </c>
      <c r="Q125" s="36">
        <v>0.37</v>
      </c>
      <c r="R125" s="36">
        <v>0.9</v>
      </c>
      <c r="S125" s="36">
        <v>1.53</v>
      </c>
      <c r="T125" s="36">
        <v>2.43</v>
      </c>
      <c r="U125" s="21">
        <f t="shared" si="1"/>
        <v>2430</v>
      </c>
      <c r="V125" s="21">
        <f t="shared" si="2"/>
        <v>0</v>
      </c>
      <c r="Y125" s="45"/>
      <c r="Z125" s="36"/>
    </row>
    <row r="126" ht="14.25" customHeight="1">
      <c r="A126" s="38">
        <v>0.3527777777777778</v>
      </c>
      <c r="B126" s="36">
        <v>158.0</v>
      </c>
      <c r="C126" s="36">
        <v>21.6</v>
      </c>
      <c r="D126" s="36">
        <v>1381.0</v>
      </c>
      <c r="E126" s="36">
        <v>1178.0</v>
      </c>
      <c r="F126" s="36">
        <v>0.85</v>
      </c>
      <c r="G126" s="36">
        <v>25.0</v>
      </c>
      <c r="H126" s="36">
        <v>1.14</v>
      </c>
      <c r="I126" s="36">
        <v>28.1</v>
      </c>
      <c r="J126" s="36">
        <v>83.1</v>
      </c>
      <c r="K126" s="36">
        <v>123.0</v>
      </c>
      <c r="L126" s="36">
        <v>36.7</v>
      </c>
      <c r="M126" s="36">
        <v>95.0</v>
      </c>
      <c r="N126" s="36">
        <v>52.0</v>
      </c>
      <c r="O126" s="36">
        <v>25.0</v>
      </c>
      <c r="P126" s="36">
        <v>52.0</v>
      </c>
      <c r="Q126" s="36">
        <v>0.37</v>
      </c>
      <c r="R126" s="36">
        <v>0.91</v>
      </c>
      <c r="S126" s="36">
        <v>1.53</v>
      </c>
      <c r="T126" s="36">
        <v>2.43</v>
      </c>
      <c r="U126" s="21">
        <f t="shared" si="1"/>
        <v>2430</v>
      </c>
      <c r="V126" s="21">
        <f t="shared" si="2"/>
        <v>3600</v>
      </c>
      <c r="Y126" s="45"/>
      <c r="Z126" s="36"/>
    </row>
    <row r="127" ht="14.25" customHeight="1">
      <c r="A127" s="38">
        <v>0.3548611111111111</v>
      </c>
      <c r="B127" s="36">
        <v>158.0</v>
      </c>
      <c r="C127" s="36">
        <v>21.9</v>
      </c>
      <c r="D127" s="36">
        <v>1404.0</v>
      </c>
      <c r="E127" s="36">
        <v>1200.0</v>
      </c>
      <c r="F127" s="36">
        <v>0.85</v>
      </c>
      <c r="G127" s="36">
        <v>25.0</v>
      </c>
      <c r="H127" s="36">
        <v>1.13</v>
      </c>
      <c r="I127" s="36">
        <v>28.6</v>
      </c>
      <c r="J127" s="36">
        <v>82.9</v>
      </c>
      <c r="K127" s="36">
        <v>123.0</v>
      </c>
      <c r="L127" s="36">
        <v>37.1</v>
      </c>
      <c r="M127" s="36">
        <v>94.0</v>
      </c>
      <c r="N127" s="36">
        <v>53.0</v>
      </c>
      <c r="O127" s="36">
        <v>25.0</v>
      </c>
      <c r="P127" s="36">
        <v>53.0</v>
      </c>
      <c r="Q127" s="36">
        <v>0.37</v>
      </c>
      <c r="R127" s="36">
        <v>0.88</v>
      </c>
      <c r="S127" s="36">
        <v>1.5</v>
      </c>
      <c r="T127" s="36">
        <v>2.37</v>
      </c>
      <c r="U127" s="21">
        <f t="shared" si="1"/>
        <v>2370</v>
      </c>
      <c r="V127" s="21">
        <f t="shared" si="2"/>
        <v>100</v>
      </c>
      <c r="Y127" s="45"/>
      <c r="Z127" s="36"/>
    </row>
    <row r="128" ht="14.25" customHeight="1">
      <c r="A128" s="38">
        <v>0.35625</v>
      </c>
      <c r="B128" s="36">
        <v>159.0</v>
      </c>
      <c r="C128" s="36">
        <v>22.3</v>
      </c>
      <c r="D128" s="36">
        <v>1430.0</v>
      </c>
      <c r="E128" s="36">
        <v>1226.0</v>
      </c>
      <c r="F128" s="36">
        <v>0.86</v>
      </c>
      <c r="G128" s="36">
        <v>25.0</v>
      </c>
      <c r="H128" s="36">
        <v>1.15</v>
      </c>
      <c r="I128" s="36">
        <v>29.0</v>
      </c>
      <c r="J128" s="36">
        <v>82.6</v>
      </c>
      <c r="K128" s="36">
        <v>123.0</v>
      </c>
      <c r="L128" s="36">
        <v>37.1</v>
      </c>
      <c r="M128" s="36">
        <v>95.0</v>
      </c>
      <c r="N128" s="36">
        <v>53.0</v>
      </c>
      <c r="O128" s="36">
        <v>25.0</v>
      </c>
      <c r="P128" s="36">
        <v>54.0</v>
      </c>
      <c r="Q128" s="36">
        <v>0.38</v>
      </c>
      <c r="R128" s="36">
        <v>0.89</v>
      </c>
      <c r="S128" s="36">
        <v>1.48</v>
      </c>
      <c r="T128" s="36">
        <v>2.38</v>
      </c>
      <c r="U128" s="21">
        <f t="shared" si="1"/>
        <v>2380</v>
      </c>
      <c r="V128" s="21">
        <f t="shared" si="2"/>
        <v>2500</v>
      </c>
      <c r="Y128" s="45"/>
      <c r="Z128" s="36"/>
    </row>
    <row r="129" ht="14.25" customHeight="1">
      <c r="A129" s="38">
        <v>0.3576388888888889</v>
      </c>
      <c r="B129" s="36">
        <v>160.0</v>
      </c>
      <c r="C129" s="36">
        <v>22.8</v>
      </c>
      <c r="D129" s="36">
        <v>1458.0</v>
      </c>
      <c r="E129" s="36">
        <v>1252.0</v>
      </c>
      <c r="F129" s="36">
        <v>0.86</v>
      </c>
      <c r="G129" s="36">
        <v>26.0</v>
      </c>
      <c r="H129" s="36">
        <v>1.15</v>
      </c>
      <c r="I129" s="36">
        <v>29.5</v>
      </c>
      <c r="J129" s="36">
        <v>82.3</v>
      </c>
      <c r="K129" s="36">
        <v>123.0</v>
      </c>
      <c r="L129" s="36">
        <v>36.8</v>
      </c>
      <c r="M129" s="36">
        <v>95.0</v>
      </c>
      <c r="N129" s="36">
        <v>53.0</v>
      </c>
      <c r="O129" s="36">
        <v>26.0</v>
      </c>
      <c r="P129" s="36">
        <v>55.0</v>
      </c>
      <c r="Q129" s="36">
        <v>0.38</v>
      </c>
      <c r="R129" s="36">
        <v>0.9</v>
      </c>
      <c r="S129" s="36">
        <v>1.44</v>
      </c>
      <c r="T129" s="36">
        <v>2.33</v>
      </c>
      <c r="U129" s="21">
        <f t="shared" si="1"/>
        <v>2330</v>
      </c>
      <c r="V129" s="21">
        <f t="shared" si="2"/>
        <v>4900</v>
      </c>
      <c r="Y129" s="45"/>
      <c r="Z129" s="36"/>
    </row>
    <row r="130" ht="14.25" customHeight="1">
      <c r="A130" s="38">
        <v>0.3590277777777778</v>
      </c>
      <c r="B130" s="36">
        <v>161.0</v>
      </c>
      <c r="C130" s="36">
        <v>23.4</v>
      </c>
      <c r="D130" s="36">
        <v>1498.0</v>
      </c>
      <c r="E130" s="36">
        <v>1285.0</v>
      </c>
      <c r="F130" s="36">
        <v>0.86</v>
      </c>
      <c r="G130" s="36">
        <v>27.0</v>
      </c>
      <c r="H130" s="36">
        <v>1.14</v>
      </c>
      <c r="I130" s="36">
        <v>30.4</v>
      </c>
      <c r="J130" s="36">
        <v>81.8</v>
      </c>
      <c r="K130" s="36">
        <v>123.0</v>
      </c>
      <c r="L130" s="36">
        <v>37.0</v>
      </c>
      <c r="M130" s="36">
        <v>95.0</v>
      </c>
      <c r="N130" s="36">
        <v>53.0</v>
      </c>
      <c r="O130" s="36">
        <v>27.0</v>
      </c>
      <c r="P130" s="36">
        <v>56.0</v>
      </c>
      <c r="Q130" s="36">
        <v>0.38</v>
      </c>
      <c r="R130" s="36">
        <v>0.86</v>
      </c>
      <c r="S130" s="36">
        <v>1.4</v>
      </c>
      <c r="T130" s="36">
        <v>2.26</v>
      </c>
      <c r="U130" s="21">
        <f t="shared" si="1"/>
        <v>2260</v>
      </c>
      <c r="V130" s="21">
        <f t="shared" si="2"/>
        <v>0</v>
      </c>
      <c r="Y130" s="45"/>
      <c r="Z130" s="36"/>
    </row>
    <row r="131" ht="14.25" customHeight="1">
      <c r="A131" s="38">
        <v>0.3611111111111111</v>
      </c>
      <c r="B131" s="36">
        <v>162.0</v>
      </c>
      <c r="C131" s="36">
        <v>23.7</v>
      </c>
      <c r="D131" s="36">
        <v>1514.0</v>
      </c>
      <c r="E131" s="36">
        <v>1305.0</v>
      </c>
      <c r="F131" s="36">
        <v>0.86</v>
      </c>
      <c r="G131" s="36">
        <v>27.0</v>
      </c>
      <c r="H131" s="36">
        <v>1.16</v>
      </c>
      <c r="I131" s="36">
        <v>30.7</v>
      </c>
      <c r="J131" s="36">
        <v>81.6</v>
      </c>
      <c r="K131" s="36">
        <v>123.0</v>
      </c>
      <c r="L131" s="36">
        <v>36.8</v>
      </c>
      <c r="M131" s="36">
        <v>95.0</v>
      </c>
      <c r="N131" s="36">
        <v>53.0</v>
      </c>
      <c r="O131" s="36">
        <v>27.0</v>
      </c>
      <c r="P131" s="36">
        <v>57.0</v>
      </c>
      <c r="Q131" s="36">
        <v>0.38</v>
      </c>
      <c r="R131" s="36">
        <v>0.86</v>
      </c>
      <c r="S131" s="36">
        <v>1.4</v>
      </c>
      <c r="T131" s="36">
        <v>2.26</v>
      </c>
      <c r="U131" s="21">
        <f t="shared" si="1"/>
        <v>2260</v>
      </c>
      <c r="V131" s="21">
        <f t="shared" si="2"/>
        <v>400</v>
      </c>
      <c r="Y131" s="45"/>
      <c r="Z131" s="36"/>
    </row>
    <row r="132" ht="14.25" customHeight="1">
      <c r="A132" s="38">
        <v>0.3625</v>
      </c>
      <c r="B132" s="36">
        <v>163.0</v>
      </c>
      <c r="C132" s="36">
        <v>23.8</v>
      </c>
      <c r="D132" s="36">
        <v>1523.0</v>
      </c>
      <c r="E132" s="36">
        <v>1324.0</v>
      </c>
      <c r="F132" s="36">
        <v>0.87</v>
      </c>
      <c r="G132" s="36">
        <v>26.0</v>
      </c>
      <c r="H132" s="36">
        <v>1.18</v>
      </c>
      <c r="I132" s="36">
        <v>30.9</v>
      </c>
      <c r="J132" s="36">
        <v>81.5</v>
      </c>
      <c r="K132" s="36">
        <v>123.0</v>
      </c>
      <c r="L132" s="36">
        <v>36.7</v>
      </c>
      <c r="M132" s="36">
        <v>95.0</v>
      </c>
      <c r="N132" s="36">
        <v>53.0</v>
      </c>
      <c r="O132" s="36">
        <v>26.0</v>
      </c>
      <c r="P132" s="36">
        <v>57.0</v>
      </c>
      <c r="Q132" s="36">
        <v>0.38</v>
      </c>
      <c r="R132" s="36">
        <v>0.87</v>
      </c>
      <c r="S132" s="36">
        <v>1.41</v>
      </c>
      <c r="T132" s="36">
        <v>2.28</v>
      </c>
      <c r="U132" s="21">
        <f t="shared" si="1"/>
        <v>2280</v>
      </c>
      <c r="V132" s="21">
        <f t="shared" si="2"/>
        <v>0</v>
      </c>
      <c r="Y132" s="45"/>
      <c r="Z132" s="36"/>
    </row>
    <row r="133" ht="14.25" customHeight="1">
      <c r="A133" s="38">
        <v>0.3638888888888889</v>
      </c>
      <c r="B133" s="36">
        <v>164.0</v>
      </c>
      <c r="C133" s="36">
        <v>23.9</v>
      </c>
      <c r="D133" s="36">
        <v>1528.0</v>
      </c>
      <c r="E133" s="36">
        <v>1336.0</v>
      </c>
      <c r="F133" s="36">
        <v>0.87</v>
      </c>
      <c r="G133" s="36">
        <v>26.0</v>
      </c>
      <c r="H133" s="36">
        <v>1.18</v>
      </c>
      <c r="I133" s="36">
        <v>31.1</v>
      </c>
      <c r="J133" s="36">
        <v>81.3</v>
      </c>
      <c r="K133" s="36">
        <v>123.0</v>
      </c>
      <c r="L133" s="36">
        <v>37.1</v>
      </c>
      <c r="M133" s="36">
        <v>95.0</v>
      </c>
      <c r="N133" s="36">
        <v>53.0</v>
      </c>
      <c r="O133" s="36">
        <v>26.0</v>
      </c>
      <c r="P133" s="36">
        <v>58.0</v>
      </c>
      <c r="Q133" s="36">
        <v>0.39</v>
      </c>
      <c r="R133" s="36">
        <v>0.88</v>
      </c>
      <c r="S133" s="36">
        <v>1.4</v>
      </c>
      <c r="T133" s="36">
        <v>2.28</v>
      </c>
      <c r="U133" s="21">
        <f t="shared" si="1"/>
        <v>2280</v>
      </c>
      <c r="V133" s="21">
        <f t="shared" si="2"/>
        <v>100</v>
      </c>
      <c r="Y133" s="45"/>
      <c r="Z133" s="36"/>
    </row>
    <row r="134" ht="14.25" customHeight="1">
      <c r="A134" s="38">
        <v>0.36527777777777776</v>
      </c>
      <c r="B134" s="36">
        <v>165.0</v>
      </c>
      <c r="C134" s="36">
        <v>24.2</v>
      </c>
      <c r="D134" s="36">
        <v>1550.0</v>
      </c>
      <c r="E134" s="36">
        <v>1359.0</v>
      </c>
      <c r="F134" s="36">
        <v>0.88</v>
      </c>
      <c r="G134" s="36">
        <v>26.0</v>
      </c>
      <c r="H134" s="36">
        <v>1.21</v>
      </c>
      <c r="I134" s="36">
        <v>31.6</v>
      </c>
      <c r="J134" s="36">
        <v>81.1</v>
      </c>
      <c r="K134" s="36">
        <v>124.0</v>
      </c>
      <c r="L134" s="36">
        <v>36.2</v>
      </c>
      <c r="M134" s="36">
        <v>95.0</v>
      </c>
      <c r="N134" s="36">
        <v>53.0</v>
      </c>
      <c r="O134" s="36">
        <v>26.0</v>
      </c>
      <c r="P134" s="36">
        <v>58.0</v>
      </c>
      <c r="Q134" s="36">
        <v>0.38</v>
      </c>
      <c r="R134" s="36">
        <v>0.88</v>
      </c>
      <c r="S134" s="36">
        <v>1.42</v>
      </c>
      <c r="T134" s="36">
        <v>2.29</v>
      </c>
      <c r="U134" s="21">
        <f t="shared" si="1"/>
        <v>2290</v>
      </c>
      <c r="V134" s="21">
        <f t="shared" si="2"/>
        <v>900</v>
      </c>
      <c r="Y134" s="45"/>
      <c r="Z134" s="36"/>
    </row>
    <row r="135" ht="14.25" customHeight="1">
      <c r="A135" s="38">
        <v>0.36736111111111114</v>
      </c>
      <c r="B135" s="36">
        <v>166.0</v>
      </c>
      <c r="C135" s="36">
        <v>24.5</v>
      </c>
      <c r="D135" s="36">
        <v>1565.0</v>
      </c>
      <c r="E135" s="36">
        <v>1384.0</v>
      </c>
      <c r="F135" s="36">
        <v>0.88</v>
      </c>
      <c r="G135" s="36">
        <v>26.0</v>
      </c>
      <c r="H135" s="36">
        <v>1.24</v>
      </c>
      <c r="I135" s="36">
        <v>32.1</v>
      </c>
      <c r="J135" s="36">
        <v>80.8</v>
      </c>
      <c r="K135" s="36">
        <v>125.0</v>
      </c>
      <c r="L135" s="36">
        <v>35.8</v>
      </c>
      <c r="M135" s="36">
        <v>95.0</v>
      </c>
      <c r="N135" s="36">
        <v>53.0</v>
      </c>
      <c r="O135" s="36">
        <v>26.0</v>
      </c>
      <c r="P135" s="36">
        <v>59.0</v>
      </c>
      <c r="Q135" s="36">
        <v>0.38</v>
      </c>
      <c r="R135" s="36">
        <v>0.88</v>
      </c>
      <c r="S135" s="36">
        <v>1.44</v>
      </c>
      <c r="T135" s="36">
        <v>2.32</v>
      </c>
      <c r="U135" s="21">
        <f t="shared" si="1"/>
        <v>2320</v>
      </c>
      <c r="V135" s="21">
        <f t="shared" si="2"/>
        <v>0</v>
      </c>
      <c r="Y135" s="45"/>
      <c r="Z135" s="36"/>
    </row>
    <row r="136" ht="14.25" customHeight="1">
      <c r="A136" s="38">
        <v>0.36875</v>
      </c>
      <c r="B136" s="36">
        <v>167.0</v>
      </c>
      <c r="C136" s="36">
        <v>24.5</v>
      </c>
      <c r="D136" s="36">
        <v>1566.0</v>
      </c>
      <c r="E136" s="36">
        <v>1384.0</v>
      </c>
      <c r="F136" s="36">
        <v>0.88</v>
      </c>
      <c r="G136" s="36">
        <v>26.0</v>
      </c>
      <c r="H136" s="36">
        <v>1.24</v>
      </c>
      <c r="I136" s="36">
        <v>32.1</v>
      </c>
      <c r="J136" s="36">
        <v>80.8</v>
      </c>
      <c r="K136" s="36">
        <v>126.0</v>
      </c>
      <c r="L136" s="36">
        <v>35.2</v>
      </c>
      <c r="M136" s="36">
        <v>95.0</v>
      </c>
      <c r="N136" s="36">
        <v>53.0</v>
      </c>
      <c r="O136" s="36">
        <v>26.0</v>
      </c>
      <c r="P136" s="36">
        <v>59.0</v>
      </c>
      <c r="Q136" s="36">
        <v>0.38</v>
      </c>
      <c r="R136" s="36">
        <v>0.88</v>
      </c>
      <c r="S136" s="36">
        <v>1.44</v>
      </c>
      <c r="T136" s="36">
        <v>2.32</v>
      </c>
      <c r="U136" s="21">
        <f t="shared" si="1"/>
        <v>2320</v>
      </c>
      <c r="V136" s="21">
        <f t="shared" si="2"/>
        <v>2500</v>
      </c>
      <c r="Y136" s="45"/>
      <c r="Z136" s="36"/>
    </row>
    <row r="137" ht="14.25" customHeight="1">
      <c r="A137" s="38">
        <v>0.37083333333333335</v>
      </c>
      <c r="B137" s="36">
        <v>168.0</v>
      </c>
      <c r="C137" s="36">
        <v>24.4</v>
      </c>
      <c r="D137" s="36">
        <v>1564.0</v>
      </c>
      <c r="E137" s="36">
        <v>1396.0</v>
      </c>
      <c r="F137" s="36">
        <v>0.89</v>
      </c>
      <c r="G137" s="36">
        <v>25.0</v>
      </c>
      <c r="H137" s="36">
        <v>1.27</v>
      </c>
      <c r="I137" s="36">
        <v>32.0</v>
      </c>
      <c r="J137" s="36">
        <v>80.8</v>
      </c>
      <c r="K137" s="36">
        <v>127.0</v>
      </c>
      <c r="L137" s="36">
        <v>34.7</v>
      </c>
      <c r="M137" s="36">
        <v>96.0</v>
      </c>
      <c r="N137" s="36">
        <v>53.0</v>
      </c>
      <c r="O137" s="36">
        <v>25.0</v>
      </c>
      <c r="P137" s="36">
        <v>59.0</v>
      </c>
      <c r="Q137" s="36">
        <v>0.37</v>
      </c>
      <c r="R137" s="36">
        <v>0.89</v>
      </c>
      <c r="S137" s="36">
        <v>1.48</v>
      </c>
      <c r="T137" s="36">
        <v>2.37</v>
      </c>
      <c r="U137" s="21">
        <f t="shared" si="1"/>
        <v>2370</v>
      </c>
      <c r="V137" s="21">
        <f t="shared" si="2"/>
        <v>4900</v>
      </c>
      <c r="Y137" s="45"/>
      <c r="Z137" s="36"/>
    </row>
    <row r="138" ht="14.25" customHeight="1">
      <c r="A138" s="38">
        <v>0.37222222222222223</v>
      </c>
      <c r="B138" s="36">
        <v>169.0</v>
      </c>
      <c r="C138" s="36">
        <v>24.5</v>
      </c>
      <c r="D138" s="36">
        <v>1567.0</v>
      </c>
      <c r="E138" s="36">
        <v>1410.0</v>
      </c>
      <c r="F138" s="36">
        <v>0.9</v>
      </c>
      <c r="G138" s="36">
        <v>25.0</v>
      </c>
      <c r="H138" s="36">
        <v>1.31</v>
      </c>
      <c r="I138" s="36">
        <v>32.1</v>
      </c>
      <c r="J138" s="36">
        <v>80.7</v>
      </c>
      <c r="K138" s="36">
        <v>128.0</v>
      </c>
      <c r="L138" s="36">
        <v>34.4</v>
      </c>
      <c r="M138" s="36">
        <v>96.0</v>
      </c>
      <c r="N138" s="36">
        <v>54.0</v>
      </c>
      <c r="O138" s="36">
        <v>25.0</v>
      </c>
      <c r="P138" s="36">
        <v>59.0</v>
      </c>
      <c r="Q138" s="36">
        <v>0.38</v>
      </c>
      <c r="R138" s="36">
        <v>0.92</v>
      </c>
      <c r="S138" s="36">
        <v>1.51</v>
      </c>
      <c r="T138" s="36">
        <v>2.44</v>
      </c>
      <c r="U138" s="21">
        <f t="shared" si="1"/>
        <v>2440</v>
      </c>
      <c r="V138" s="21">
        <f t="shared" si="2"/>
        <v>32400</v>
      </c>
      <c r="Y138" s="45"/>
      <c r="Z138" s="36"/>
    </row>
    <row r="139" ht="14.25" customHeight="1">
      <c r="A139" s="38">
        <v>0.375</v>
      </c>
      <c r="B139" s="36">
        <v>170.0</v>
      </c>
      <c r="C139" s="36">
        <v>24.6</v>
      </c>
      <c r="D139" s="36">
        <v>1576.0</v>
      </c>
      <c r="E139" s="36">
        <v>1434.0</v>
      </c>
      <c r="F139" s="36">
        <v>0.91</v>
      </c>
      <c r="G139" s="36">
        <v>23.0</v>
      </c>
      <c r="H139" s="36">
        <v>1.41</v>
      </c>
      <c r="I139" s="36">
        <v>32.3</v>
      </c>
      <c r="J139" s="36">
        <v>80.6</v>
      </c>
      <c r="K139" s="36">
        <v>128.0</v>
      </c>
      <c r="L139" s="36">
        <v>34.3</v>
      </c>
      <c r="M139" s="36">
        <v>96.0</v>
      </c>
      <c r="N139" s="36">
        <v>54.0</v>
      </c>
      <c r="O139" s="36">
        <v>23.0</v>
      </c>
      <c r="P139" s="36">
        <v>59.0</v>
      </c>
      <c r="Q139" s="36">
        <v>0.38</v>
      </c>
      <c r="R139" s="36">
        <v>1.0</v>
      </c>
      <c r="S139" s="36">
        <v>1.61</v>
      </c>
      <c r="T139" s="36">
        <v>2.62</v>
      </c>
      <c r="U139" s="21">
        <f t="shared" si="1"/>
        <v>2620</v>
      </c>
      <c r="V139" s="21">
        <f t="shared" si="2"/>
        <v>3600</v>
      </c>
      <c r="Y139" s="45"/>
      <c r="Z139" s="36"/>
    </row>
    <row r="140" ht="14.25" customHeight="1">
      <c r="A140" s="38">
        <v>0.3763888888888889</v>
      </c>
      <c r="B140" s="36">
        <v>172.0</v>
      </c>
      <c r="C140" s="36">
        <v>24.4</v>
      </c>
      <c r="D140" s="36">
        <v>1562.0</v>
      </c>
      <c r="E140" s="36">
        <v>1433.0</v>
      </c>
      <c r="F140" s="36">
        <v>0.92</v>
      </c>
      <c r="G140" s="36">
        <v>22.0</v>
      </c>
      <c r="H140" s="36">
        <v>1.44</v>
      </c>
      <c r="I140" s="36">
        <v>32.2</v>
      </c>
      <c r="J140" s="36">
        <v>80.7</v>
      </c>
      <c r="K140" s="36">
        <v>128.0</v>
      </c>
      <c r="L140" s="36">
        <v>34.1</v>
      </c>
      <c r="M140" s="36">
        <v>96.0</v>
      </c>
      <c r="N140" s="36">
        <v>54.0</v>
      </c>
      <c r="O140" s="36">
        <v>22.0</v>
      </c>
      <c r="P140" s="36">
        <v>59.0</v>
      </c>
      <c r="Q140" s="36">
        <v>0.38</v>
      </c>
      <c r="R140" s="36">
        <v>1.02</v>
      </c>
      <c r="S140" s="36">
        <v>1.67</v>
      </c>
      <c r="T140" s="36">
        <v>2.68</v>
      </c>
      <c r="U140" s="21">
        <f t="shared" si="1"/>
        <v>2680</v>
      </c>
      <c r="V140" s="21">
        <f t="shared" si="2"/>
        <v>0</v>
      </c>
      <c r="Y140" s="45"/>
      <c r="Z140" s="36"/>
    </row>
    <row r="141" ht="14.25" customHeight="1">
      <c r="A141" s="38">
        <v>0.37777777777777777</v>
      </c>
      <c r="B141" s="36">
        <v>172.0</v>
      </c>
      <c r="C141" s="36">
        <v>24.4</v>
      </c>
      <c r="D141" s="36">
        <v>1562.0</v>
      </c>
      <c r="E141" s="36">
        <v>1433.0</v>
      </c>
      <c r="F141" s="36">
        <v>0.92</v>
      </c>
      <c r="G141" s="36">
        <v>22.0</v>
      </c>
      <c r="H141" s="36">
        <v>1.44</v>
      </c>
      <c r="I141" s="36">
        <v>32.2</v>
      </c>
      <c r="J141" s="36">
        <v>80.7</v>
      </c>
      <c r="K141" s="36">
        <v>128.0</v>
      </c>
      <c r="L141" s="36">
        <v>34.1</v>
      </c>
      <c r="M141" s="36">
        <v>96.0</v>
      </c>
      <c r="N141" s="36">
        <v>54.0</v>
      </c>
      <c r="O141" s="36">
        <v>22.0</v>
      </c>
      <c r="P141" s="36">
        <v>59.0</v>
      </c>
      <c r="Q141" s="36">
        <v>0.38</v>
      </c>
      <c r="R141" s="36">
        <v>1.02</v>
      </c>
      <c r="S141" s="36">
        <v>1.67</v>
      </c>
      <c r="T141" s="36">
        <v>2.68</v>
      </c>
      <c r="U141" s="21">
        <f t="shared" si="1"/>
        <v>2680</v>
      </c>
      <c r="V141" s="21">
        <f t="shared" si="2"/>
        <v>900</v>
      </c>
      <c r="Y141" s="45"/>
      <c r="Z141" s="36"/>
    </row>
    <row r="142" ht="14.25" customHeight="1">
      <c r="A142" s="38">
        <v>0.3798611111111111</v>
      </c>
      <c r="B142" s="36">
        <v>173.0</v>
      </c>
      <c r="C142" s="36">
        <v>24.7</v>
      </c>
      <c r="D142" s="36">
        <v>1578.0</v>
      </c>
      <c r="E142" s="36">
        <v>1449.0</v>
      </c>
      <c r="F142" s="36">
        <v>0.92</v>
      </c>
      <c r="G142" s="36">
        <v>23.0</v>
      </c>
      <c r="H142" s="36">
        <v>1.43</v>
      </c>
      <c r="I142" s="36">
        <v>32.3</v>
      </c>
      <c r="J142" s="36">
        <v>80.7</v>
      </c>
      <c r="K142" s="36">
        <v>129.0</v>
      </c>
      <c r="L142" s="36">
        <v>34.0</v>
      </c>
      <c r="M142" s="36">
        <v>95.0</v>
      </c>
      <c r="N142" s="36">
        <v>55.0</v>
      </c>
      <c r="O142" s="36">
        <v>23.0</v>
      </c>
      <c r="P142" s="36">
        <v>60.0</v>
      </c>
      <c r="Q142" s="36">
        <v>0.38</v>
      </c>
      <c r="R142" s="36">
        <v>1.0</v>
      </c>
      <c r="S142" s="36">
        <v>1.65</v>
      </c>
      <c r="T142" s="36">
        <v>2.65</v>
      </c>
      <c r="U142" s="21">
        <f t="shared" si="1"/>
        <v>2650</v>
      </c>
      <c r="V142" s="21">
        <f t="shared" si="2"/>
        <v>400</v>
      </c>
      <c r="Y142" s="45"/>
      <c r="Z142" s="36"/>
    </row>
    <row r="143" ht="14.25" customHeight="1">
      <c r="A143" s="38">
        <v>0.38125</v>
      </c>
      <c r="B143" s="36">
        <v>175.0</v>
      </c>
      <c r="C143" s="36">
        <v>24.8</v>
      </c>
      <c r="D143" s="36">
        <v>1589.0</v>
      </c>
      <c r="E143" s="36">
        <v>1457.0</v>
      </c>
      <c r="F143" s="36">
        <v>0.92</v>
      </c>
      <c r="G143" s="36">
        <v>23.0</v>
      </c>
      <c r="H143" s="36">
        <v>1.42</v>
      </c>
      <c r="I143" s="36">
        <v>32.5</v>
      </c>
      <c r="J143" s="36">
        <v>80.5</v>
      </c>
      <c r="K143" s="36">
        <v>128.0</v>
      </c>
      <c r="L143" s="36">
        <v>34.1</v>
      </c>
      <c r="M143" s="36">
        <v>96.0</v>
      </c>
      <c r="N143" s="36">
        <v>54.0</v>
      </c>
      <c r="O143" s="36">
        <v>23.0</v>
      </c>
      <c r="P143" s="36">
        <v>60.0</v>
      </c>
      <c r="Q143" s="36">
        <v>0.39</v>
      </c>
      <c r="R143" s="36">
        <v>1.01</v>
      </c>
      <c r="S143" s="36">
        <v>1.62</v>
      </c>
      <c r="T143" s="36">
        <v>2.63</v>
      </c>
      <c r="U143" s="21">
        <f t="shared" si="1"/>
        <v>2630</v>
      </c>
      <c r="V143" s="21">
        <f t="shared" si="2"/>
        <v>4900</v>
      </c>
      <c r="Y143" s="45"/>
      <c r="Z143" s="36"/>
    </row>
    <row r="144" ht="14.25" customHeight="1">
      <c r="A144" s="38">
        <v>0.38263888888888886</v>
      </c>
      <c r="B144" s="36">
        <v>175.0</v>
      </c>
      <c r="C144" s="36">
        <v>24.9</v>
      </c>
      <c r="D144" s="36">
        <v>1592.0</v>
      </c>
      <c r="E144" s="36">
        <v>1458.0</v>
      </c>
      <c r="F144" s="36">
        <v>0.92</v>
      </c>
      <c r="G144" s="36">
        <v>23.0</v>
      </c>
      <c r="H144" s="36">
        <v>1.39</v>
      </c>
      <c r="I144" s="36">
        <v>32.6</v>
      </c>
      <c r="J144" s="36">
        <v>80.4</v>
      </c>
      <c r="K144" s="36">
        <v>128.0</v>
      </c>
      <c r="L144" s="36">
        <v>34.1</v>
      </c>
      <c r="M144" s="36">
        <v>96.0</v>
      </c>
      <c r="N144" s="36">
        <v>54.0</v>
      </c>
      <c r="O144" s="36">
        <v>23.0</v>
      </c>
      <c r="P144" s="36">
        <v>60.0</v>
      </c>
      <c r="Q144" s="36">
        <v>0.39</v>
      </c>
      <c r="R144" s="36">
        <v>1.0</v>
      </c>
      <c r="S144" s="36">
        <v>1.56</v>
      </c>
      <c r="T144" s="36">
        <v>2.56</v>
      </c>
      <c r="U144" s="21">
        <f t="shared" si="1"/>
        <v>2560</v>
      </c>
      <c r="V144" s="21">
        <f t="shared" si="2"/>
        <v>2500</v>
      </c>
      <c r="Y144" s="45"/>
      <c r="Z144" s="36"/>
    </row>
    <row r="145" ht="14.25" customHeight="1">
      <c r="A145" s="38">
        <v>0.38472222222222224</v>
      </c>
      <c r="B145" s="36">
        <v>176.0</v>
      </c>
      <c r="C145" s="36">
        <v>24.7</v>
      </c>
      <c r="D145" s="36">
        <v>1579.0</v>
      </c>
      <c r="E145" s="36">
        <v>1450.0</v>
      </c>
      <c r="F145" s="36">
        <v>0.92</v>
      </c>
      <c r="G145" s="36">
        <v>24.0</v>
      </c>
      <c r="H145" s="36">
        <v>1.36</v>
      </c>
      <c r="I145" s="36">
        <v>32.5</v>
      </c>
      <c r="J145" s="36">
        <v>80.5</v>
      </c>
      <c r="K145" s="36">
        <v>128.0</v>
      </c>
      <c r="L145" s="36">
        <v>34.3</v>
      </c>
      <c r="M145" s="36">
        <v>96.0</v>
      </c>
      <c r="N145" s="36">
        <v>55.0</v>
      </c>
      <c r="O145" s="36">
        <v>24.0</v>
      </c>
      <c r="P145" s="36">
        <v>60.0</v>
      </c>
      <c r="Q145" s="36">
        <v>0.39</v>
      </c>
      <c r="R145" s="36">
        <v>0.97</v>
      </c>
      <c r="S145" s="36">
        <v>1.54</v>
      </c>
      <c r="T145" s="36">
        <v>2.51</v>
      </c>
      <c r="U145" s="21">
        <f t="shared" si="1"/>
        <v>2510</v>
      </c>
      <c r="V145" s="21">
        <f t="shared" si="2"/>
        <v>36100</v>
      </c>
      <c r="Y145" s="45"/>
      <c r="Z145" s="36"/>
    </row>
    <row r="146" ht="14.25" customHeight="1">
      <c r="A146" s="38">
        <v>0.3861111111111111</v>
      </c>
      <c r="B146" s="36">
        <v>177.0</v>
      </c>
      <c r="C146" s="36">
        <v>24.8</v>
      </c>
      <c r="D146" s="36">
        <v>1588.0</v>
      </c>
      <c r="E146" s="36">
        <v>1451.0</v>
      </c>
      <c r="F146" s="36">
        <v>0.91</v>
      </c>
      <c r="G146" s="36">
        <v>26.0</v>
      </c>
      <c r="H146" s="36">
        <v>1.26</v>
      </c>
      <c r="I146" s="36">
        <v>32.6</v>
      </c>
      <c r="J146" s="36">
        <v>80.5</v>
      </c>
      <c r="K146" s="36">
        <v>128.0</v>
      </c>
      <c r="L146" s="36">
        <v>34.3</v>
      </c>
      <c r="M146" s="36">
        <v>95.0</v>
      </c>
      <c r="N146" s="36">
        <v>55.0</v>
      </c>
      <c r="O146" s="36">
        <v>26.0</v>
      </c>
      <c r="P146" s="36">
        <v>60.0</v>
      </c>
      <c r="Q146" s="36">
        <v>0.38</v>
      </c>
      <c r="R146" s="36">
        <v>0.87</v>
      </c>
      <c r="S146" s="36">
        <v>1.44</v>
      </c>
      <c r="T146" s="36">
        <v>2.32</v>
      </c>
      <c r="U146" s="21">
        <f t="shared" si="1"/>
        <v>2320</v>
      </c>
      <c r="V146" s="21">
        <f t="shared" si="2"/>
        <v>193600</v>
      </c>
      <c r="Y146" s="45"/>
      <c r="Z146" s="36"/>
    </row>
    <row r="147" ht="14.25" customHeight="1">
      <c r="A147" s="38">
        <v>0.38958333333333334</v>
      </c>
      <c r="B147" s="36">
        <v>179.0</v>
      </c>
      <c r="C147" s="36">
        <v>25.3</v>
      </c>
      <c r="D147" s="36">
        <v>1619.0</v>
      </c>
      <c r="E147" s="36">
        <v>1499.0</v>
      </c>
      <c r="F147" s="36">
        <v>0.93</v>
      </c>
      <c r="G147" s="36">
        <v>22.0</v>
      </c>
      <c r="H147" s="36">
        <v>1.5</v>
      </c>
      <c r="I147" s="36">
        <v>32.7</v>
      </c>
      <c r="J147" s="36">
        <v>80.4</v>
      </c>
      <c r="K147" s="36">
        <v>128.0</v>
      </c>
      <c r="L147" s="36">
        <v>34.3</v>
      </c>
      <c r="M147" s="36">
        <v>94.0</v>
      </c>
      <c r="N147" s="36">
        <v>56.0</v>
      </c>
      <c r="O147" s="36">
        <v>22.0</v>
      </c>
      <c r="P147" s="36">
        <v>61.0</v>
      </c>
      <c r="Q147" s="36">
        <v>0.35</v>
      </c>
      <c r="R147" s="36">
        <v>0.97</v>
      </c>
      <c r="S147" s="36">
        <v>1.78</v>
      </c>
      <c r="T147" s="36">
        <v>2.76</v>
      </c>
      <c r="U147" s="21">
        <f t="shared" si="1"/>
        <v>2760</v>
      </c>
      <c r="V147" s="21">
        <f t="shared" si="2"/>
        <v>100</v>
      </c>
      <c r="Y147" s="45"/>
      <c r="Z147" s="36"/>
    </row>
    <row r="148" ht="14.25" customHeight="1">
      <c r="A148" s="38">
        <v>0.3909722222222222</v>
      </c>
      <c r="B148" s="36">
        <v>180.0</v>
      </c>
      <c r="C148" s="36">
        <v>25.3</v>
      </c>
      <c r="D148" s="36">
        <v>1621.0</v>
      </c>
      <c r="E148" s="36">
        <v>1505.0</v>
      </c>
      <c r="F148" s="36">
        <v>0.93</v>
      </c>
      <c r="G148" s="36">
        <v>22.0</v>
      </c>
      <c r="H148" s="36">
        <v>1.51</v>
      </c>
      <c r="I148" s="36">
        <v>32.9</v>
      </c>
      <c r="J148" s="36">
        <v>80.3</v>
      </c>
      <c r="K148" s="36">
        <v>130.0</v>
      </c>
      <c r="L148" s="36">
        <v>33.6</v>
      </c>
      <c r="M148" s="36">
        <v>94.0</v>
      </c>
      <c r="N148" s="36">
        <v>56.0</v>
      </c>
      <c r="O148" s="36">
        <v>22.0</v>
      </c>
      <c r="P148" s="36">
        <v>61.0</v>
      </c>
      <c r="Q148" s="36">
        <v>0.35</v>
      </c>
      <c r="R148" s="36">
        <v>0.97</v>
      </c>
      <c r="S148" s="36">
        <v>1.77</v>
      </c>
      <c r="T148" s="36">
        <v>2.75</v>
      </c>
      <c r="U148" s="21">
        <f t="shared" si="1"/>
        <v>2750</v>
      </c>
      <c r="V148" s="21">
        <f t="shared" si="2"/>
        <v>3600</v>
      </c>
      <c r="Y148" s="45"/>
      <c r="Z148" s="36"/>
    </row>
    <row r="149" ht="14.25" customHeight="1">
      <c r="A149" s="38">
        <v>0.39305555555555555</v>
      </c>
      <c r="B149" s="36">
        <v>182.0</v>
      </c>
      <c r="C149" s="36">
        <v>25.4</v>
      </c>
      <c r="D149" s="36">
        <v>1628.0</v>
      </c>
      <c r="E149" s="36">
        <v>1516.0</v>
      </c>
      <c r="F149" s="36">
        <v>0.93</v>
      </c>
      <c r="G149" s="36">
        <v>21.0</v>
      </c>
      <c r="H149" s="36">
        <v>1.55</v>
      </c>
      <c r="I149" s="36">
        <v>33.0</v>
      </c>
      <c r="J149" s="36">
        <v>80.2</v>
      </c>
      <c r="K149" s="36">
        <v>130.0</v>
      </c>
      <c r="L149" s="36">
        <v>33.4</v>
      </c>
      <c r="M149" s="36">
        <v>94.0</v>
      </c>
      <c r="N149" s="36">
        <v>56.0</v>
      </c>
      <c r="O149" s="36">
        <v>21.0</v>
      </c>
      <c r="P149" s="36">
        <v>61.0</v>
      </c>
      <c r="Q149" s="36">
        <v>0.35</v>
      </c>
      <c r="R149" s="36">
        <v>0.99</v>
      </c>
      <c r="S149" s="36">
        <v>1.82</v>
      </c>
      <c r="T149" s="36">
        <v>2.81</v>
      </c>
      <c r="U149" s="21">
        <f t="shared" si="1"/>
        <v>2810</v>
      </c>
      <c r="V149" s="21">
        <f t="shared" si="2"/>
        <v>900</v>
      </c>
      <c r="Y149" s="45"/>
      <c r="Z149" s="36"/>
    </row>
    <row r="150" ht="14.25" customHeight="1">
      <c r="A150" s="38">
        <v>0.39444444444444443</v>
      </c>
      <c r="B150" s="36">
        <v>183.0</v>
      </c>
      <c r="C150" s="36">
        <v>26.1</v>
      </c>
      <c r="D150" s="36">
        <v>1671.0</v>
      </c>
      <c r="E150" s="36">
        <v>1552.0</v>
      </c>
      <c r="F150" s="36">
        <v>0.93</v>
      </c>
      <c r="G150" s="36">
        <v>22.0</v>
      </c>
      <c r="H150" s="36">
        <v>1.55</v>
      </c>
      <c r="I150" s="36">
        <v>33.6</v>
      </c>
      <c r="J150" s="36">
        <v>79.9</v>
      </c>
      <c r="K150" s="36">
        <v>130.0</v>
      </c>
      <c r="L150" s="36">
        <v>33.1</v>
      </c>
      <c r="M150" s="36">
        <v>94.0</v>
      </c>
      <c r="N150" s="36">
        <v>56.0</v>
      </c>
      <c r="O150" s="36">
        <v>22.0</v>
      </c>
      <c r="P150" s="36">
        <v>63.0</v>
      </c>
      <c r="Q150" s="36">
        <v>0.35</v>
      </c>
      <c r="R150" s="36">
        <v>0.98</v>
      </c>
      <c r="S150" s="36">
        <v>1.8</v>
      </c>
      <c r="T150" s="36">
        <v>2.78</v>
      </c>
      <c r="U150" s="21">
        <f t="shared" si="1"/>
        <v>2780</v>
      </c>
      <c r="V150" s="21">
        <f t="shared" si="2"/>
        <v>8100</v>
      </c>
      <c r="Y150" s="45"/>
      <c r="Z150" s="36"/>
    </row>
    <row r="151" ht="14.25" customHeight="1">
      <c r="A151" s="38">
        <v>0.3958333333333333</v>
      </c>
      <c r="B151" s="36">
        <v>184.0</v>
      </c>
      <c r="C151" s="36">
        <v>26.9</v>
      </c>
      <c r="D151" s="36">
        <v>1720.0</v>
      </c>
      <c r="E151" s="36">
        <v>1601.0</v>
      </c>
      <c r="F151" s="36">
        <v>0.93</v>
      </c>
      <c r="G151" s="36">
        <v>21.0</v>
      </c>
      <c r="H151" s="36">
        <v>1.63</v>
      </c>
      <c r="I151" s="36">
        <v>34.1</v>
      </c>
      <c r="J151" s="36">
        <v>79.5</v>
      </c>
      <c r="K151" s="36">
        <v>130.0</v>
      </c>
      <c r="L151" s="36">
        <v>33.1</v>
      </c>
      <c r="M151" s="36">
        <v>94.0</v>
      </c>
      <c r="N151" s="36">
        <v>57.0</v>
      </c>
      <c r="O151" s="36">
        <v>21.0</v>
      </c>
      <c r="P151" s="36">
        <v>65.0</v>
      </c>
      <c r="Q151" s="36">
        <v>0.36</v>
      </c>
      <c r="R151" s="36">
        <v>1.03</v>
      </c>
      <c r="S151" s="36">
        <v>1.84</v>
      </c>
      <c r="T151" s="36">
        <v>2.87</v>
      </c>
      <c r="U151" s="21">
        <f t="shared" si="1"/>
        <v>2870</v>
      </c>
      <c r="V151" s="8">
        <v>0.0</v>
      </c>
      <c r="Y151" s="45"/>
      <c r="Z151" s="36"/>
    </row>
    <row r="152" ht="14.25" customHeight="1">
      <c r="A152" s="36" t="s">
        <v>80</v>
      </c>
      <c r="Y152" s="45"/>
      <c r="Z152" s="36"/>
    </row>
    <row r="153" ht="14.25" customHeight="1">
      <c r="A153" s="38">
        <v>0.3972222222222222</v>
      </c>
      <c r="B153" s="36">
        <v>184.0</v>
      </c>
      <c r="C153" s="36">
        <v>27.6</v>
      </c>
      <c r="D153" s="36">
        <v>1769.0</v>
      </c>
      <c r="E153" s="36">
        <v>1633.0</v>
      </c>
      <c r="F153" s="36">
        <v>0.92</v>
      </c>
      <c r="G153" s="36">
        <v>25.0</v>
      </c>
      <c r="H153" s="36">
        <v>1.4</v>
      </c>
      <c r="I153" s="36">
        <v>35.3</v>
      </c>
      <c r="J153" s="36">
        <v>78.8</v>
      </c>
      <c r="K153" s="36">
        <v>131.0</v>
      </c>
      <c r="L153" s="36">
        <v>33.0</v>
      </c>
      <c r="M153" s="36">
        <v>95.0</v>
      </c>
      <c r="N153" s="36">
        <v>56.0</v>
      </c>
      <c r="O153" s="36">
        <v>25.0</v>
      </c>
      <c r="P153" s="36">
        <v>67.0</v>
      </c>
      <c r="Q153" s="36">
        <v>0.38</v>
      </c>
      <c r="R153" s="36">
        <v>0.9</v>
      </c>
      <c r="S153" s="36">
        <v>1.48</v>
      </c>
      <c r="T153" s="36">
        <v>2.38</v>
      </c>
      <c r="U153" s="21">
        <f t="shared" ref="U153:U187" si="3">T153*1000</f>
        <v>2380</v>
      </c>
      <c r="V153" s="21">
        <f t="shared" ref="V153:V186" si="4">(U153-U154)^2</f>
        <v>0</v>
      </c>
      <c r="W153" s="8">
        <f>SQRT(AVERAGE(V153:V186))</f>
        <v>69.87383588</v>
      </c>
      <c r="Y153" s="45"/>
      <c r="Z153" s="36"/>
    </row>
    <row r="154" ht="14.25" customHeight="1">
      <c r="A154" s="38">
        <v>0.3993055555555556</v>
      </c>
      <c r="B154" s="36">
        <v>185.0</v>
      </c>
      <c r="C154" s="36">
        <v>27.9</v>
      </c>
      <c r="D154" s="36">
        <v>1783.0</v>
      </c>
      <c r="E154" s="36">
        <v>1651.0</v>
      </c>
      <c r="F154" s="36">
        <v>0.93</v>
      </c>
      <c r="G154" s="36">
        <v>25.0</v>
      </c>
      <c r="H154" s="36">
        <v>1.41</v>
      </c>
      <c r="I154" s="36">
        <v>35.5</v>
      </c>
      <c r="J154" s="36">
        <v>78.7</v>
      </c>
      <c r="K154" s="36">
        <v>131.0</v>
      </c>
      <c r="L154" s="36">
        <v>33.0</v>
      </c>
      <c r="M154" s="36">
        <v>94.0</v>
      </c>
      <c r="N154" s="36">
        <v>56.0</v>
      </c>
      <c r="O154" s="36">
        <v>25.0</v>
      </c>
      <c r="P154" s="36">
        <v>67.0</v>
      </c>
      <c r="Q154" s="36">
        <v>0.38</v>
      </c>
      <c r="R154" s="36">
        <v>0.9</v>
      </c>
      <c r="S154" s="36">
        <v>1.48</v>
      </c>
      <c r="T154" s="36">
        <v>2.38</v>
      </c>
      <c r="U154" s="21">
        <f t="shared" si="3"/>
        <v>2380</v>
      </c>
      <c r="V154" s="21">
        <f t="shared" si="4"/>
        <v>2500</v>
      </c>
      <c r="Y154" s="45"/>
      <c r="Z154" s="36"/>
    </row>
    <row r="155" ht="14.25" customHeight="1">
      <c r="A155" s="38">
        <v>0.40069444444444446</v>
      </c>
      <c r="B155" s="36">
        <v>186.0</v>
      </c>
      <c r="C155" s="36">
        <v>28.3</v>
      </c>
      <c r="D155" s="36">
        <v>1814.0</v>
      </c>
      <c r="E155" s="36">
        <v>1686.0</v>
      </c>
      <c r="F155" s="36">
        <v>0.93</v>
      </c>
      <c r="G155" s="36">
        <v>26.0</v>
      </c>
      <c r="H155" s="36">
        <v>1.41</v>
      </c>
      <c r="I155" s="36">
        <v>36.3</v>
      </c>
      <c r="J155" s="36">
        <v>78.3</v>
      </c>
      <c r="K155" s="36">
        <v>131.0</v>
      </c>
      <c r="L155" s="36">
        <v>32.7</v>
      </c>
      <c r="M155" s="36">
        <v>94.0</v>
      </c>
      <c r="N155" s="36">
        <v>56.0</v>
      </c>
      <c r="O155" s="36">
        <v>26.0</v>
      </c>
      <c r="P155" s="36">
        <v>68.0</v>
      </c>
      <c r="Q155" s="36">
        <v>0.38</v>
      </c>
      <c r="R155" s="36">
        <v>0.89</v>
      </c>
      <c r="S155" s="36">
        <v>1.44</v>
      </c>
      <c r="T155" s="36">
        <v>2.33</v>
      </c>
      <c r="U155" s="21">
        <f t="shared" si="3"/>
        <v>2330</v>
      </c>
      <c r="V155" s="21">
        <f t="shared" si="4"/>
        <v>6400</v>
      </c>
      <c r="Y155" s="45"/>
      <c r="Z155" s="36"/>
    </row>
    <row r="156" ht="14.25" customHeight="1">
      <c r="A156" s="38">
        <v>0.40208333333333335</v>
      </c>
      <c r="B156" s="36">
        <v>188.0</v>
      </c>
      <c r="C156" s="36">
        <v>28.3</v>
      </c>
      <c r="D156" s="36">
        <v>1809.0</v>
      </c>
      <c r="E156" s="36">
        <v>1689.0</v>
      </c>
      <c r="F156" s="36">
        <v>0.93</v>
      </c>
      <c r="G156" s="36">
        <v>27.0</v>
      </c>
      <c r="H156" s="36">
        <v>1.38</v>
      </c>
      <c r="I156" s="36">
        <v>36.8</v>
      </c>
      <c r="J156" s="36">
        <v>78.0</v>
      </c>
      <c r="K156" s="36">
        <v>131.0</v>
      </c>
      <c r="L156" s="36">
        <v>32.7</v>
      </c>
      <c r="M156" s="36">
        <v>95.0</v>
      </c>
      <c r="N156" s="36">
        <v>56.0</v>
      </c>
      <c r="O156" s="36">
        <v>27.0</v>
      </c>
      <c r="P156" s="36">
        <v>68.0</v>
      </c>
      <c r="Q156" s="36">
        <v>0.38</v>
      </c>
      <c r="R156" s="36">
        <v>0.86</v>
      </c>
      <c r="S156" s="36">
        <v>1.39</v>
      </c>
      <c r="T156" s="36">
        <v>2.25</v>
      </c>
      <c r="U156" s="21">
        <f t="shared" si="3"/>
        <v>2250</v>
      </c>
      <c r="V156" s="21">
        <f t="shared" si="4"/>
        <v>400</v>
      </c>
      <c r="Y156" s="45"/>
      <c r="Z156" s="36"/>
    </row>
    <row r="157" ht="14.25" customHeight="1">
      <c r="A157" s="38">
        <v>0.40347222222222223</v>
      </c>
      <c r="B157" s="36">
        <v>188.0</v>
      </c>
      <c r="C157" s="36">
        <v>28.3</v>
      </c>
      <c r="D157" s="36">
        <v>1810.0</v>
      </c>
      <c r="E157" s="36">
        <v>1694.0</v>
      </c>
      <c r="F157" s="36">
        <v>0.94</v>
      </c>
      <c r="G157" s="36">
        <v>27.0</v>
      </c>
      <c r="H157" s="36">
        <v>1.37</v>
      </c>
      <c r="I157" s="36">
        <v>37.0</v>
      </c>
      <c r="J157" s="36">
        <v>77.8</v>
      </c>
      <c r="K157" s="36">
        <v>132.0</v>
      </c>
      <c r="L157" s="36">
        <v>32.2</v>
      </c>
      <c r="M157" s="36">
        <v>95.0</v>
      </c>
      <c r="N157" s="36">
        <v>56.0</v>
      </c>
      <c r="O157" s="36">
        <v>27.0</v>
      </c>
      <c r="P157" s="36">
        <v>68.0</v>
      </c>
      <c r="Q157" s="36">
        <v>0.38</v>
      </c>
      <c r="R157" s="36">
        <v>0.84</v>
      </c>
      <c r="S157" s="36">
        <v>1.39</v>
      </c>
      <c r="T157" s="36">
        <v>2.23</v>
      </c>
      <c r="U157" s="21">
        <f t="shared" si="3"/>
        <v>2230</v>
      </c>
      <c r="V157" s="21">
        <f t="shared" si="4"/>
        <v>100</v>
      </c>
      <c r="Y157" s="45"/>
      <c r="Z157" s="36"/>
    </row>
    <row r="158" ht="14.25" customHeight="1">
      <c r="A158" s="38">
        <v>0.40555555555555556</v>
      </c>
      <c r="B158" s="36">
        <v>189.0</v>
      </c>
      <c r="C158" s="36">
        <v>28.6</v>
      </c>
      <c r="D158" s="36">
        <v>1832.0</v>
      </c>
      <c r="E158" s="36">
        <v>1717.0</v>
      </c>
      <c r="F158" s="36">
        <v>0.94</v>
      </c>
      <c r="G158" s="36">
        <v>27.0</v>
      </c>
      <c r="H158" s="36">
        <v>1.39</v>
      </c>
      <c r="I158" s="36">
        <v>37.5</v>
      </c>
      <c r="J158" s="36">
        <v>77.5</v>
      </c>
      <c r="K158" s="36">
        <v>134.0</v>
      </c>
      <c r="L158" s="36">
        <v>31.2</v>
      </c>
      <c r="M158" s="36">
        <v>95.0</v>
      </c>
      <c r="N158" s="36">
        <v>56.0</v>
      </c>
      <c r="O158" s="36">
        <v>27.0</v>
      </c>
      <c r="P158" s="36">
        <v>69.0</v>
      </c>
      <c r="Q158" s="36">
        <v>0.38</v>
      </c>
      <c r="R158" s="36">
        <v>0.84</v>
      </c>
      <c r="S158" s="36">
        <v>1.38</v>
      </c>
      <c r="T158" s="36">
        <v>2.22</v>
      </c>
      <c r="U158" s="21">
        <f t="shared" si="3"/>
        <v>2220</v>
      </c>
      <c r="V158" s="21">
        <f t="shared" si="4"/>
        <v>3600</v>
      </c>
      <c r="Y158" s="45"/>
      <c r="Z158" s="36"/>
    </row>
    <row r="159" ht="14.25" customHeight="1">
      <c r="A159" s="38">
        <v>0.40694444444444444</v>
      </c>
      <c r="B159" s="36">
        <v>190.0</v>
      </c>
      <c r="C159" s="36">
        <v>28.2</v>
      </c>
      <c r="D159" s="36">
        <v>1803.0</v>
      </c>
      <c r="E159" s="36">
        <v>1705.0</v>
      </c>
      <c r="F159" s="36">
        <v>0.95</v>
      </c>
      <c r="G159" s="36">
        <v>26.0</v>
      </c>
      <c r="H159" s="36">
        <v>1.41</v>
      </c>
      <c r="I159" s="36">
        <v>37.1</v>
      </c>
      <c r="J159" s="36">
        <v>77.7</v>
      </c>
      <c r="K159" s="36">
        <v>135.0</v>
      </c>
      <c r="L159" s="36">
        <v>30.9</v>
      </c>
      <c r="M159" s="36">
        <v>95.0</v>
      </c>
      <c r="N159" s="36">
        <v>56.0</v>
      </c>
      <c r="O159" s="36">
        <v>26.0</v>
      </c>
      <c r="P159" s="36">
        <v>68.0</v>
      </c>
      <c r="Q159" s="36">
        <v>0.38</v>
      </c>
      <c r="R159" s="36">
        <v>0.86</v>
      </c>
      <c r="S159" s="36">
        <v>1.41</v>
      </c>
      <c r="T159" s="36">
        <v>2.28</v>
      </c>
      <c r="U159" s="21">
        <f t="shared" si="3"/>
        <v>2280</v>
      </c>
      <c r="V159" s="21">
        <f t="shared" si="4"/>
        <v>900</v>
      </c>
      <c r="Y159" s="45"/>
      <c r="Z159" s="36"/>
    </row>
    <row r="160" ht="14.25" customHeight="1">
      <c r="A160" s="38">
        <v>0.4083333333333333</v>
      </c>
      <c r="B160" s="36">
        <v>191.0</v>
      </c>
      <c r="C160" s="36">
        <v>28.4</v>
      </c>
      <c r="D160" s="36">
        <v>1815.0</v>
      </c>
      <c r="E160" s="36">
        <v>1729.0</v>
      </c>
      <c r="F160" s="36">
        <v>0.95</v>
      </c>
      <c r="G160" s="36">
        <v>26.0</v>
      </c>
      <c r="H160" s="36">
        <v>1.43</v>
      </c>
      <c r="I160" s="36">
        <v>37.3</v>
      </c>
      <c r="J160" s="36">
        <v>77.6</v>
      </c>
      <c r="K160" s="36">
        <v>135.0</v>
      </c>
      <c r="L160" s="36">
        <v>30.6</v>
      </c>
      <c r="M160" s="36">
        <v>95.0</v>
      </c>
      <c r="N160" s="36">
        <v>56.0</v>
      </c>
      <c r="O160" s="36">
        <v>26.0</v>
      </c>
      <c r="P160" s="36">
        <v>68.0</v>
      </c>
      <c r="Q160" s="36">
        <v>0.38</v>
      </c>
      <c r="R160" s="36">
        <v>0.87</v>
      </c>
      <c r="S160" s="36">
        <v>1.44</v>
      </c>
      <c r="T160" s="36">
        <v>2.31</v>
      </c>
      <c r="U160" s="21">
        <f t="shared" si="3"/>
        <v>2310</v>
      </c>
      <c r="V160" s="21">
        <f t="shared" si="4"/>
        <v>1600</v>
      </c>
      <c r="Y160" s="45"/>
      <c r="Z160" s="36"/>
    </row>
    <row r="161" ht="14.25" customHeight="1">
      <c r="A161" s="38">
        <v>0.41041666666666665</v>
      </c>
      <c r="B161" s="36">
        <v>192.0</v>
      </c>
      <c r="C161" s="36">
        <v>28.6</v>
      </c>
      <c r="D161" s="36">
        <v>1829.0</v>
      </c>
      <c r="E161" s="36">
        <v>1739.0</v>
      </c>
      <c r="F161" s="36">
        <v>0.95</v>
      </c>
      <c r="G161" s="36">
        <v>26.0</v>
      </c>
      <c r="H161" s="36">
        <v>1.42</v>
      </c>
      <c r="I161" s="36">
        <v>37.5</v>
      </c>
      <c r="J161" s="36">
        <v>77.5</v>
      </c>
      <c r="K161" s="36">
        <v>136.0</v>
      </c>
      <c r="L161" s="36">
        <v>30.4</v>
      </c>
      <c r="M161" s="36">
        <v>95.0</v>
      </c>
      <c r="N161" s="36">
        <v>57.0</v>
      </c>
      <c r="O161" s="36">
        <v>26.0</v>
      </c>
      <c r="P161" s="36">
        <v>69.0</v>
      </c>
      <c r="Q161" s="36">
        <v>0.38</v>
      </c>
      <c r="R161" s="36">
        <v>0.86</v>
      </c>
      <c r="S161" s="36">
        <v>1.41</v>
      </c>
      <c r="T161" s="36">
        <v>2.27</v>
      </c>
      <c r="U161" s="21">
        <f t="shared" si="3"/>
        <v>2270</v>
      </c>
      <c r="V161" s="21">
        <f t="shared" si="4"/>
        <v>900</v>
      </c>
      <c r="Y161" s="45"/>
      <c r="Z161" s="36"/>
    </row>
    <row r="162" ht="14.25" customHeight="1">
      <c r="A162" s="38">
        <v>0.41180555555555554</v>
      </c>
      <c r="B162" s="36">
        <v>193.0</v>
      </c>
      <c r="C162" s="36">
        <v>28.9</v>
      </c>
      <c r="D162" s="36">
        <v>1850.0</v>
      </c>
      <c r="E162" s="36">
        <v>1769.0</v>
      </c>
      <c r="F162" s="36">
        <v>0.96</v>
      </c>
      <c r="G162" s="36">
        <v>27.0</v>
      </c>
      <c r="H162" s="36">
        <v>1.43</v>
      </c>
      <c r="I162" s="36">
        <v>38.2</v>
      </c>
      <c r="J162" s="36">
        <v>77.1</v>
      </c>
      <c r="K162" s="36">
        <v>136.0</v>
      </c>
      <c r="L162" s="36">
        <v>30.2</v>
      </c>
      <c r="M162" s="36">
        <v>95.0</v>
      </c>
      <c r="N162" s="36">
        <v>57.0</v>
      </c>
      <c r="O162" s="36">
        <v>27.0</v>
      </c>
      <c r="P162" s="36">
        <v>70.0</v>
      </c>
      <c r="Q162" s="36">
        <v>0.38</v>
      </c>
      <c r="R162" s="36">
        <v>0.85</v>
      </c>
      <c r="S162" s="36">
        <v>1.4</v>
      </c>
      <c r="T162" s="36">
        <v>2.24</v>
      </c>
      <c r="U162" s="21">
        <f t="shared" si="3"/>
        <v>2240</v>
      </c>
      <c r="V162" s="21">
        <f t="shared" si="4"/>
        <v>100</v>
      </c>
      <c r="Y162" s="45"/>
      <c r="Z162" s="36"/>
    </row>
    <row r="163" ht="14.25" customHeight="1">
      <c r="A163" s="38">
        <v>0.4131944444444444</v>
      </c>
      <c r="B163" s="36">
        <v>193.0</v>
      </c>
      <c r="C163" s="36">
        <v>29.0</v>
      </c>
      <c r="D163" s="36">
        <v>1853.0</v>
      </c>
      <c r="E163" s="36">
        <v>1783.0</v>
      </c>
      <c r="F163" s="36">
        <v>0.96</v>
      </c>
      <c r="G163" s="36">
        <v>27.0</v>
      </c>
      <c r="H163" s="36">
        <v>1.43</v>
      </c>
      <c r="I163" s="36">
        <v>38.3</v>
      </c>
      <c r="J163" s="36">
        <v>77.1</v>
      </c>
      <c r="K163" s="36">
        <v>137.0</v>
      </c>
      <c r="L163" s="36">
        <v>29.8</v>
      </c>
      <c r="M163" s="36">
        <v>95.0</v>
      </c>
      <c r="N163" s="36">
        <v>57.0</v>
      </c>
      <c r="O163" s="36">
        <v>27.0</v>
      </c>
      <c r="P163" s="36">
        <v>70.0</v>
      </c>
      <c r="Q163" s="36">
        <v>0.37</v>
      </c>
      <c r="R163" s="36">
        <v>0.83</v>
      </c>
      <c r="S163" s="36">
        <v>1.4</v>
      </c>
      <c r="T163" s="36">
        <v>2.23</v>
      </c>
      <c r="U163" s="21">
        <f t="shared" si="3"/>
        <v>2230</v>
      </c>
      <c r="V163" s="21">
        <f t="shared" si="4"/>
        <v>400</v>
      </c>
      <c r="Y163" s="45"/>
      <c r="Z163" s="36"/>
    </row>
    <row r="164" ht="14.25" customHeight="1">
      <c r="A164" s="38">
        <v>0.41458333333333336</v>
      </c>
      <c r="B164" s="36">
        <v>195.0</v>
      </c>
      <c r="C164" s="36">
        <v>29.2</v>
      </c>
      <c r="D164" s="36">
        <v>1870.0</v>
      </c>
      <c r="E164" s="36">
        <v>1811.0</v>
      </c>
      <c r="F164" s="36">
        <v>0.97</v>
      </c>
      <c r="G164" s="36">
        <v>27.0</v>
      </c>
      <c r="H164" s="36">
        <v>1.44</v>
      </c>
      <c r="I164" s="36">
        <v>38.5</v>
      </c>
      <c r="J164" s="36">
        <v>76.9</v>
      </c>
      <c r="K164" s="36">
        <v>138.0</v>
      </c>
      <c r="L164" s="36">
        <v>29.4</v>
      </c>
      <c r="M164" s="36">
        <v>95.0</v>
      </c>
      <c r="N164" s="36">
        <v>57.0</v>
      </c>
      <c r="O164" s="36">
        <v>27.0</v>
      </c>
      <c r="P164" s="36">
        <v>71.0</v>
      </c>
      <c r="Q164" s="36">
        <v>0.38</v>
      </c>
      <c r="R164" s="36">
        <v>0.84</v>
      </c>
      <c r="S164" s="36">
        <v>1.4</v>
      </c>
      <c r="T164" s="36">
        <v>2.25</v>
      </c>
      <c r="U164" s="21">
        <f t="shared" si="3"/>
        <v>2250</v>
      </c>
      <c r="V164" s="21">
        <f t="shared" si="4"/>
        <v>900</v>
      </c>
      <c r="Y164" s="45"/>
      <c r="Z164" s="36"/>
    </row>
    <row r="165" ht="14.25" customHeight="1">
      <c r="A165" s="38">
        <v>0.4166666666666667</v>
      </c>
      <c r="B165" s="36">
        <v>195.0</v>
      </c>
      <c r="C165" s="36">
        <v>29.2</v>
      </c>
      <c r="D165" s="36">
        <v>1868.0</v>
      </c>
      <c r="E165" s="36">
        <v>1817.0</v>
      </c>
      <c r="F165" s="36">
        <v>0.97</v>
      </c>
      <c r="G165" s="36">
        <v>26.0</v>
      </c>
      <c r="H165" s="36">
        <v>1.45</v>
      </c>
      <c r="I165" s="36">
        <v>38.2</v>
      </c>
      <c r="J165" s="36">
        <v>77.1</v>
      </c>
      <c r="K165" s="36">
        <v>139.0</v>
      </c>
      <c r="L165" s="36">
        <v>28.8</v>
      </c>
      <c r="M165" s="36">
        <v>95.0</v>
      </c>
      <c r="N165" s="36">
        <v>57.0</v>
      </c>
      <c r="O165" s="36">
        <v>26.0</v>
      </c>
      <c r="P165" s="36">
        <v>70.0</v>
      </c>
      <c r="Q165" s="36">
        <v>0.38</v>
      </c>
      <c r="R165" s="36">
        <v>0.86</v>
      </c>
      <c r="S165" s="36">
        <v>1.42</v>
      </c>
      <c r="T165" s="36">
        <v>2.28</v>
      </c>
      <c r="U165" s="21">
        <f t="shared" si="3"/>
        <v>2280</v>
      </c>
      <c r="V165" s="21">
        <f t="shared" si="4"/>
        <v>0</v>
      </c>
      <c r="Y165" s="45"/>
      <c r="Z165" s="36"/>
    </row>
    <row r="166" ht="14.25" customHeight="1">
      <c r="A166" s="38">
        <v>0.41805555555555557</v>
      </c>
      <c r="B166" s="36">
        <v>197.0</v>
      </c>
      <c r="C166" s="36">
        <v>29.2</v>
      </c>
      <c r="D166" s="36">
        <v>1868.0</v>
      </c>
      <c r="E166" s="36">
        <v>1817.0</v>
      </c>
      <c r="F166" s="36">
        <v>0.97</v>
      </c>
      <c r="G166" s="36">
        <v>26.0</v>
      </c>
      <c r="H166" s="36">
        <v>1.45</v>
      </c>
      <c r="I166" s="36">
        <v>38.2</v>
      </c>
      <c r="J166" s="36">
        <v>77.1</v>
      </c>
      <c r="K166" s="36">
        <v>140.0</v>
      </c>
      <c r="L166" s="36">
        <v>28.3</v>
      </c>
      <c r="M166" s="36">
        <v>95.0</v>
      </c>
      <c r="N166" s="36">
        <v>57.0</v>
      </c>
      <c r="O166" s="36">
        <v>26.0</v>
      </c>
      <c r="P166" s="36">
        <v>70.0</v>
      </c>
      <c r="Q166" s="36">
        <v>0.38</v>
      </c>
      <c r="R166" s="36">
        <v>0.86</v>
      </c>
      <c r="S166" s="36">
        <v>1.42</v>
      </c>
      <c r="T166" s="36">
        <v>2.28</v>
      </c>
      <c r="U166" s="21">
        <f t="shared" si="3"/>
        <v>2280</v>
      </c>
      <c r="V166" s="21">
        <f t="shared" si="4"/>
        <v>900</v>
      </c>
      <c r="Y166" s="45"/>
      <c r="Z166" s="36"/>
    </row>
    <row r="167" ht="14.25" customHeight="1">
      <c r="A167" s="38">
        <v>0.41944444444444445</v>
      </c>
      <c r="B167" s="36">
        <v>197.0</v>
      </c>
      <c r="C167" s="36">
        <v>29.3</v>
      </c>
      <c r="D167" s="36">
        <v>1876.0</v>
      </c>
      <c r="E167" s="36">
        <v>1835.0</v>
      </c>
      <c r="F167" s="36">
        <v>0.98</v>
      </c>
      <c r="G167" s="36">
        <v>27.0</v>
      </c>
      <c r="H167" s="36">
        <v>1.45</v>
      </c>
      <c r="I167" s="36">
        <v>38.6</v>
      </c>
      <c r="J167" s="36">
        <v>76.9</v>
      </c>
      <c r="K167" s="36">
        <v>140.0</v>
      </c>
      <c r="L167" s="36">
        <v>28.1</v>
      </c>
      <c r="M167" s="36">
        <v>95.0</v>
      </c>
      <c r="N167" s="36">
        <v>57.0</v>
      </c>
      <c r="O167" s="36">
        <v>27.0</v>
      </c>
      <c r="P167" s="36">
        <v>71.0</v>
      </c>
      <c r="Q167" s="36">
        <v>0.38</v>
      </c>
      <c r="R167" s="36">
        <v>0.85</v>
      </c>
      <c r="S167" s="36">
        <v>1.4</v>
      </c>
      <c r="T167" s="36">
        <v>2.25</v>
      </c>
      <c r="U167" s="21">
        <f t="shared" si="3"/>
        <v>2250</v>
      </c>
      <c r="V167" s="21">
        <f t="shared" si="4"/>
        <v>100</v>
      </c>
      <c r="Y167" s="45"/>
      <c r="Z167" s="36"/>
    </row>
    <row r="168" ht="14.25" customHeight="1">
      <c r="A168" s="38">
        <v>0.42083333333333334</v>
      </c>
      <c r="B168" s="36">
        <v>198.0</v>
      </c>
      <c r="C168" s="36">
        <v>29.4</v>
      </c>
      <c r="D168" s="36">
        <v>1880.0</v>
      </c>
      <c r="E168" s="36">
        <v>1851.0</v>
      </c>
      <c r="F168" s="36">
        <v>0.98</v>
      </c>
      <c r="G168" s="36">
        <v>27.0</v>
      </c>
      <c r="H168" s="36">
        <v>1.46</v>
      </c>
      <c r="I168" s="36">
        <v>38.8</v>
      </c>
      <c r="J168" s="36">
        <v>76.8</v>
      </c>
      <c r="K168" s="36">
        <v>140.0</v>
      </c>
      <c r="L168" s="36">
        <v>28.1</v>
      </c>
      <c r="M168" s="36">
        <v>96.0</v>
      </c>
      <c r="N168" s="36">
        <v>57.0</v>
      </c>
      <c r="O168" s="36">
        <v>27.0</v>
      </c>
      <c r="P168" s="36">
        <v>71.0</v>
      </c>
      <c r="Q168" s="36">
        <v>0.38</v>
      </c>
      <c r="R168" s="36">
        <v>0.86</v>
      </c>
      <c r="S168" s="36">
        <v>1.4</v>
      </c>
      <c r="T168" s="36">
        <v>2.26</v>
      </c>
      <c r="U168" s="21">
        <f t="shared" si="3"/>
        <v>2260</v>
      </c>
      <c r="V168" s="21">
        <f t="shared" si="4"/>
        <v>0</v>
      </c>
      <c r="Y168" s="45"/>
      <c r="Z168" s="36"/>
    </row>
    <row r="169" ht="14.25" customHeight="1">
      <c r="A169" s="38">
        <v>0.42291666666666666</v>
      </c>
      <c r="B169" s="36">
        <v>199.0</v>
      </c>
      <c r="C169" s="36">
        <v>29.4</v>
      </c>
      <c r="D169" s="36">
        <v>1881.0</v>
      </c>
      <c r="E169" s="36">
        <v>1851.0</v>
      </c>
      <c r="F169" s="36">
        <v>0.98</v>
      </c>
      <c r="G169" s="36">
        <v>27.0</v>
      </c>
      <c r="H169" s="36">
        <v>1.46</v>
      </c>
      <c r="I169" s="36">
        <v>38.8</v>
      </c>
      <c r="J169" s="36">
        <v>76.8</v>
      </c>
      <c r="K169" s="36">
        <v>140.0</v>
      </c>
      <c r="L169" s="36">
        <v>28.3</v>
      </c>
      <c r="M169" s="36">
        <v>96.0</v>
      </c>
      <c r="N169" s="36">
        <v>57.0</v>
      </c>
      <c r="O169" s="36">
        <v>27.0</v>
      </c>
      <c r="P169" s="36">
        <v>71.0</v>
      </c>
      <c r="Q169" s="36">
        <v>0.38</v>
      </c>
      <c r="R169" s="36">
        <v>0.86</v>
      </c>
      <c r="S169" s="36">
        <v>1.4</v>
      </c>
      <c r="T169" s="36">
        <v>2.26</v>
      </c>
      <c r="U169" s="21">
        <f t="shared" si="3"/>
        <v>2260</v>
      </c>
      <c r="V169" s="21">
        <f t="shared" si="4"/>
        <v>400</v>
      </c>
      <c r="Y169" s="45"/>
      <c r="Z169" s="36"/>
    </row>
    <row r="170" ht="14.25" customHeight="1">
      <c r="A170" s="38">
        <v>0.42430555555555555</v>
      </c>
      <c r="B170" s="36">
        <v>200.0</v>
      </c>
      <c r="C170" s="36">
        <v>29.5</v>
      </c>
      <c r="D170" s="36">
        <v>1885.0</v>
      </c>
      <c r="E170" s="36">
        <v>1860.0</v>
      </c>
      <c r="F170" s="36">
        <v>0.99</v>
      </c>
      <c r="G170" s="36">
        <v>27.0</v>
      </c>
      <c r="H170" s="36">
        <v>1.45</v>
      </c>
      <c r="I170" s="36">
        <v>38.9</v>
      </c>
      <c r="J170" s="36">
        <v>76.7</v>
      </c>
      <c r="K170" s="36">
        <v>140.0</v>
      </c>
      <c r="L170" s="36">
        <v>28.3</v>
      </c>
      <c r="M170" s="36">
        <v>96.0</v>
      </c>
      <c r="N170" s="36">
        <v>58.0</v>
      </c>
      <c r="O170" s="36">
        <v>27.0</v>
      </c>
      <c r="P170" s="36">
        <v>71.0</v>
      </c>
      <c r="Q170" s="36">
        <v>0.38</v>
      </c>
      <c r="R170" s="36">
        <v>0.86</v>
      </c>
      <c r="S170" s="36">
        <v>1.38</v>
      </c>
      <c r="T170" s="36">
        <v>2.24</v>
      </c>
      <c r="U170" s="21">
        <f t="shared" si="3"/>
        <v>2240</v>
      </c>
      <c r="V170" s="21">
        <f t="shared" si="4"/>
        <v>0</v>
      </c>
      <c r="Y170" s="45"/>
      <c r="Z170" s="36"/>
    </row>
    <row r="171" ht="14.25" customHeight="1">
      <c r="A171" s="38">
        <v>0.42569444444444443</v>
      </c>
      <c r="B171" s="36">
        <v>201.0</v>
      </c>
      <c r="C171" s="36">
        <v>30.0</v>
      </c>
      <c r="D171" s="36">
        <v>1918.0</v>
      </c>
      <c r="E171" s="36">
        <v>1896.0</v>
      </c>
      <c r="F171" s="36">
        <v>0.99</v>
      </c>
      <c r="G171" s="36">
        <v>27.0</v>
      </c>
      <c r="H171" s="36">
        <v>1.48</v>
      </c>
      <c r="I171" s="36">
        <v>39.6</v>
      </c>
      <c r="J171" s="36">
        <v>76.3</v>
      </c>
      <c r="K171" s="36">
        <v>140.0</v>
      </c>
      <c r="L171" s="36">
        <v>28.1</v>
      </c>
      <c r="M171" s="36">
        <v>95.0</v>
      </c>
      <c r="N171" s="36">
        <v>58.0</v>
      </c>
      <c r="O171" s="36">
        <v>27.0</v>
      </c>
      <c r="P171" s="36">
        <v>72.0</v>
      </c>
      <c r="Q171" s="36">
        <v>0.38</v>
      </c>
      <c r="R171" s="36">
        <v>0.85</v>
      </c>
      <c r="S171" s="36">
        <v>1.38</v>
      </c>
      <c r="T171" s="36">
        <v>2.24</v>
      </c>
      <c r="U171" s="21">
        <f t="shared" si="3"/>
        <v>2240</v>
      </c>
      <c r="V171" s="21">
        <f t="shared" si="4"/>
        <v>0</v>
      </c>
      <c r="Y171" s="45"/>
      <c r="Z171" s="36"/>
    </row>
    <row r="172" ht="14.25" customHeight="1">
      <c r="A172" s="38">
        <v>0.4270833333333333</v>
      </c>
      <c r="B172" s="36">
        <v>202.0</v>
      </c>
      <c r="C172" s="36">
        <v>30.7</v>
      </c>
      <c r="D172" s="36">
        <v>1963.0</v>
      </c>
      <c r="E172" s="36">
        <v>1945.0</v>
      </c>
      <c r="F172" s="36">
        <v>0.99</v>
      </c>
      <c r="G172" s="36">
        <v>27.0</v>
      </c>
      <c r="H172" s="36">
        <v>1.52</v>
      </c>
      <c r="I172" s="36">
        <v>40.6</v>
      </c>
      <c r="J172" s="36">
        <v>75.6</v>
      </c>
      <c r="K172" s="36">
        <v>140.0</v>
      </c>
      <c r="L172" s="36">
        <v>28.1</v>
      </c>
      <c r="M172" s="36">
        <v>96.0</v>
      </c>
      <c r="N172" s="36">
        <v>58.0</v>
      </c>
      <c r="O172" s="36">
        <v>27.0</v>
      </c>
      <c r="P172" s="36">
        <v>74.0</v>
      </c>
      <c r="Q172" s="36">
        <v>0.38</v>
      </c>
      <c r="R172" s="36">
        <v>0.86</v>
      </c>
      <c r="S172" s="36">
        <v>1.38</v>
      </c>
      <c r="T172" s="36">
        <v>2.24</v>
      </c>
      <c r="U172" s="21">
        <f t="shared" si="3"/>
        <v>2240</v>
      </c>
      <c r="V172" s="21">
        <f t="shared" si="4"/>
        <v>100</v>
      </c>
      <c r="Y172" s="45"/>
      <c r="Z172" s="36"/>
    </row>
    <row r="173" ht="14.25" customHeight="1">
      <c r="A173" s="38">
        <v>0.4284722222222222</v>
      </c>
      <c r="B173" s="36">
        <v>203.0</v>
      </c>
      <c r="C173" s="36">
        <v>30.9</v>
      </c>
      <c r="D173" s="36">
        <v>1979.0</v>
      </c>
      <c r="E173" s="36">
        <v>1973.0</v>
      </c>
      <c r="F173" s="36">
        <v>1.0</v>
      </c>
      <c r="G173" s="36">
        <v>27.0</v>
      </c>
      <c r="H173" s="36">
        <v>1.55</v>
      </c>
      <c r="I173" s="36">
        <v>41.3</v>
      </c>
      <c r="J173" s="36">
        <v>75.3</v>
      </c>
      <c r="K173" s="36">
        <v>140.0</v>
      </c>
      <c r="L173" s="36">
        <v>28.0</v>
      </c>
      <c r="M173" s="36">
        <v>96.0</v>
      </c>
      <c r="N173" s="36">
        <v>58.0</v>
      </c>
      <c r="O173" s="36">
        <v>27.0</v>
      </c>
      <c r="P173" s="36">
        <v>75.0</v>
      </c>
      <c r="Q173" s="36">
        <v>0.39</v>
      </c>
      <c r="R173" s="36">
        <v>0.87</v>
      </c>
      <c r="S173" s="36">
        <v>1.38</v>
      </c>
      <c r="T173" s="36">
        <v>2.25</v>
      </c>
      <c r="U173" s="21">
        <f t="shared" si="3"/>
        <v>2250</v>
      </c>
      <c r="V173" s="21">
        <f t="shared" si="4"/>
        <v>36100</v>
      </c>
      <c r="Y173" s="45"/>
      <c r="Z173" s="36"/>
    </row>
    <row r="174" ht="14.25" customHeight="1">
      <c r="A174" s="38">
        <v>0.43125</v>
      </c>
      <c r="B174" s="36">
        <v>204.0</v>
      </c>
      <c r="C174" s="36">
        <v>31.3</v>
      </c>
      <c r="D174" s="36">
        <v>2003.0</v>
      </c>
      <c r="E174" s="36">
        <v>2035.0</v>
      </c>
      <c r="F174" s="36">
        <v>1.02</v>
      </c>
      <c r="G174" s="36">
        <v>25.0</v>
      </c>
      <c r="H174" s="36">
        <v>1.72</v>
      </c>
      <c r="I174" s="36">
        <v>42.3</v>
      </c>
      <c r="J174" s="36">
        <v>74.7</v>
      </c>
      <c r="K174" s="36">
        <v>140.0</v>
      </c>
      <c r="L174" s="36">
        <v>28.1</v>
      </c>
      <c r="M174" s="36">
        <v>96.0</v>
      </c>
      <c r="N174" s="36">
        <v>58.0</v>
      </c>
      <c r="O174" s="36">
        <v>25.0</v>
      </c>
      <c r="P174" s="36">
        <v>76.0</v>
      </c>
      <c r="Q174" s="36">
        <v>0.39</v>
      </c>
      <c r="R174" s="36">
        <v>0.95</v>
      </c>
      <c r="S174" s="36">
        <v>1.49</v>
      </c>
      <c r="T174" s="36">
        <v>2.44</v>
      </c>
      <c r="U174" s="21">
        <f t="shared" si="3"/>
        <v>2440</v>
      </c>
      <c r="V174" s="21">
        <f t="shared" si="4"/>
        <v>32400</v>
      </c>
      <c r="Y174" s="45"/>
      <c r="Z174" s="36"/>
    </row>
    <row r="175" ht="14.25" customHeight="1">
      <c r="A175" s="38">
        <v>0.43333333333333335</v>
      </c>
      <c r="B175" s="36">
        <v>205.0</v>
      </c>
      <c r="C175" s="36">
        <v>31.8</v>
      </c>
      <c r="D175" s="36">
        <v>2034.0</v>
      </c>
      <c r="E175" s="36">
        <v>2095.0</v>
      </c>
      <c r="F175" s="36">
        <v>1.03</v>
      </c>
      <c r="G175" s="36">
        <v>23.0</v>
      </c>
      <c r="H175" s="36">
        <v>1.89</v>
      </c>
      <c r="I175" s="36">
        <v>43.2</v>
      </c>
      <c r="J175" s="36">
        <v>74.1</v>
      </c>
      <c r="K175" s="36">
        <v>145.0</v>
      </c>
      <c r="L175" s="36">
        <v>25.9</v>
      </c>
      <c r="M175" s="36">
        <v>97.0</v>
      </c>
      <c r="N175" s="36">
        <v>58.0</v>
      </c>
      <c r="O175" s="36">
        <v>23.0</v>
      </c>
      <c r="P175" s="36">
        <v>77.0</v>
      </c>
      <c r="Q175" s="36">
        <v>0.39</v>
      </c>
      <c r="R175" s="36">
        <v>1.02</v>
      </c>
      <c r="S175" s="36">
        <v>1.6</v>
      </c>
      <c r="T175" s="36">
        <v>2.62</v>
      </c>
      <c r="U175" s="21">
        <f t="shared" si="3"/>
        <v>2620</v>
      </c>
      <c r="V175" s="21">
        <f t="shared" si="4"/>
        <v>400</v>
      </c>
      <c r="Y175" s="45"/>
      <c r="Z175" s="36"/>
    </row>
    <row r="176" ht="14.25" customHeight="1">
      <c r="A176" s="38">
        <v>0.43472222222222223</v>
      </c>
      <c r="B176" s="36">
        <v>206.0</v>
      </c>
      <c r="C176" s="36">
        <v>32.3</v>
      </c>
      <c r="D176" s="36">
        <v>2068.0</v>
      </c>
      <c r="E176" s="36">
        <v>2129.0</v>
      </c>
      <c r="F176" s="36">
        <v>1.03</v>
      </c>
      <c r="G176" s="36">
        <v>23.0</v>
      </c>
      <c r="H176" s="36">
        <v>1.91</v>
      </c>
      <c r="I176" s="36">
        <v>43.9</v>
      </c>
      <c r="J176" s="36">
        <v>73.7</v>
      </c>
      <c r="K176" s="36">
        <v>145.0</v>
      </c>
      <c r="L176" s="36">
        <v>25.9</v>
      </c>
      <c r="M176" s="36">
        <v>97.0</v>
      </c>
      <c r="N176" s="36">
        <v>58.0</v>
      </c>
      <c r="O176" s="36">
        <v>23.0</v>
      </c>
      <c r="P176" s="36">
        <v>78.0</v>
      </c>
      <c r="Q176" s="36">
        <v>0.39</v>
      </c>
      <c r="R176" s="36">
        <v>1.02</v>
      </c>
      <c r="S176" s="36">
        <v>1.58</v>
      </c>
      <c r="T176" s="36">
        <v>2.6</v>
      </c>
      <c r="U176" s="21">
        <f t="shared" si="3"/>
        <v>2600</v>
      </c>
      <c r="V176" s="21">
        <f t="shared" si="4"/>
        <v>100</v>
      </c>
      <c r="Y176" s="45"/>
      <c r="Z176" s="36"/>
    </row>
    <row r="177" ht="14.25" customHeight="1">
      <c r="A177" s="38">
        <v>0.4361111111111111</v>
      </c>
      <c r="B177" s="36">
        <v>207.0</v>
      </c>
      <c r="C177" s="36">
        <v>33.1</v>
      </c>
      <c r="D177" s="36">
        <v>2117.0</v>
      </c>
      <c r="E177" s="36">
        <v>2188.0</v>
      </c>
      <c r="F177" s="36">
        <v>1.03</v>
      </c>
      <c r="G177" s="36">
        <v>23.0</v>
      </c>
      <c r="H177" s="36">
        <v>1.95</v>
      </c>
      <c r="I177" s="36">
        <v>44.8</v>
      </c>
      <c r="J177" s="36">
        <v>73.1</v>
      </c>
      <c r="K177" s="36">
        <v>146.0</v>
      </c>
      <c r="L177" s="36">
        <v>25.1</v>
      </c>
      <c r="M177" s="36">
        <v>97.0</v>
      </c>
      <c r="N177" s="36">
        <v>58.0</v>
      </c>
      <c r="O177" s="36">
        <v>23.0</v>
      </c>
      <c r="P177" s="36">
        <v>80.0</v>
      </c>
      <c r="Q177" s="36">
        <v>0.39</v>
      </c>
      <c r="R177" s="36">
        <v>1.01</v>
      </c>
      <c r="S177" s="36">
        <v>1.6</v>
      </c>
      <c r="T177" s="36">
        <v>2.61</v>
      </c>
      <c r="U177" s="21">
        <f t="shared" si="3"/>
        <v>2610</v>
      </c>
      <c r="V177" s="21">
        <f t="shared" si="4"/>
        <v>2500</v>
      </c>
      <c r="Y177" s="45"/>
      <c r="Z177" s="36"/>
    </row>
    <row r="178" ht="14.25" customHeight="1">
      <c r="A178" s="38">
        <v>0.4375</v>
      </c>
      <c r="B178" s="36">
        <v>209.0</v>
      </c>
      <c r="C178" s="36">
        <v>32.7</v>
      </c>
      <c r="D178" s="36">
        <v>2093.0</v>
      </c>
      <c r="E178" s="36">
        <v>2174.0</v>
      </c>
      <c r="F178" s="36">
        <v>1.04</v>
      </c>
      <c r="G178" s="36">
        <v>23.0</v>
      </c>
      <c r="H178" s="36">
        <v>1.91</v>
      </c>
      <c r="I178" s="36">
        <v>44.7</v>
      </c>
      <c r="J178" s="36">
        <v>73.2</v>
      </c>
      <c r="K178" s="36">
        <v>147.0</v>
      </c>
      <c r="L178" s="36">
        <v>24.6</v>
      </c>
      <c r="M178" s="36">
        <v>97.0</v>
      </c>
      <c r="N178" s="36">
        <v>58.0</v>
      </c>
      <c r="O178" s="36">
        <v>23.0</v>
      </c>
      <c r="P178" s="36">
        <v>79.0</v>
      </c>
      <c r="Q178" s="36">
        <v>0.38</v>
      </c>
      <c r="R178" s="36">
        <v>0.99</v>
      </c>
      <c r="S178" s="36">
        <v>1.58</v>
      </c>
      <c r="T178" s="36">
        <v>2.56</v>
      </c>
      <c r="U178" s="21">
        <f t="shared" si="3"/>
        <v>2560</v>
      </c>
      <c r="V178" s="21">
        <f t="shared" si="4"/>
        <v>400</v>
      </c>
      <c r="Y178" s="45"/>
      <c r="Z178" s="36"/>
    </row>
    <row r="179" ht="14.25" customHeight="1">
      <c r="A179" s="38">
        <v>0.4395833333333333</v>
      </c>
      <c r="B179" s="36">
        <v>209.0</v>
      </c>
      <c r="C179" s="36">
        <v>32.7</v>
      </c>
      <c r="D179" s="36">
        <v>2095.0</v>
      </c>
      <c r="E179" s="36">
        <v>2183.0</v>
      </c>
      <c r="F179" s="36">
        <v>1.04</v>
      </c>
      <c r="G179" s="36">
        <v>23.0</v>
      </c>
      <c r="H179" s="36">
        <v>1.92</v>
      </c>
      <c r="I179" s="36">
        <v>44.7</v>
      </c>
      <c r="J179" s="36">
        <v>73.2</v>
      </c>
      <c r="K179" s="36">
        <v>147.0</v>
      </c>
      <c r="L179" s="36">
        <v>24.6</v>
      </c>
      <c r="M179" s="36">
        <v>97.0</v>
      </c>
      <c r="N179" s="36">
        <v>58.0</v>
      </c>
      <c r="O179" s="36">
        <v>23.0</v>
      </c>
      <c r="P179" s="36">
        <v>79.0</v>
      </c>
      <c r="Q179" s="36">
        <v>0.38</v>
      </c>
      <c r="R179" s="36">
        <v>0.99</v>
      </c>
      <c r="S179" s="36">
        <v>1.59</v>
      </c>
      <c r="T179" s="36">
        <v>2.58</v>
      </c>
      <c r="U179" s="21">
        <f t="shared" si="3"/>
        <v>2580</v>
      </c>
      <c r="V179" s="21">
        <f t="shared" si="4"/>
        <v>400</v>
      </c>
      <c r="Y179" s="45"/>
      <c r="Z179" s="36"/>
    </row>
    <row r="180" ht="14.25" customHeight="1">
      <c r="A180" s="38">
        <v>0.4409722222222222</v>
      </c>
      <c r="B180" s="36">
        <v>210.0</v>
      </c>
      <c r="C180" s="36">
        <v>33.3</v>
      </c>
      <c r="D180" s="36">
        <v>2134.0</v>
      </c>
      <c r="E180" s="36">
        <v>2227.0</v>
      </c>
      <c r="F180" s="36">
        <v>1.04</v>
      </c>
      <c r="G180" s="36">
        <v>23.0</v>
      </c>
      <c r="H180" s="36">
        <v>1.97</v>
      </c>
      <c r="I180" s="36">
        <v>45.4</v>
      </c>
      <c r="J180" s="36">
        <v>72.8</v>
      </c>
      <c r="K180" s="36">
        <v>147.0</v>
      </c>
      <c r="L180" s="36">
        <v>24.4</v>
      </c>
      <c r="M180" s="36">
        <v>97.0</v>
      </c>
      <c r="N180" s="36">
        <v>58.0</v>
      </c>
      <c r="O180" s="36">
        <v>23.0</v>
      </c>
      <c r="P180" s="36">
        <v>80.0</v>
      </c>
      <c r="Q180" s="36">
        <v>0.39</v>
      </c>
      <c r="R180" s="36">
        <v>1.0</v>
      </c>
      <c r="S180" s="36">
        <v>1.6</v>
      </c>
      <c r="T180" s="36">
        <v>2.6</v>
      </c>
      <c r="U180" s="21">
        <f t="shared" si="3"/>
        <v>2600</v>
      </c>
      <c r="V180" s="21">
        <f t="shared" si="4"/>
        <v>44100</v>
      </c>
      <c r="Y180" s="45"/>
      <c r="Z180" s="36"/>
    </row>
    <row r="181" ht="14.25" customHeight="1">
      <c r="A181" s="38">
        <v>0.4423611111111111</v>
      </c>
      <c r="B181" s="36">
        <v>211.0</v>
      </c>
      <c r="C181" s="36">
        <v>33.9</v>
      </c>
      <c r="D181" s="36">
        <v>2168.0</v>
      </c>
      <c r="E181" s="36">
        <v>2244.0</v>
      </c>
      <c r="F181" s="36">
        <v>1.04</v>
      </c>
      <c r="G181" s="36">
        <v>25.0</v>
      </c>
      <c r="H181" s="36">
        <v>1.83</v>
      </c>
      <c r="I181" s="36">
        <v>46.0</v>
      </c>
      <c r="J181" s="36">
        <v>72.4</v>
      </c>
      <c r="K181" s="36">
        <v>147.0</v>
      </c>
      <c r="L181" s="36">
        <v>24.4</v>
      </c>
      <c r="M181" s="36">
        <v>97.0</v>
      </c>
      <c r="N181" s="36">
        <v>58.0</v>
      </c>
      <c r="O181" s="36">
        <v>25.0</v>
      </c>
      <c r="P181" s="36">
        <v>82.0</v>
      </c>
      <c r="Q181" s="36">
        <v>0.39</v>
      </c>
      <c r="R181" s="36">
        <v>0.92</v>
      </c>
      <c r="S181" s="36">
        <v>1.47</v>
      </c>
      <c r="T181" s="36">
        <v>2.39</v>
      </c>
      <c r="U181" s="21">
        <f t="shared" si="3"/>
        <v>2390</v>
      </c>
      <c r="V181" s="21">
        <f t="shared" si="4"/>
        <v>28900</v>
      </c>
      <c r="Y181" s="45"/>
      <c r="Z181" s="36"/>
    </row>
    <row r="182" ht="14.25" customHeight="1">
      <c r="A182" s="38">
        <v>0.4444444444444444</v>
      </c>
      <c r="B182" s="36">
        <v>213.0</v>
      </c>
      <c r="C182" s="36">
        <v>33.9</v>
      </c>
      <c r="D182" s="36">
        <v>2172.0</v>
      </c>
      <c r="E182" s="36">
        <v>2229.0</v>
      </c>
      <c r="F182" s="36">
        <v>1.03</v>
      </c>
      <c r="G182" s="36">
        <v>27.0</v>
      </c>
      <c r="H182" s="36">
        <v>1.7</v>
      </c>
      <c r="I182" s="36">
        <v>46.0</v>
      </c>
      <c r="J182" s="36">
        <v>72.4</v>
      </c>
      <c r="K182" s="36">
        <v>149.0</v>
      </c>
      <c r="L182" s="36">
        <v>23.7</v>
      </c>
      <c r="M182" s="36">
        <v>97.0</v>
      </c>
      <c r="N182" s="36">
        <v>58.0</v>
      </c>
      <c r="O182" s="36">
        <v>27.0</v>
      </c>
      <c r="P182" s="36">
        <v>82.0</v>
      </c>
      <c r="Q182" s="36">
        <v>0.38</v>
      </c>
      <c r="R182" s="36">
        <v>0.84</v>
      </c>
      <c r="S182" s="36">
        <v>1.38</v>
      </c>
      <c r="T182" s="36">
        <v>2.22</v>
      </c>
      <c r="U182" s="21">
        <f t="shared" si="3"/>
        <v>2220</v>
      </c>
      <c r="V182" s="21">
        <f t="shared" si="4"/>
        <v>0</v>
      </c>
      <c r="Y182" s="45"/>
      <c r="Z182" s="36"/>
    </row>
    <row r="183" ht="14.25" customHeight="1">
      <c r="A183" s="38">
        <v>0.44583333333333336</v>
      </c>
      <c r="B183" s="36">
        <v>213.0</v>
      </c>
      <c r="C183" s="36">
        <v>33.9</v>
      </c>
      <c r="D183" s="36">
        <v>2168.0</v>
      </c>
      <c r="E183" s="36">
        <v>2221.0</v>
      </c>
      <c r="F183" s="36">
        <v>1.02</v>
      </c>
      <c r="G183" s="36">
        <v>27.0</v>
      </c>
      <c r="H183" s="36">
        <v>1.7</v>
      </c>
      <c r="I183" s="36">
        <v>45.8</v>
      </c>
      <c r="J183" s="36">
        <v>72.5</v>
      </c>
      <c r="K183" s="36">
        <v>149.0</v>
      </c>
      <c r="L183" s="36">
        <v>23.5</v>
      </c>
      <c r="M183" s="36">
        <v>97.0</v>
      </c>
      <c r="N183" s="36">
        <v>58.0</v>
      </c>
      <c r="O183" s="36">
        <v>27.0</v>
      </c>
      <c r="P183" s="36">
        <v>82.0</v>
      </c>
      <c r="Q183" s="36">
        <v>0.38</v>
      </c>
      <c r="R183" s="36">
        <v>0.84</v>
      </c>
      <c r="S183" s="36">
        <v>1.38</v>
      </c>
      <c r="T183" s="36">
        <v>2.22</v>
      </c>
      <c r="U183" s="21">
        <f t="shared" si="3"/>
        <v>2220</v>
      </c>
      <c r="V183" s="21">
        <f t="shared" si="4"/>
        <v>100</v>
      </c>
      <c r="Y183" s="45"/>
      <c r="Z183" s="36"/>
    </row>
    <row r="184" ht="14.25" customHeight="1">
      <c r="A184" s="38">
        <v>0.44722222222222224</v>
      </c>
      <c r="B184" s="36">
        <v>214.0</v>
      </c>
      <c r="C184" s="36">
        <v>33.7</v>
      </c>
      <c r="D184" s="36">
        <v>2157.0</v>
      </c>
      <c r="E184" s="36">
        <v>2211.0</v>
      </c>
      <c r="F184" s="36">
        <v>1.03</v>
      </c>
      <c r="G184" s="36">
        <v>27.0</v>
      </c>
      <c r="H184" s="36">
        <v>1.68</v>
      </c>
      <c r="I184" s="36">
        <v>45.6</v>
      </c>
      <c r="J184" s="36">
        <v>72.6</v>
      </c>
      <c r="K184" s="36">
        <v>149.0</v>
      </c>
      <c r="L184" s="36">
        <v>23.5</v>
      </c>
      <c r="M184" s="36">
        <v>97.0</v>
      </c>
      <c r="N184" s="36">
        <v>58.0</v>
      </c>
      <c r="O184" s="36">
        <v>27.0</v>
      </c>
      <c r="P184" s="36">
        <v>81.0</v>
      </c>
      <c r="Q184" s="36">
        <v>0.38</v>
      </c>
      <c r="R184" s="36">
        <v>0.84</v>
      </c>
      <c r="S184" s="36">
        <v>1.37</v>
      </c>
      <c r="T184" s="36">
        <v>2.21</v>
      </c>
      <c r="U184" s="21">
        <f t="shared" si="3"/>
        <v>2210</v>
      </c>
      <c r="V184" s="21">
        <f t="shared" si="4"/>
        <v>400</v>
      </c>
      <c r="Y184" s="45"/>
      <c r="Z184" s="36"/>
    </row>
    <row r="185" ht="14.25" customHeight="1">
      <c r="A185" s="38">
        <v>0.4486111111111111</v>
      </c>
      <c r="B185" s="36">
        <v>215.0</v>
      </c>
      <c r="C185" s="36">
        <v>34.2</v>
      </c>
      <c r="D185" s="36">
        <v>2190.0</v>
      </c>
      <c r="E185" s="36">
        <v>2248.0</v>
      </c>
      <c r="F185" s="36">
        <v>1.03</v>
      </c>
      <c r="G185" s="36">
        <v>27.0</v>
      </c>
      <c r="H185" s="36">
        <v>1.69</v>
      </c>
      <c r="I185" s="36">
        <v>46.4</v>
      </c>
      <c r="J185" s="36">
        <v>72.2</v>
      </c>
      <c r="K185" s="36">
        <v>150.0</v>
      </c>
      <c r="L185" s="36">
        <v>23.1</v>
      </c>
      <c r="M185" s="36">
        <v>97.0</v>
      </c>
      <c r="N185" s="36">
        <v>58.0</v>
      </c>
      <c r="O185" s="36">
        <v>27.0</v>
      </c>
      <c r="P185" s="36">
        <v>83.0</v>
      </c>
      <c r="Q185" s="36">
        <v>0.39</v>
      </c>
      <c r="R185" s="36">
        <v>0.86</v>
      </c>
      <c r="S185" s="36">
        <v>1.33</v>
      </c>
      <c r="T185" s="36">
        <v>2.19</v>
      </c>
      <c r="U185" s="21">
        <f t="shared" si="3"/>
        <v>2190</v>
      </c>
      <c r="V185" s="21">
        <f t="shared" si="4"/>
        <v>900</v>
      </c>
      <c r="Y185" s="45"/>
      <c r="Z185" s="36"/>
    </row>
    <row r="186" ht="14.25" customHeight="1">
      <c r="A186" s="38">
        <v>0.45</v>
      </c>
      <c r="B186" s="36">
        <v>215.0</v>
      </c>
      <c r="C186" s="36">
        <v>34.3</v>
      </c>
      <c r="D186" s="36">
        <v>2198.0</v>
      </c>
      <c r="E186" s="36">
        <v>2260.0</v>
      </c>
      <c r="F186" s="36">
        <v>1.03</v>
      </c>
      <c r="G186" s="36">
        <v>27.0</v>
      </c>
      <c r="H186" s="36">
        <v>1.73</v>
      </c>
      <c r="I186" s="36">
        <v>46.6</v>
      </c>
      <c r="J186" s="36">
        <v>72.1</v>
      </c>
      <c r="K186" s="36">
        <v>151.0</v>
      </c>
      <c r="L186" s="36">
        <v>22.7</v>
      </c>
      <c r="M186" s="36">
        <v>97.0</v>
      </c>
      <c r="N186" s="36">
        <v>58.0</v>
      </c>
      <c r="O186" s="36">
        <v>27.0</v>
      </c>
      <c r="P186" s="36">
        <v>83.0</v>
      </c>
      <c r="Q186" s="36">
        <v>0.4</v>
      </c>
      <c r="R186" s="36">
        <v>0.88</v>
      </c>
      <c r="S186" s="36">
        <v>1.34</v>
      </c>
      <c r="T186" s="36">
        <v>2.22</v>
      </c>
      <c r="U186" s="21">
        <f t="shared" si="3"/>
        <v>2220</v>
      </c>
      <c r="V186" s="21">
        <f t="shared" si="4"/>
        <v>0</v>
      </c>
      <c r="Y186" s="45"/>
      <c r="Z186" s="36"/>
    </row>
    <row r="187" ht="14.25" customHeight="1">
      <c r="A187" s="38">
        <v>0.4513888888888889</v>
      </c>
      <c r="B187" s="36">
        <v>217.0</v>
      </c>
      <c r="C187" s="36">
        <v>33.8</v>
      </c>
      <c r="D187" s="36">
        <v>2162.0</v>
      </c>
      <c r="E187" s="36">
        <v>2237.0</v>
      </c>
      <c r="F187" s="36">
        <v>1.03</v>
      </c>
      <c r="G187" s="36">
        <v>27.0</v>
      </c>
      <c r="H187" s="36">
        <v>1.71</v>
      </c>
      <c r="I187" s="36">
        <v>46.3</v>
      </c>
      <c r="J187" s="36">
        <v>72.2</v>
      </c>
      <c r="K187" s="36">
        <v>152.0</v>
      </c>
      <c r="L187" s="36">
        <v>22.3</v>
      </c>
      <c r="M187" s="36">
        <v>97.0</v>
      </c>
      <c r="N187" s="36">
        <v>58.0</v>
      </c>
      <c r="O187" s="36">
        <v>27.0</v>
      </c>
      <c r="P187" s="36">
        <v>82.0</v>
      </c>
      <c r="Q187" s="36">
        <v>0.4</v>
      </c>
      <c r="R187" s="36">
        <v>0.9</v>
      </c>
      <c r="S187" s="36">
        <v>1.32</v>
      </c>
      <c r="T187" s="36">
        <v>2.22</v>
      </c>
      <c r="U187" s="21">
        <f t="shared" si="3"/>
        <v>2220</v>
      </c>
      <c r="V187" s="8">
        <v>0.0</v>
      </c>
      <c r="Y187" s="45"/>
      <c r="Z187" s="36"/>
    </row>
    <row r="188" ht="14.25" customHeight="1">
      <c r="A188" s="36" t="s">
        <v>81</v>
      </c>
      <c r="Y188" s="45"/>
      <c r="Z188" s="36"/>
    </row>
    <row r="189" ht="14.25" customHeight="1">
      <c r="A189" s="38">
        <v>0.4534722222222222</v>
      </c>
      <c r="B189" s="36">
        <v>218.0</v>
      </c>
      <c r="C189" s="36">
        <v>34.5</v>
      </c>
      <c r="D189" s="36">
        <v>2208.0</v>
      </c>
      <c r="E189" s="36">
        <v>2288.0</v>
      </c>
      <c r="F189" s="36">
        <v>1.04</v>
      </c>
      <c r="G189" s="36">
        <v>28.0</v>
      </c>
      <c r="H189" s="36">
        <v>1.7</v>
      </c>
      <c r="I189" s="36">
        <v>47.2</v>
      </c>
      <c r="J189" s="36">
        <v>71.7</v>
      </c>
      <c r="K189" s="36">
        <v>152.0</v>
      </c>
      <c r="L189" s="36">
        <v>22.1</v>
      </c>
      <c r="M189" s="36">
        <v>97.0</v>
      </c>
      <c r="N189" s="36">
        <v>58.0</v>
      </c>
      <c r="O189" s="36">
        <v>28.0</v>
      </c>
      <c r="P189" s="36">
        <v>83.0</v>
      </c>
      <c r="Q189" s="36">
        <v>0.4</v>
      </c>
      <c r="R189" s="36">
        <v>0.87</v>
      </c>
      <c r="S189" s="36">
        <v>1.3</v>
      </c>
      <c r="T189" s="36">
        <v>2.17</v>
      </c>
      <c r="U189" s="21">
        <f t="shared" ref="U189:U194" si="5">T189*1000</f>
        <v>2170</v>
      </c>
      <c r="V189" s="21">
        <f t="shared" ref="V189:V193" si="6">(U189-U190)^2</f>
        <v>100</v>
      </c>
      <c r="W189" s="8">
        <f>SQRT(AVERAGE(V189:V333))</f>
        <v>34.78505426</v>
      </c>
      <c r="Y189" s="45"/>
      <c r="Z189" s="36"/>
    </row>
    <row r="190" ht="14.25" customHeight="1">
      <c r="A190" s="38">
        <v>0.4548611111111111</v>
      </c>
      <c r="B190" s="36">
        <v>218.0</v>
      </c>
      <c r="C190" s="36">
        <v>36.6</v>
      </c>
      <c r="D190" s="36">
        <v>2343.0</v>
      </c>
      <c r="E190" s="36">
        <v>2447.0</v>
      </c>
      <c r="F190" s="36">
        <v>1.04</v>
      </c>
      <c r="G190" s="36">
        <v>28.0</v>
      </c>
      <c r="H190" s="36">
        <v>1.83</v>
      </c>
      <c r="I190" s="36">
        <v>50.6</v>
      </c>
      <c r="J190" s="36">
        <v>69.7</v>
      </c>
      <c r="K190" s="36">
        <v>152.0</v>
      </c>
      <c r="L190" s="36">
        <v>22.1</v>
      </c>
      <c r="M190" s="36">
        <v>98.0</v>
      </c>
      <c r="N190" s="36">
        <v>58.0</v>
      </c>
      <c r="O190" s="36">
        <v>28.0</v>
      </c>
      <c r="P190" s="36">
        <v>88.0</v>
      </c>
      <c r="Q190" s="36">
        <v>0.39</v>
      </c>
      <c r="R190" s="36">
        <v>0.85</v>
      </c>
      <c r="S190" s="36">
        <v>1.33</v>
      </c>
      <c r="T190" s="36">
        <v>2.18</v>
      </c>
      <c r="U190" s="21">
        <f t="shared" si="5"/>
        <v>2180</v>
      </c>
      <c r="V190" s="21">
        <f t="shared" si="6"/>
        <v>100</v>
      </c>
      <c r="Y190" s="45"/>
      <c r="Z190" s="36"/>
    </row>
    <row r="191" ht="14.25" customHeight="1">
      <c r="A191" s="38">
        <v>0.45694444444444443</v>
      </c>
      <c r="B191" s="36">
        <v>220.0</v>
      </c>
      <c r="C191" s="36">
        <v>38.1</v>
      </c>
      <c r="D191" s="36">
        <v>2439.0</v>
      </c>
      <c r="E191" s="36">
        <v>2604.0</v>
      </c>
      <c r="F191" s="36">
        <v>1.07</v>
      </c>
      <c r="G191" s="36">
        <v>28.0</v>
      </c>
      <c r="H191" s="36">
        <v>1.97</v>
      </c>
      <c r="I191" s="36">
        <v>54.4</v>
      </c>
      <c r="J191" s="36">
        <v>67.4</v>
      </c>
      <c r="K191" s="36">
        <v>152.0</v>
      </c>
      <c r="L191" s="36">
        <v>22.1</v>
      </c>
      <c r="M191" s="36">
        <v>99.0</v>
      </c>
      <c r="N191" s="36">
        <v>57.0</v>
      </c>
      <c r="O191" s="36">
        <v>28.0</v>
      </c>
      <c r="P191" s="36">
        <v>92.0</v>
      </c>
      <c r="Q191" s="36">
        <v>0.39</v>
      </c>
      <c r="R191" s="36">
        <v>0.84</v>
      </c>
      <c r="S191" s="36">
        <v>1.33</v>
      </c>
      <c r="T191" s="36">
        <v>2.17</v>
      </c>
      <c r="U191" s="21">
        <f t="shared" si="5"/>
        <v>2170</v>
      </c>
      <c r="V191" s="21">
        <f t="shared" si="6"/>
        <v>900</v>
      </c>
      <c r="Y191" s="45"/>
      <c r="Z191" s="36"/>
    </row>
    <row r="192" ht="14.25" customHeight="1">
      <c r="A192" s="38">
        <v>0.4583333333333333</v>
      </c>
      <c r="B192" s="36">
        <v>220.0</v>
      </c>
      <c r="C192" s="36">
        <v>39.4</v>
      </c>
      <c r="D192" s="36">
        <v>2521.0</v>
      </c>
      <c r="E192" s="36">
        <v>2742.0</v>
      </c>
      <c r="F192" s="36">
        <v>1.09</v>
      </c>
      <c r="G192" s="36">
        <v>28.0</v>
      </c>
      <c r="H192" s="36">
        <v>2.07</v>
      </c>
      <c r="I192" s="36">
        <v>58.0</v>
      </c>
      <c r="J192" s="36">
        <v>65.2</v>
      </c>
      <c r="K192" s="36">
        <v>152.0</v>
      </c>
      <c r="L192" s="36">
        <v>22.1</v>
      </c>
      <c r="M192" s="36">
        <v>101.0</v>
      </c>
      <c r="N192" s="36">
        <v>56.0</v>
      </c>
      <c r="O192" s="36">
        <v>28.0</v>
      </c>
      <c r="P192" s="36">
        <v>95.0</v>
      </c>
      <c r="Q192" s="36">
        <v>0.38</v>
      </c>
      <c r="R192" s="36">
        <v>0.82</v>
      </c>
      <c r="S192" s="36">
        <v>1.32</v>
      </c>
      <c r="T192" s="36">
        <v>2.14</v>
      </c>
      <c r="U192" s="21">
        <f t="shared" si="5"/>
        <v>2140</v>
      </c>
      <c r="V192" s="21">
        <f t="shared" si="6"/>
        <v>1600</v>
      </c>
      <c r="Y192" s="45"/>
      <c r="Z192" s="36"/>
    </row>
    <row r="193" ht="14.25" customHeight="1">
      <c r="A193" s="38">
        <v>0.45902777777777776</v>
      </c>
      <c r="B193" s="36">
        <v>221.0</v>
      </c>
      <c r="C193" s="36">
        <v>40.6</v>
      </c>
      <c r="D193" s="36">
        <v>2599.0</v>
      </c>
      <c r="E193" s="36">
        <v>2876.0</v>
      </c>
      <c r="F193" s="36">
        <v>1.11</v>
      </c>
      <c r="G193" s="36">
        <v>29.0</v>
      </c>
      <c r="H193" s="36">
        <v>2.14</v>
      </c>
      <c r="I193" s="36">
        <v>61.2</v>
      </c>
      <c r="J193" s="36">
        <v>63.3</v>
      </c>
      <c r="K193" s="36">
        <v>152.0</v>
      </c>
      <c r="L193" s="36">
        <v>22.1</v>
      </c>
      <c r="M193" s="36">
        <v>102.0</v>
      </c>
      <c r="N193" s="36">
        <v>56.0</v>
      </c>
      <c r="O193" s="36">
        <v>29.0</v>
      </c>
      <c r="P193" s="36">
        <v>98.0</v>
      </c>
      <c r="Q193" s="36">
        <v>0.37</v>
      </c>
      <c r="R193" s="36">
        <v>0.78</v>
      </c>
      <c r="S193" s="36">
        <v>1.32</v>
      </c>
      <c r="T193" s="36">
        <v>2.1</v>
      </c>
      <c r="U193" s="21">
        <f t="shared" si="5"/>
        <v>2100</v>
      </c>
      <c r="V193" s="21">
        <f t="shared" si="6"/>
        <v>400</v>
      </c>
      <c r="Y193" s="45"/>
      <c r="Z193" s="36"/>
    </row>
    <row r="194" ht="14.25" customHeight="1">
      <c r="A194" s="38">
        <v>0.46041666666666664</v>
      </c>
      <c r="B194" s="36">
        <v>222.0</v>
      </c>
      <c r="C194" s="36">
        <v>40.8</v>
      </c>
      <c r="D194" s="36">
        <v>2613.0</v>
      </c>
      <c r="E194" s="36">
        <v>2946.0</v>
      </c>
      <c r="F194" s="36">
        <v>1.13</v>
      </c>
      <c r="G194" s="36">
        <v>29.0</v>
      </c>
      <c r="H194" s="36">
        <v>2.19</v>
      </c>
      <c r="I194" s="36">
        <v>63.3</v>
      </c>
      <c r="J194" s="36">
        <v>62.1</v>
      </c>
      <c r="K194" s="36">
        <v>153.0</v>
      </c>
      <c r="L194" s="36">
        <v>21.3</v>
      </c>
      <c r="M194" s="36">
        <v>103.0</v>
      </c>
      <c r="N194" s="36">
        <v>55.0</v>
      </c>
      <c r="O194" s="36">
        <v>29.0</v>
      </c>
      <c r="P194" s="36">
        <v>99.0</v>
      </c>
      <c r="Q194" s="36">
        <v>0.37</v>
      </c>
      <c r="R194" s="36">
        <v>0.77</v>
      </c>
      <c r="S194" s="36">
        <v>1.31</v>
      </c>
      <c r="T194" s="36">
        <v>2.08</v>
      </c>
      <c r="U194" s="21">
        <f t="shared" si="5"/>
        <v>2080</v>
      </c>
      <c r="V194" s="8">
        <v>0.0</v>
      </c>
      <c r="Y194" s="45"/>
      <c r="Z194" s="36"/>
    </row>
    <row r="195" ht="14.25" customHeight="1">
      <c r="A195" s="36" t="s">
        <v>82</v>
      </c>
      <c r="Y195" s="45"/>
      <c r="Z195" s="36"/>
    </row>
    <row r="196" ht="14.25" customHeight="1">
      <c r="A196" s="38">
        <v>0.4618055555555556</v>
      </c>
      <c r="B196" s="36">
        <v>223.0</v>
      </c>
      <c r="C196" s="36">
        <v>40.8</v>
      </c>
      <c r="D196" s="36">
        <v>2614.0</v>
      </c>
      <c r="E196" s="36">
        <v>2946.0</v>
      </c>
      <c r="F196" s="36">
        <v>1.13</v>
      </c>
      <c r="G196" s="36">
        <v>29.0</v>
      </c>
      <c r="H196" s="36">
        <v>2.19</v>
      </c>
      <c r="I196" s="36">
        <v>63.3</v>
      </c>
      <c r="J196" s="36">
        <v>62.1</v>
      </c>
      <c r="K196" s="36">
        <v>153.0</v>
      </c>
      <c r="L196" s="36">
        <v>21.3</v>
      </c>
      <c r="M196" s="36">
        <v>103.0</v>
      </c>
      <c r="N196" s="36">
        <v>55.0</v>
      </c>
      <c r="O196" s="36">
        <v>29.0</v>
      </c>
      <c r="P196" s="36">
        <v>99.0</v>
      </c>
      <c r="Q196" s="36">
        <v>0.37</v>
      </c>
      <c r="R196" s="36">
        <v>0.77</v>
      </c>
      <c r="S196" s="36">
        <v>1.31</v>
      </c>
      <c r="T196" s="36">
        <v>2.08</v>
      </c>
      <c r="U196" s="21">
        <f t="shared" ref="U196:U199" si="7">T196*1000</f>
        <v>2080</v>
      </c>
      <c r="V196" s="21">
        <f t="shared" ref="V196:V198" si="8">(U196-U197)^2</f>
        <v>6400</v>
      </c>
      <c r="Y196" s="45"/>
      <c r="Z196" s="36"/>
    </row>
    <row r="197" ht="14.25" customHeight="1">
      <c r="A197" s="38">
        <v>0.46319444444444446</v>
      </c>
      <c r="B197" s="36">
        <v>223.0</v>
      </c>
      <c r="C197" s="36">
        <v>40.2</v>
      </c>
      <c r="D197" s="36">
        <v>2572.0</v>
      </c>
      <c r="E197" s="36">
        <v>2941.0</v>
      </c>
      <c r="F197" s="36">
        <v>1.14</v>
      </c>
      <c r="G197" s="36">
        <v>30.0</v>
      </c>
      <c r="H197" s="36">
        <v>2.12</v>
      </c>
      <c r="I197" s="36">
        <v>63.6</v>
      </c>
      <c r="J197" s="36">
        <v>61.9</v>
      </c>
      <c r="K197" s="36">
        <v>157.0</v>
      </c>
      <c r="L197" s="36">
        <v>19.5</v>
      </c>
      <c r="M197" s="36">
        <v>104.0</v>
      </c>
      <c r="N197" s="36">
        <v>55.0</v>
      </c>
      <c r="O197" s="36">
        <v>30.0</v>
      </c>
      <c r="P197" s="36">
        <v>97.0</v>
      </c>
      <c r="Q197" s="36">
        <v>0.37</v>
      </c>
      <c r="R197" s="36">
        <v>0.73</v>
      </c>
      <c r="S197" s="36">
        <v>1.26</v>
      </c>
      <c r="T197" s="36">
        <v>2.0</v>
      </c>
      <c r="U197" s="21">
        <f t="shared" si="7"/>
        <v>2000</v>
      </c>
      <c r="V197" s="21">
        <f t="shared" si="8"/>
        <v>100</v>
      </c>
      <c r="Y197" s="45"/>
      <c r="Z197" s="36"/>
    </row>
    <row r="198" ht="14.25" customHeight="1">
      <c r="A198" s="38">
        <v>0.4652777777777778</v>
      </c>
      <c r="B198" s="36">
        <v>225.0</v>
      </c>
      <c r="C198" s="36">
        <v>40.0</v>
      </c>
      <c r="D198" s="36">
        <v>2559.0</v>
      </c>
      <c r="E198" s="36">
        <v>2925.0</v>
      </c>
      <c r="F198" s="36">
        <v>1.14</v>
      </c>
      <c r="G198" s="36">
        <v>30.0</v>
      </c>
      <c r="H198" s="36">
        <v>2.1</v>
      </c>
      <c r="I198" s="36">
        <v>63.4</v>
      </c>
      <c r="J198" s="36">
        <v>62.0</v>
      </c>
      <c r="K198" s="36">
        <v>157.0</v>
      </c>
      <c r="L198" s="36">
        <v>19.5</v>
      </c>
      <c r="M198" s="36">
        <v>104.0</v>
      </c>
      <c r="N198" s="36">
        <v>55.0</v>
      </c>
      <c r="O198" s="36">
        <v>30.0</v>
      </c>
      <c r="P198" s="36">
        <v>97.0</v>
      </c>
      <c r="Q198" s="36">
        <v>0.38</v>
      </c>
      <c r="R198" s="36">
        <v>0.75</v>
      </c>
      <c r="S198" s="36">
        <v>1.23</v>
      </c>
      <c r="T198" s="36">
        <v>1.99</v>
      </c>
      <c r="U198" s="21">
        <f t="shared" si="7"/>
        <v>1990</v>
      </c>
      <c r="V198" s="21">
        <f t="shared" si="8"/>
        <v>2500</v>
      </c>
      <c r="Y198" s="45"/>
      <c r="Z198" s="36"/>
    </row>
    <row r="199" ht="14.25" customHeight="1">
      <c r="A199" s="38">
        <v>0.4666666666666667</v>
      </c>
      <c r="B199" s="36">
        <v>225.0</v>
      </c>
      <c r="C199" s="36">
        <v>39.8</v>
      </c>
      <c r="D199" s="36">
        <v>2546.0</v>
      </c>
      <c r="E199" s="36">
        <v>2924.0</v>
      </c>
      <c r="F199" s="36">
        <v>1.15</v>
      </c>
      <c r="G199" s="36">
        <v>29.0</v>
      </c>
      <c r="H199" s="36">
        <v>2.14</v>
      </c>
      <c r="I199" s="36">
        <v>63.2</v>
      </c>
      <c r="J199" s="36">
        <v>62.1</v>
      </c>
      <c r="K199" s="36">
        <v>157.0</v>
      </c>
      <c r="L199" s="36">
        <v>19.5</v>
      </c>
      <c r="M199" s="36">
        <v>104.0</v>
      </c>
      <c r="N199" s="36">
        <v>55.0</v>
      </c>
      <c r="O199" s="36">
        <v>29.0</v>
      </c>
      <c r="P199" s="36">
        <v>96.0</v>
      </c>
      <c r="Q199" s="36">
        <v>0.38</v>
      </c>
      <c r="R199" s="36">
        <v>0.78</v>
      </c>
      <c r="S199" s="36">
        <v>1.26</v>
      </c>
      <c r="T199" s="36">
        <v>2.04</v>
      </c>
      <c r="U199" s="21">
        <f t="shared" si="7"/>
        <v>2040</v>
      </c>
      <c r="V199" s="8">
        <v>0.0</v>
      </c>
      <c r="Y199" s="45"/>
      <c r="Z199" s="36"/>
    </row>
    <row r="200" ht="14.25" customHeight="1">
      <c r="A200" s="36" t="s">
        <v>88</v>
      </c>
      <c r="Y200" s="45"/>
    </row>
    <row r="201" ht="14.25" customHeight="1">
      <c r="A201" s="38"/>
      <c r="Y201" s="45"/>
    </row>
    <row r="202" ht="14.25" customHeight="1">
      <c r="A202" s="38"/>
      <c r="Y202" s="45"/>
    </row>
    <row r="203" ht="14.25" customHeight="1">
      <c r="A203" s="38"/>
      <c r="Y203" s="45"/>
    </row>
    <row r="204" ht="14.25" customHeight="1">
      <c r="A204" s="38"/>
      <c r="Y204" s="45"/>
    </row>
    <row r="205" ht="14.25" customHeight="1">
      <c r="A205" s="38"/>
      <c r="Y205" s="45"/>
    </row>
    <row r="206" ht="14.25" customHeight="1">
      <c r="A206" s="38"/>
      <c r="Y206" s="45"/>
    </row>
    <row r="207" ht="14.25" customHeight="1">
      <c r="A207" s="38"/>
      <c r="Y207" s="45"/>
    </row>
    <row r="208" ht="14.25" customHeight="1">
      <c r="A208" s="38"/>
      <c r="Y208" s="45"/>
    </row>
    <row r="209" ht="14.25" customHeight="1">
      <c r="A209" s="38"/>
      <c r="Y209" s="45"/>
    </row>
    <row r="210" ht="14.25" customHeight="1">
      <c r="A210" s="38"/>
      <c r="Y210" s="45"/>
    </row>
    <row r="211" ht="14.25" customHeight="1">
      <c r="A211" s="38"/>
      <c r="Y211" s="45"/>
    </row>
    <row r="212" ht="14.25" customHeight="1">
      <c r="A212" s="38"/>
      <c r="Y212" s="45"/>
    </row>
    <row r="213" ht="14.25" customHeight="1">
      <c r="A213" s="38"/>
      <c r="Y213" s="45"/>
    </row>
    <row r="214" ht="14.25" customHeight="1">
      <c r="A214" s="38"/>
      <c r="Y214" s="45"/>
    </row>
    <row r="215" ht="14.25" customHeight="1">
      <c r="A215" s="38"/>
      <c r="Y215" s="45"/>
    </row>
    <row r="216" ht="14.25" customHeight="1">
      <c r="A216" s="38"/>
      <c r="Y216" s="45"/>
    </row>
    <row r="217" ht="14.25" customHeight="1">
      <c r="A217" s="38"/>
      <c r="Y217" s="45"/>
    </row>
    <row r="218" ht="14.25" customHeight="1">
      <c r="A218" s="38"/>
      <c r="Y218" s="45"/>
    </row>
    <row r="219" ht="14.25" customHeight="1">
      <c r="A219" s="38"/>
      <c r="Y219" s="45"/>
    </row>
    <row r="220" ht="14.25" customHeight="1">
      <c r="A220" s="38"/>
      <c r="Y220" s="45"/>
    </row>
    <row r="221" ht="14.25" customHeight="1">
      <c r="A221" s="38"/>
      <c r="Y221" s="45"/>
    </row>
    <row r="222" ht="14.25" customHeight="1">
      <c r="A222" s="38"/>
      <c r="Y222" s="45"/>
    </row>
    <row r="223" ht="14.25" customHeight="1">
      <c r="A223" s="38"/>
      <c r="Y223" s="45"/>
    </row>
    <row r="224" ht="14.25" customHeight="1">
      <c r="A224" s="38"/>
      <c r="Y224" s="45"/>
    </row>
    <row r="225" ht="14.25" customHeight="1">
      <c r="A225" s="38"/>
      <c r="Y225" s="45"/>
    </row>
    <row r="226" ht="14.25" customHeight="1">
      <c r="A226" s="38"/>
      <c r="Y226" s="45"/>
    </row>
    <row r="227" ht="14.25" customHeight="1">
      <c r="A227" s="38"/>
      <c r="Y227" s="45"/>
    </row>
    <row r="228" ht="14.25" customHeight="1">
      <c r="A228" s="38"/>
      <c r="Y228" s="45"/>
    </row>
    <row r="229" ht="14.25" customHeight="1">
      <c r="A229" s="38"/>
      <c r="Y229" s="45"/>
    </row>
    <row r="230" ht="14.25" customHeight="1">
      <c r="A230" s="38"/>
      <c r="Y230" s="45"/>
    </row>
    <row r="231" ht="14.25" customHeight="1">
      <c r="A231" s="38"/>
      <c r="Y231" s="45"/>
    </row>
    <row r="232" ht="14.25" customHeight="1">
      <c r="A232" s="38"/>
      <c r="Y232" s="45"/>
    </row>
    <row r="233" ht="14.25" customHeight="1">
      <c r="A233" s="38"/>
      <c r="Y233" s="45"/>
    </row>
    <row r="234" ht="14.25" customHeight="1">
      <c r="A234" s="38"/>
      <c r="Y234" s="45"/>
    </row>
    <row r="235" ht="14.25" customHeight="1">
      <c r="A235" s="38"/>
      <c r="Y235" s="45"/>
    </row>
    <row r="236" ht="14.25" customHeight="1">
      <c r="A236" s="38"/>
      <c r="Y236" s="45"/>
    </row>
    <row r="237" ht="14.25" customHeight="1">
      <c r="A237" s="38"/>
      <c r="Y237" s="45"/>
    </row>
    <row r="238" ht="14.25" customHeight="1">
      <c r="A238" s="38"/>
      <c r="Y238" s="45"/>
    </row>
    <row r="239" ht="14.25" customHeight="1">
      <c r="A239" s="38"/>
      <c r="Y239" s="45"/>
    </row>
    <row r="240" ht="14.25" customHeight="1">
      <c r="A240" s="38"/>
      <c r="Y240" s="45"/>
    </row>
    <row r="241" ht="14.25" customHeight="1">
      <c r="A241" s="38"/>
      <c r="Y241" s="45"/>
    </row>
    <row r="242" ht="14.25" customHeight="1">
      <c r="A242" s="38"/>
      <c r="Y242" s="45"/>
    </row>
    <row r="243" ht="14.25" customHeight="1">
      <c r="A243" s="38"/>
      <c r="Y243" s="45"/>
    </row>
    <row r="244" ht="14.25" customHeight="1">
      <c r="A244" s="38"/>
      <c r="Y244" s="45"/>
    </row>
    <row r="245" ht="14.25" customHeight="1">
      <c r="A245" s="38"/>
      <c r="Y245" s="45"/>
    </row>
    <row r="246" ht="14.25" customHeight="1">
      <c r="A246" s="38"/>
      <c r="Y246" s="45"/>
    </row>
    <row r="247" ht="14.25" customHeight="1">
      <c r="A247" s="38"/>
      <c r="Y247" s="45"/>
    </row>
    <row r="248" ht="14.25" customHeight="1">
      <c r="A248" s="38"/>
      <c r="Y248" s="45"/>
    </row>
    <row r="249" ht="14.25" customHeight="1">
      <c r="A249" s="38"/>
      <c r="Y249" s="45"/>
    </row>
    <row r="250" ht="14.25" customHeight="1">
      <c r="A250" s="38"/>
      <c r="Y250" s="45"/>
    </row>
    <row r="251" ht="14.25" customHeight="1">
      <c r="A251" s="38"/>
      <c r="Y251" s="45"/>
    </row>
    <row r="252" ht="14.25" customHeight="1">
      <c r="A252" s="38"/>
      <c r="Y252" s="45"/>
    </row>
    <row r="253" ht="14.25" customHeight="1">
      <c r="A253" s="38"/>
      <c r="Y253" s="45"/>
    </row>
    <row r="254" ht="14.25" customHeight="1">
      <c r="A254" s="38"/>
      <c r="Y254" s="45"/>
    </row>
    <row r="255" ht="14.25" customHeight="1">
      <c r="A255" s="38"/>
      <c r="Y255" s="45"/>
    </row>
    <row r="256" ht="14.25" customHeight="1">
      <c r="A256" s="38"/>
      <c r="Y256" s="45"/>
    </row>
    <row r="257" ht="14.25" customHeight="1">
      <c r="A257" s="38"/>
      <c r="Y257" s="45"/>
    </row>
    <row r="258" ht="14.25" customHeight="1">
      <c r="A258" s="38"/>
      <c r="Y258" s="45"/>
    </row>
    <row r="259" ht="14.25" customHeight="1">
      <c r="A259" s="38"/>
      <c r="Y259" s="45"/>
    </row>
    <row r="260" ht="14.25" customHeight="1">
      <c r="A260" s="38"/>
      <c r="Y260" s="45"/>
    </row>
    <row r="261" ht="14.25" customHeight="1">
      <c r="A261" s="38"/>
      <c r="Y261" s="45"/>
    </row>
    <row r="262" ht="14.25" customHeight="1">
      <c r="A262" s="38"/>
      <c r="Y262" s="45"/>
    </row>
    <row r="263" ht="14.25" customHeight="1">
      <c r="A263" s="38"/>
      <c r="Y263" s="45"/>
    </row>
    <row r="264" ht="14.25" customHeight="1">
      <c r="A264" s="38"/>
      <c r="Y264" s="45"/>
    </row>
    <row r="265" ht="14.25" customHeight="1">
      <c r="A265" s="38"/>
      <c r="Y265" s="45"/>
    </row>
    <row r="266" ht="14.25" customHeight="1">
      <c r="A266" s="38"/>
      <c r="Y266" s="45"/>
    </row>
    <row r="267" ht="14.25" customHeight="1">
      <c r="A267" s="38"/>
      <c r="Y267" s="45"/>
    </row>
    <row r="268" ht="14.25" customHeight="1">
      <c r="A268" s="38"/>
      <c r="Y268" s="45"/>
    </row>
    <row r="269" ht="14.25" customHeight="1">
      <c r="A269" s="38"/>
      <c r="Y269" s="45"/>
    </row>
    <row r="270" ht="14.25" customHeight="1">
      <c r="A270" s="38"/>
      <c r="Y270" s="45"/>
    </row>
    <row r="271" ht="14.25" customHeight="1">
      <c r="A271" s="38"/>
      <c r="Y271" s="45"/>
    </row>
    <row r="272" ht="14.25" customHeight="1">
      <c r="A272" s="38"/>
      <c r="Y272" s="45"/>
    </row>
    <row r="273" ht="14.25" customHeight="1">
      <c r="A273" s="38"/>
      <c r="Y273" s="45"/>
    </row>
    <row r="274" ht="14.25" customHeight="1">
      <c r="A274" s="38"/>
      <c r="Y274" s="45"/>
    </row>
    <row r="275" ht="14.25" customHeight="1">
      <c r="A275" s="38"/>
      <c r="Y275" s="45"/>
    </row>
    <row r="276" ht="14.25" customHeight="1">
      <c r="A276" s="38"/>
      <c r="Y276" s="45"/>
    </row>
    <row r="277" ht="14.25" customHeight="1">
      <c r="A277" s="38"/>
      <c r="Y277" s="45"/>
    </row>
    <row r="278" ht="14.25" customHeight="1">
      <c r="A278" s="38"/>
      <c r="Y278" s="45"/>
    </row>
    <row r="279" ht="14.25" customHeight="1">
      <c r="A279" s="38"/>
      <c r="Y279" s="45"/>
    </row>
    <row r="280" ht="14.25" customHeight="1">
      <c r="A280" s="38"/>
      <c r="Y280" s="45"/>
    </row>
    <row r="281" ht="14.25" customHeight="1">
      <c r="A281" s="38"/>
      <c r="Y281" s="45"/>
    </row>
    <row r="282" ht="14.25" customHeight="1">
      <c r="A282" s="38"/>
      <c r="Y282" s="45"/>
    </row>
    <row r="283" ht="14.25" customHeight="1">
      <c r="A283" s="38"/>
      <c r="Y283" s="45"/>
    </row>
    <row r="284" ht="14.25" customHeight="1">
      <c r="A284" s="38"/>
      <c r="Y284" s="45"/>
    </row>
    <row r="285" ht="14.25" customHeight="1">
      <c r="A285" s="38"/>
      <c r="Y285" s="45"/>
    </row>
    <row r="286" ht="14.25" customHeight="1">
      <c r="A286" s="38"/>
      <c r="Y286" s="45"/>
    </row>
    <row r="287" ht="14.25" customHeight="1">
      <c r="A287" s="38"/>
      <c r="Y287" s="45"/>
    </row>
    <row r="288" ht="14.25" customHeight="1">
      <c r="A288" s="38"/>
      <c r="Y288" s="45"/>
    </row>
    <row r="289" ht="14.25" customHeight="1">
      <c r="A289" s="38"/>
      <c r="Y289" s="45"/>
    </row>
    <row r="290" ht="14.25" customHeight="1">
      <c r="A290" s="38"/>
      <c r="Y290" s="45"/>
    </row>
    <row r="291" ht="14.25" customHeight="1">
      <c r="A291" s="38"/>
      <c r="Y291" s="45"/>
    </row>
    <row r="292" ht="14.25" customHeight="1">
      <c r="A292" s="38"/>
      <c r="Y292" s="45"/>
    </row>
    <row r="293" ht="14.25" customHeight="1">
      <c r="A293" s="38"/>
      <c r="Y293" s="45"/>
    </row>
    <row r="294" ht="14.25" customHeight="1">
      <c r="A294" s="38"/>
      <c r="Y294" s="45"/>
    </row>
    <row r="295" ht="14.25" customHeight="1">
      <c r="A295" s="38"/>
      <c r="Y295" s="45"/>
    </row>
    <row r="296" ht="14.25" customHeight="1">
      <c r="A296" s="38"/>
      <c r="Y296" s="45"/>
    </row>
    <row r="297" ht="14.25" customHeight="1">
      <c r="A297" s="38"/>
      <c r="Y297" s="45"/>
    </row>
    <row r="298" ht="14.25" customHeight="1">
      <c r="A298" s="38"/>
      <c r="Y298" s="45"/>
    </row>
    <row r="299" ht="14.25" customHeight="1">
      <c r="A299" s="38"/>
      <c r="Y299" s="45"/>
    </row>
    <row r="300" ht="14.25" customHeight="1">
      <c r="A300" s="38"/>
      <c r="Y300" s="45"/>
    </row>
    <row r="301" ht="14.25" customHeight="1">
      <c r="A301" s="38"/>
      <c r="Y301" s="45"/>
    </row>
    <row r="302" ht="14.25" customHeight="1">
      <c r="A302" s="38"/>
      <c r="Y302" s="45"/>
    </row>
    <row r="303" ht="14.25" customHeight="1">
      <c r="A303" s="38"/>
      <c r="Y303" s="45"/>
    </row>
    <row r="304" ht="14.25" customHeight="1">
      <c r="A304" s="38"/>
      <c r="Y304" s="45"/>
    </row>
    <row r="305" ht="14.25" customHeight="1">
      <c r="A305" s="38"/>
      <c r="Y305" s="45"/>
    </row>
    <row r="306" ht="14.25" customHeight="1">
      <c r="A306" s="38"/>
      <c r="Y306" s="45"/>
    </row>
    <row r="307" ht="14.25" customHeight="1">
      <c r="A307" s="38"/>
      <c r="Y307" s="45"/>
    </row>
    <row r="308" ht="14.25" customHeight="1">
      <c r="A308" s="38"/>
      <c r="Y308" s="45"/>
    </row>
    <row r="309" ht="14.25" customHeight="1">
      <c r="A309" s="38"/>
      <c r="Y309" s="45"/>
    </row>
    <row r="310" ht="14.25" customHeight="1">
      <c r="A310" s="38"/>
      <c r="Y310" s="45"/>
    </row>
    <row r="311" ht="14.25" customHeight="1">
      <c r="A311" s="38"/>
      <c r="Y311" s="45"/>
    </row>
    <row r="312" ht="14.25" customHeight="1">
      <c r="A312" s="38"/>
      <c r="Y312" s="45"/>
    </row>
    <row r="313" ht="14.25" customHeight="1">
      <c r="A313" s="38"/>
      <c r="Y313" s="45"/>
    </row>
    <row r="314" ht="14.25" customHeight="1">
      <c r="A314" s="38"/>
      <c r="Y314" s="45"/>
    </row>
    <row r="315" ht="14.25" customHeight="1">
      <c r="A315" s="38"/>
      <c r="Y315" s="45"/>
    </row>
    <row r="316" ht="14.25" customHeight="1">
      <c r="A316" s="38"/>
      <c r="Y316" s="45"/>
    </row>
    <row r="317" ht="14.25" customHeight="1">
      <c r="A317" s="38"/>
      <c r="Y317" s="45"/>
    </row>
    <row r="318" ht="14.25" customHeight="1">
      <c r="A318" s="38"/>
      <c r="Y318" s="45"/>
    </row>
    <row r="319" ht="14.25" customHeight="1">
      <c r="A319" s="38"/>
      <c r="Y319" s="45"/>
    </row>
    <row r="320" ht="14.25" customHeight="1">
      <c r="A320" s="38"/>
      <c r="Y320" s="45"/>
    </row>
    <row r="321" ht="14.25" customHeight="1">
      <c r="A321" s="38"/>
      <c r="Y321" s="45"/>
    </row>
    <row r="322" ht="14.25" customHeight="1">
      <c r="A322" s="38"/>
      <c r="Y322" s="45"/>
    </row>
    <row r="323" ht="14.25" customHeight="1">
      <c r="A323" s="38"/>
      <c r="Y323" s="45"/>
    </row>
    <row r="324" ht="14.25" customHeight="1">
      <c r="A324" s="38"/>
      <c r="Y324" s="45"/>
    </row>
    <row r="325" ht="14.25" customHeight="1">
      <c r="A325" s="38"/>
      <c r="Y325" s="45"/>
    </row>
    <row r="326" ht="14.25" customHeight="1">
      <c r="A326" s="38"/>
      <c r="Y326" s="45"/>
    </row>
    <row r="327" ht="14.25" customHeight="1">
      <c r="A327" s="38"/>
      <c r="Y327" s="45"/>
    </row>
    <row r="328" ht="14.25" customHeight="1">
      <c r="A328" s="38"/>
      <c r="Y328" s="45"/>
    </row>
    <row r="329" ht="14.25" customHeight="1">
      <c r="A329" s="38"/>
      <c r="Y329" s="45"/>
    </row>
    <row r="330" ht="14.25" customHeight="1">
      <c r="A330" s="38"/>
      <c r="Y330" s="45"/>
    </row>
    <row r="331" ht="14.25" customHeight="1">
      <c r="A331" s="38"/>
      <c r="Y331" s="45"/>
    </row>
    <row r="332" ht="14.25" customHeight="1">
      <c r="A332" s="38"/>
      <c r="Y332" s="45"/>
    </row>
    <row r="333" ht="14.25" customHeight="1">
      <c r="A333" s="38"/>
      <c r="Y333" s="45"/>
    </row>
    <row r="334" ht="14.25" customHeight="1">
      <c r="A334" s="38"/>
      <c r="Y334" s="45"/>
    </row>
    <row r="335" ht="14.25" customHeight="1">
      <c r="A335" s="38"/>
      <c r="Y335" s="45"/>
    </row>
    <row r="336" ht="14.25" customHeight="1">
      <c r="A336" s="38"/>
      <c r="Y336" s="45"/>
    </row>
    <row r="337" ht="14.25" customHeight="1">
      <c r="A337" s="38"/>
      <c r="Y337" s="45"/>
    </row>
    <row r="338" ht="14.25" customHeight="1">
      <c r="A338" s="38"/>
      <c r="Y338" s="45"/>
    </row>
    <row r="339" ht="14.25" customHeight="1">
      <c r="A339" s="38"/>
      <c r="Y339" s="45"/>
    </row>
    <row r="340" ht="14.25" customHeight="1">
      <c r="A340" s="38"/>
      <c r="Y340" s="45"/>
    </row>
    <row r="341" ht="14.25" customHeight="1">
      <c r="A341" s="38"/>
      <c r="Y341" s="45"/>
    </row>
    <row r="342" ht="14.25" customHeight="1">
      <c r="A342" s="38"/>
      <c r="Y342" s="45"/>
    </row>
    <row r="343" ht="14.25" customHeight="1">
      <c r="A343" s="38"/>
      <c r="Y343" s="45"/>
    </row>
    <row r="344" ht="14.25" customHeight="1">
      <c r="A344" s="38"/>
      <c r="Y344" s="45"/>
    </row>
    <row r="345" ht="14.25" customHeight="1">
      <c r="A345" s="38"/>
      <c r="Y345" s="45"/>
    </row>
    <row r="346" ht="14.25" customHeight="1">
      <c r="A346" s="38"/>
      <c r="Y346" s="45"/>
    </row>
    <row r="347" ht="14.25" customHeight="1">
      <c r="A347" s="38"/>
      <c r="Y347" s="45"/>
    </row>
    <row r="348" ht="14.25" customHeight="1">
      <c r="A348" s="38"/>
      <c r="Y348" s="45"/>
    </row>
    <row r="349" ht="14.25" customHeight="1">
      <c r="A349" s="38"/>
      <c r="Y349" s="45"/>
    </row>
    <row r="350" ht="14.25" customHeight="1">
      <c r="A350" s="38"/>
      <c r="Y350" s="45"/>
    </row>
    <row r="351" ht="14.25" customHeight="1">
      <c r="A351" s="38"/>
      <c r="Y351" s="45"/>
    </row>
    <row r="352" ht="14.25" customHeight="1">
      <c r="A352" s="38"/>
      <c r="Y352" s="45"/>
    </row>
    <row r="353" ht="14.25" customHeight="1">
      <c r="A353" s="38"/>
      <c r="Y353" s="45"/>
    </row>
    <row r="354" ht="14.25" customHeight="1">
      <c r="A354" s="38"/>
      <c r="Y354" s="45"/>
    </row>
    <row r="355" ht="14.25" customHeight="1">
      <c r="A355" s="38"/>
      <c r="Y355" s="45"/>
    </row>
    <row r="356" ht="14.25" customHeight="1">
      <c r="A356" s="38"/>
      <c r="Y356" s="45"/>
    </row>
    <row r="357" ht="14.25" customHeight="1">
      <c r="A357" s="38"/>
      <c r="Y357" s="45"/>
    </row>
    <row r="358" ht="14.25" customHeight="1">
      <c r="A358" s="38"/>
      <c r="Y358" s="45"/>
    </row>
    <row r="359" ht="14.25" customHeight="1">
      <c r="A359" s="38"/>
      <c r="Y359" s="45"/>
    </row>
    <row r="360" ht="14.25" customHeight="1">
      <c r="A360" s="38"/>
      <c r="Y360" s="45"/>
    </row>
    <row r="361" ht="14.25" customHeight="1">
      <c r="A361" s="38"/>
      <c r="Y361" s="45"/>
    </row>
    <row r="362" ht="14.25" customHeight="1">
      <c r="A362" s="38"/>
      <c r="Y362" s="45"/>
    </row>
    <row r="363" ht="14.25" customHeight="1">
      <c r="A363" s="38"/>
      <c r="Y363" s="45"/>
    </row>
    <row r="364" ht="14.25" customHeight="1">
      <c r="A364" s="38"/>
      <c r="Y364" s="45"/>
    </row>
    <row r="365" ht="14.25" customHeight="1">
      <c r="A365" s="38"/>
      <c r="Y365" s="45"/>
    </row>
    <row r="366" ht="14.25" customHeight="1">
      <c r="A366" s="38"/>
      <c r="Y366" s="45"/>
    </row>
    <row r="367" ht="14.25" customHeight="1">
      <c r="A367" s="38"/>
      <c r="Y367" s="45"/>
    </row>
    <row r="368" ht="14.25" customHeight="1">
      <c r="A368" s="38"/>
      <c r="Y368" s="45"/>
    </row>
    <row r="369" ht="14.25" customHeight="1">
      <c r="A369" s="38"/>
      <c r="Y369" s="45"/>
    </row>
    <row r="370" ht="14.25" customHeight="1">
      <c r="A370" s="38"/>
      <c r="Y370" s="45"/>
    </row>
    <row r="371" ht="14.25" customHeight="1">
      <c r="A371" s="38"/>
      <c r="Y371" s="45"/>
    </row>
    <row r="372" ht="14.25" customHeight="1">
      <c r="A372" s="38"/>
      <c r="Y372" s="45"/>
    </row>
    <row r="373" ht="14.25" customHeight="1">
      <c r="A373" s="38"/>
      <c r="Y373" s="45"/>
    </row>
    <row r="374" ht="14.25" customHeight="1">
      <c r="Y374" s="45"/>
    </row>
    <row r="375" ht="14.25" customHeight="1">
      <c r="Y375" s="45"/>
    </row>
    <row r="376" ht="14.25" customHeight="1">
      <c r="Y376" s="45"/>
    </row>
    <row r="377" ht="14.25" customHeight="1">
      <c r="Y377" s="45"/>
    </row>
    <row r="378" ht="14.25" customHeight="1">
      <c r="Y378" s="45"/>
    </row>
    <row r="379" ht="14.25" customHeight="1">
      <c r="Y379" s="45"/>
    </row>
    <row r="380" ht="14.25" customHeight="1">
      <c r="Y380" s="45"/>
    </row>
    <row r="381" ht="14.25" customHeight="1">
      <c r="Y381" s="45"/>
    </row>
    <row r="382" ht="14.25" customHeight="1">
      <c r="Y382" s="45"/>
    </row>
    <row r="383" ht="14.25" customHeight="1">
      <c r="Y383" s="45"/>
    </row>
    <row r="384" ht="14.25" customHeight="1">
      <c r="Y384" s="45"/>
    </row>
    <row r="385" ht="14.25" customHeight="1">
      <c r="Y385" s="45"/>
    </row>
    <row r="386" ht="14.25" customHeight="1">
      <c r="Y386" s="45"/>
    </row>
    <row r="387" ht="14.25" customHeight="1">
      <c r="Y387" s="45"/>
    </row>
    <row r="388" ht="14.25" customHeight="1">
      <c r="Y388" s="45"/>
    </row>
    <row r="389" ht="14.25" customHeight="1">
      <c r="Y389" s="45"/>
    </row>
    <row r="390" ht="14.25" customHeight="1">
      <c r="Y390" s="45"/>
    </row>
    <row r="391" ht="14.25" customHeight="1">
      <c r="Y391" s="45"/>
    </row>
    <row r="392" ht="14.25" customHeight="1">
      <c r="Y392" s="45"/>
    </row>
    <row r="393" ht="14.25" customHeight="1">
      <c r="Y393" s="45"/>
    </row>
    <row r="394" ht="14.25" customHeight="1">
      <c r="Y394" s="45"/>
    </row>
    <row r="395" ht="14.25" customHeight="1">
      <c r="Y395" s="45"/>
    </row>
    <row r="396" ht="14.25" customHeight="1">
      <c r="Y396" s="45"/>
    </row>
    <row r="397" ht="14.25" customHeight="1">
      <c r="Y397" s="45"/>
    </row>
    <row r="398" ht="14.25" customHeight="1">
      <c r="Y398" s="45"/>
    </row>
    <row r="399" ht="14.25" customHeight="1">
      <c r="Y399" s="45"/>
    </row>
    <row r="400" ht="14.25" customHeight="1">
      <c r="Y400" s="45"/>
    </row>
    <row r="401" ht="14.25" customHeight="1">
      <c r="Y401" s="45"/>
    </row>
    <row r="402" ht="14.25" customHeight="1">
      <c r="Y402" s="45"/>
    </row>
    <row r="403" ht="14.25" customHeight="1">
      <c r="Y403" s="45"/>
    </row>
    <row r="404" ht="14.25" customHeight="1">
      <c r="Y404" s="45"/>
    </row>
    <row r="405" ht="14.25" customHeight="1">
      <c r="Y405" s="45"/>
    </row>
    <row r="406" ht="14.25" customHeight="1">
      <c r="Y406" s="45"/>
    </row>
    <row r="407" ht="14.25" customHeight="1">
      <c r="Y407" s="45"/>
    </row>
    <row r="408" ht="14.25" customHeight="1">
      <c r="Y408" s="45"/>
    </row>
    <row r="409" ht="14.25" customHeight="1">
      <c r="Y409" s="45"/>
    </row>
    <row r="410" ht="14.25" customHeight="1">
      <c r="Y410" s="45"/>
    </row>
    <row r="411" ht="14.25" customHeight="1">
      <c r="Y411" s="45"/>
    </row>
    <row r="412" ht="14.25" customHeight="1">
      <c r="Y412" s="45"/>
    </row>
    <row r="413" ht="14.25" customHeight="1">
      <c r="Y413" s="45"/>
    </row>
    <row r="414" ht="14.25" customHeight="1">
      <c r="Y414" s="45"/>
    </row>
    <row r="415" ht="14.25" customHeight="1">
      <c r="Y415" s="45"/>
    </row>
    <row r="416" ht="14.25" customHeight="1">
      <c r="Y416" s="45"/>
    </row>
    <row r="417" ht="14.25" customHeight="1">
      <c r="Y417" s="45"/>
    </row>
    <row r="418" ht="14.25" customHeight="1">
      <c r="Y418" s="45"/>
    </row>
    <row r="419" ht="14.25" customHeight="1">
      <c r="Y419" s="45"/>
    </row>
    <row r="420" ht="14.25" customHeight="1">
      <c r="Y420" s="45"/>
    </row>
    <row r="421" ht="14.25" customHeight="1">
      <c r="Y421" s="45"/>
    </row>
    <row r="422" ht="14.25" customHeight="1">
      <c r="Y422" s="45"/>
    </row>
    <row r="423" ht="14.25" customHeight="1">
      <c r="Y423" s="45"/>
    </row>
    <row r="424" ht="14.25" customHeight="1">
      <c r="Y424" s="45"/>
    </row>
    <row r="425" ht="14.25" customHeight="1">
      <c r="Y425" s="45"/>
    </row>
    <row r="426" ht="14.25" customHeight="1">
      <c r="Y426" s="45"/>
    </row>
    <row r="427" ht="14.25" customHeight="1">
      <c r="Y427" s="45"/>
    </row>
    <row r="428" ht="14.25" customHeight="1">
      <c r="Y428" s="45"/>
    </row>
    <row r="429" ht="14.25" customHeight="1">
      <c r="Y429" s="45"/>
    </row>
    <row r="430" ht="14.25" customHeight="1">
      <c r="Y430" s="45"/>
    </row>
    <row r="431" ht="14.25" customHeight="1">
      <c r="Y431" s="45"/>
    </row>
    <row r="432" ht="14.25" customHeight="1">
      <c r="Y432" s="45"/>
    </row>
    <row r="433" ht="14.25" customHeight="1">
      <c r="Y433" s="45"/>
    </row>
    <row r="434" ht="14.25" customHeight="1">
      <c r="Y434" s="45"/>
    </row>
    <row r="435" ht="14.25" customHeight="1">
      <c r="Y435" s="45"/>
    </row>
    <row r="436" ht="14.25" customHeight="1">
      <c r="Y436" s="45"/>
    </row>
    <row r="437" ht="14.25" customHeight="1">
      <c r="Y437" s="45"/>
    </row>
    <row r="438" ht="14.25" customHeight="1">
      <c r="Y438" s="45"/>
    </row>
    <row r="439" ht="14.25" customHeight="1">
      <c r="Y439" s="45"/>
    </row>
    <row r="440" ht="14.25" customHeight="1">
      <c r="Y440" s="45"/>
    </row>
    <row r="441" ht="14.25" customHeight="1">
      <c r="Y441" s="45"/>
    </row>
    <row r="442" ht="14.25" customHeight="1">
      <c r="Y442" s="45"/>
    </row>
    <row r="443" ht="14.25" customHeight="1">
      <c r="Y443" s="45"/>
    </row>
    <row r="444" ht="14.25" customHeight="1">
      <c r="Y444" s="45"/>
    </row>
    <row r="445" ht="14.25" customHeight="1">
      <c r="Y445" s="45"/>
    </row>
    <row r="446" ht="14.25" customHeight="1">
      <c r="Y446" s="45"/>
    </row>
    <row r="447" ht="14.25" customHeight="1">
      <c r="Y447" s="45"/>
    </row>
    <row r="448" ht="14.25" customHeight="1">
      <c r="Y448" s="45"/>
    </row>
    <row r="449" ht="14.25" customHeight="1">
      <c r="Y449" s="45"/>
    </row>
    <row r="450" ht="14.25" customHeight="1">
      <c r="Y450" s="45"/>
    </row>
    <row r="451" ht="14.25" customHeight="1">
      <c r="Y451" s="45"/>
    </row>
    <row r="452" ht="14.25" customHeight="1">
      <c r="Y452" s="45"/>
    </row>
    <row r="453" ht="14.25" customHeight="1">
      <c r="Y453" s="45"/>
    </row>
    <row r="454" ht="14.25" customHeight="1">
      <c r="Y454" s="45"/>
    </row>
    <row r="455" ht="14.25" customHeight="1">
      <c r="Y455" s="45"/>
    </row>
    <row r="456" ht="14.25" customHeight="1">
      <c r="Y456" s="45"/>
    </row>
    <row r="457" ht="14.25" customHeight="1">
      <c r="Y457" s="45"/>
    </row>
    <row r="458" ht="14.25" customHeight="1">
      <c r="Y458" s="45"/>
    </row>
    <row r="459" ht="14.25" customHeight="1">
      <c r="Y459" s="45"/>
    </row>
    <row r="460" ht="14.25" customHeight="1">
      <c r="Y460" s="45"/>
    </row>
    <row r="461" ht="14.25" customHeight="1">
      <c r="Y461" s="45"/>
    </row>
    <row r="462" ht="14.25" customHeight="1">
      <c r="Y462" s="45"/>
    </row>
    <row r="463" ht="14.25" customHeight="1">
      <c r="Y463" s="45"/>
    </row>
    <row r="464" ht="14.25" customHeight="1">
      <c r="Y464" s="45"/>
    </row>
    <row r="465" ht="14.25" customHeight="1">
      <c r="Y465" s="45"/>
    </row>
    <row r="466" ht="14.25" customHeight="1">
      <c r="Y466" s="45"/>
    </row>
    <row r="467" ht="14.25" customHeight="1">
      <c r="Y467" s="45"/>
    </row>
    <row r="468" ht="14.25" customHeight="1">
      <c r="Y468" s="45"/>
    </row>
    <row r="469" ht="14.25" customHeight="1">
      <c r="Y469" s="45"/>
    </row>
    <row r="470" ht="14.25" customHeight="1">
      <c r="Y470" s="45"/>
    </row>
    <row r="471" ht="14.25" customHeight="1">
      <c r="Y471" s="45"/>
    </row>
    <row r="472" ht="14.25" customHeight="1">
      <c r="Y472" s="45"/>
    </row>
    <row r="473" ht="14.25" customHeight="1">
      <c r="Y473" s="45"/>
    </row>
    <row r="474" ht="14.25" customHeight="1">
      <c r="Y474" s="45"/>
    </row>
    <row r="475" ht="14.25" customHeight="1">
      <c r="Y475" s="45"/>
    </row>
    <row r="476" ht="14.25" customHeight="1">
      <c r="Y476" s="45"/>
    </row>
    <row r="477" ht="14.25" customHeight="1">
      <c r="Y477" s="45"/>
    </row>
    <row r="478" ht="14.25" customHeight="1">
      <c r="Y478" s="45"/>
    </row>
    <row r="479" ht="14.25" customHeight="1">
      <c r="Y479" s="45"/>
    </row>
    <row r="480" ht="14.25" customHeight="1">
      <c r="Y480" s="45"/>
    </row>
    <row r="481" ht="14.25" customHeight="1">
      <c r="Y481" s="45"/>
    </row>
    <row r="482" ht="14.25" customHeight="1">
      <c r="Y482" s="45"/>
    </row>
    <row r="483" ht="14.25" customHeight="1">
      <c r="Y483" s="45"/>
    </row>
    <row r="484" ht="14.25" customHeight="1">
      <c r="Y484" s="45"/>
    </row>
    <row r="485" ht="14.25" customHeight="1">
      <c r="Y485" s="45"/>
    </row>
    <row r="486" ht="14.25" customHeight="1">
      <c r="Y486" s="45"/>
    </row>
    <row r="487" ht="14.25" customHeight="1">
      <c r="Y487" s="45"/>
    </row>
    <row r="488" ht="14.25" customHeight="1">
      <c r="Y488" s="45"/>
    </row>
    <row r="489" ht="14.25" customHeight="1">
      <c r="Y489" s="45"/>
    </row>
    <row r="490" ht="14.25" customHeight="1">
      <c r="Y490" s="45"/>
    </row>
    <row r="491" ht="14.25" customHeight="1">
      <c r="Y491" s="45"/>
    </row>
    <row r="492" ht="14.25" customHeight="1">
      <c r="Y492" s="45"/>
    </row>
    <row r="493" ht="14.25" customHeight="1">
      <c r="Y493" s="45"/>
    </row>
    <row r="494" ht="14.25" customHeight="1">
      <c r="Y494" s="45"/>
    </row>
    <row r="495" ht="14.25" customHeight="1">
      <c r="Y495" s="45"/>
    </row>
    <row r="496" ht="14.25" customHeight="1">
      <c r="Y496" s="45"/>
    </row>
    <row r="497" ht="14.25" customHeight="1">
      <c r="Y497" s="45"/>
    </row>
    <row r="498" ht="14.25" customHeight="1">
      <c r="Y498" s="45"/>
    </row>
    <row r="499" ht="14.25" customHeight="1">
      <c r="Y499" s="45"/>
    </row>
    <row r="500" ht="14.25" customHeight="1">
      <c r="Y500" s="45"/>
    </row>
    <row r="501" ht="14.25" customHeight="1">
      <c r="Y501" s="45"/>
    </row>
    <row r="502" ht="14.25" customHeight="1">
      <c r="Y502" s="45"/>
    </row>
    <row r="503" ht="14.25" customHeight="1">
      <c r="Y503" s="45"/>
    </row>
    <row r="504" ht="14.25" customHeight="1">
      <c r="Y504" s="45"/>
    </row>
    <row r="505" ht="14.25" customHeight="1">
      <c r="Y505" s="45"/>
    </row>
    <row r="506" ht="14.25" customHeight="1">
      <c r="Y506" s="45"/>
    </row>
    <row r="507" ht="14.25" customHeight="1">
      <c r="Y507" s="45"/>
    </row>
    <row r="508" ht="14.25" customHeight="1">
      <c r="Y508" s="45"/>
    </row>
    <row r="509" ht="14.25" customHeight="1">
      <c r="Y509" s="45"/>
    </row>
    <row r="510" ht="14.25" customHeight="1">
      <c r="Y510" s="45"/>
    </row>
    <row r="511" ht="14.25" customHeight="1">
      <c r="Y511" s="45"/>
    </row>
    <row r="512" ht="14.25" customHeight="1">
      <c r="Y512" s="45"/>
    </row>
    <row r="513" ht="14.25" customHeight="1">
      <c r="Y513" s="45"/>
    </row>
    <row r="514" ht="14.25" customHeight="1">
      <c r="Y514" s="45"/>
    </row>
    <row r="515" ht="14.25" customHeight="1">
      <c r="Y515" s="45"/>
    </row>
    <row r="516" ht="14.25" customHeight="1">
      <c r="Y516" s="45"/>
    </row>
    <row r="517" ht="14.25" customHeight="1">
      <c r="Y517" s="45"/>
    </row>
    <row r="518" ht="14.25" customHeight="1">
      <c r="Y518" s="45"/>
    </row>
    <row r="519" ht="14.25" customHeight="1">
      <c r="Y519" s="45"/>
    </row>
    <row r="520" ht="14.25" customHeight="1">
      <c r="Y520" s="45"/>
    </row>
    <row r="521" ht="14.25" customHeight="1">
      <c r="Y521" s="45"/>
    </row>
    <row r="522" ht="14.25" customHeight="1">
      <c r="Y522" s="45"/>
    </row>
    <row r="523" ht="14.25" customHeight="1">
      <c r="Y523" s="45"/>
    </row>
    <row r="524" ht="14.25" customHeight="1">
      <c r="Y524" s="45"/>
    </row>
    <row r="525" ht="14.25" customHeight="1">
      <c r="Y525" s="45"/>
    </row>
    <row r="526" ht="14.25" customHeight="1">
      <c r="Y526" s="45"/>
    </row>
    <row r="527" ht="14.25" customHeight="1">
      <c r="Y527" s="45"/>
    </row>
    <row r="528" ht="14.25" customHeight="1">
      <c r="Y528" s="45"/>
    </row>
    <row r="529" ht="14.25" customHeight="1">
      <c r="Y529" s="45"/>
    </row>
    <row r="530" ht="14.25" customHeight="1">
      <c r="Y530" s="45"/>
    </row>
    <row r="531" ht="14.25" customHeight="1">
      <c r="Y531" s="45"/>
    </row>
    <row r="532" ht="14.25" customHeight="1">
      <c r="Y532" s="45"/>
    </row>
    <row r="533" ht="14.25" customHeight="1">
      <c r="Y533" s="45"/>
    </row>
    <row r="534" ht="14.25" customHeight="1">
      <c r="Y534" s="45"/>
    </row>
    <row r="535" ht="14.25" customHeight="1">
      <c r="Y535" s="45"/>
    </row>
    <row r="536" ht="14.25" customHeight="1">
      <c r="Y536" s="45"/>
    </row>
    <row r="537" ht="14.25" customHeight="1">
      <c r="Y537" s="45"/>
    </row>
    <row r="538" ht="14.25" customHeight="1">
      <c r="Y538" s="45"/>
    </row>
    <row r="539" ht="14.25" customHeight="1">
      <c r="Y539" s="45"/>
    </row>
    <row r="540" ht="14.25" customHeight="1">
      <c r="Y540" s="45"/>
    </row>
    <row r="541" ht="14.25" customHeight="1">
      <c r="Y541" s="45"/>
    </row>
    <row r="542" ht="14.25" customHeight="1">
      <c r="Y542" s="45"/>
    </row>
    <row r="543" ht="14.25" customHeight="1">
      <c r="Y543" s="45"/>
    </row>
    <row r="544" ht="14.25" customHeight="1">
      <c r="Y544" s="45"/>
    </row>
    <row r="545" ht="14.25" customHeight="1">
      <c r="Y545" s="45"/>
    </row>
    <row r="546" ht="14.25" customHeight="1">
      <c r="Y546" s="45"/>
    </row>
    <row r="547" ht="14.25" customHeight="1">
      <c r="Y547" s="45"/>
    </row>
    <row r="548" ht="14.25" customHeight="1">
      <c r="Y548" s="45"/>
    </row>
    <row r="549" ht="14.25" customHeight="1">
      <c r="Y549" s="45"/>
    </row>
    <row r="550" ht="14.25" customHeight="1">
      <c r="Y550" s="45"/>
    </row>
    <row r="551" ht="14.25" customHeight="1">
      <c r="Y551" s="45"/>
    </row>
    <row r="552" ht="14.25" customHeight="1">
      <c r="Y552" s="45"/>
    </row>
    <row r="553" ht="14.25" customHeight="1">
      <c r="Y553" s="45"/>
    </row>
    <row r="554" ht="14.25" customHeight="1">
      <c r="Y554" s="45"/>
    </row>
    <row r="555" ht="14.25" customHeight="1">
      <c r="Y555" s="45"/>
    </row>
    <row r="556" ht="14.25" customHeight="1">
      <c r="Y556" s="45"/>
    </row>
    <row r="557" ht="14.25" customHeight="1">
      <c r="Y557" s="45"/>
    </row>
    <row r="558" ht="14.25" customHeight="1">
      <c r="Y558" s="45"/>
    </row>
    <row r="559" ht="14.25" customHeight="1">
      <c r="Y559" s="45"/>
    </row>
    <row r="560" ht="14.25" customHeight="1">
      <c r="Y560" s="45"/>
    </row>
    <row r="561" ht="14.25" customHeight="1">
      <c r="Y561" s="45"/>
    </row>
    <row r="562" ht="14.25" customHeight="1">
      <c r="Y562" s="45"/>
    </row>
    <row r="563" ht="14.25" customHeight="1">
      <c r="Y563" s="45"/>
    </row>
    <row r="564" ht="14.25" customHeight="1">
      <c r="Y564" s="45"/>
    </row>
    <row r="565" ht="14.25" customHeight="1">
      <c r="Y565" s="45"/>
    </row>
    <row r="566" ht="14.25" customHeight="1">
      <c r="Y566" s="45"/>
    </row>
    <row r="567" ht="14.25" customHeight="1">
      <c r="Y567" s="45"/>
    </row>
    <row r="568" ht="14.25" customHeight="1">
      <c r="Y568" s="45"/>
    </row>
    <row r="569" ht="14.25" customHeight="1">
      <c r="Y569" s="45"/>
    </row>
    <row r="570" ht="14.25" customHeight="1">
      <c r="Y570" s="45"/>
    </row>
    <row r="571" ht="14.25" customHeight="1">
      <c r="Y571" s="45"/>
    </row>
    <row r="572" ht="14.25" customHeight="1">
      <c r="Y572" s="45"/>
    </row>
    <row r="573" ht="14.25" customHeight="1">
      <c r="Y573" s="45"/>
    </row>
    <row r="574" ht="14.25" customHeight="1">
      <c r="Y574" s="45"/>
    </row>
    <row r="575" ht="14.25" customHeight="1">
      <c r="Y575" s="45"/>
    </row>
    <row r="576" ht="14.25" customHeight="1">
      <c r="Y576" s="45"/>
    </row>
    <row r="577" ht="14.25" customHeight="1">
      <c r="Y577" s="45"/>
    </row>
    <row r="578" ht="14.25" customHeight="1">
      <c r="Y578" s="45"/>
    </row>
    <row r="579" ht="14.25" customHeight="1">
      <c r="Y579" s="45"/>
    </row>
    <row r="580" ht="14.25" customHeight="1">
      <c r="Y580" s="45"/>
    </row>
    <row r="581" ht="14.25" customHeight="1">
      <c r="Y581" s="45"/>
    </row>
    <row r="582" ht="14.25" customHeight="1">
      <c r="Y582" s="45"/>
    </row>
    <row r="583" ht="14.25" customHeight="1">
      <c r="Y583" s="45"/>
    </row>
    <row r="584" ht="14.25" customHeight="1">
      <c r="Y584" s="45"/>
    </row>
    <row r="585" ht="14.25" customHeight="1">
      <c r="Y585" s="45"/>
    </row>
    <row r="586" ht="14.25" customHeight="1">
      <c r="Y586" s="45"/>
    </row>
    <row r="587" ht="14.25" customHeight="1">
      <c r="Y587" s="45"/>
    </row>
    <row r="588" ht="14.25" customHeight="1">
      <c r="Y588" s="45"/>
    </row>
    <row r="589" ht="14.25" customHeight="1">
      <c r="Y589" s="45"/>
    </row>
    <row r="590" ht="14.25" customHeight="1">
      <c r="Y590" s="45"/>
    </row>
    <row r="591" ht="14.25" customHeight="1">
      <c r="Y591" s="45"/>
    </row>
    <row r="592" ht="14.25" customHeight="1">
      <c r="Y592" s="45"/>
    </row>
    <row r="593" ht="14.25" customHeight="1">
      <c r="Y593" s="45"/>
    </row>
    <row r="594" ht="14.25" customHeight="1">
      <c r="Y594" s="45"/>
    </row>
    <row r="595" ht="14.25" customHeight="1">
      <c r="Y595" s="45"/>
    </row>
    <row r="596" ht="14.25" customHeight="1">
      <c r="Y596" s="45"/>
    </row>
    <row r="597" ht="14.25" customHeight="1">
      <c r="Y597" s="45"/>
    </row>
    <row r="598" ht="14.25" customHeight="1">
      <c r="Y598" s="45"/>
    </row>
    <row r="599" ht="14.25" customHeight="1">
      <c r="Y599" s="45"/>
    </row>
    <row r="600" ht="14.25" customHeight="1">
      <c r="Y600" s="45"/>
    </row>
    <row r="601" ht="14.25" customHeight="1">
      <c r="Y601" s="45"/>
    </row>
    <row r="602" ht="14.25" customHeight="1">
      <c r="Y602" s="45"/>
    </row>
    <row r="603" ht="14.25" customHeight="1">
      <c r="Y603" s="45"/>
    </row>
    <row r="604" ht="14.25" customHeight="1">
      <c r="Y604" s="45"/>
    </row>
    <row r="605" ht="14.25" customHeight="1">
      <c r="Y605" s="45"/>
    </row>
    <row r="606" ht="14.25" customHeight="1">
      <c r="Y606" s="45"/>
    </row>
    <row r="607" ht="14.25" customHeight="1">
      <c r="Y607" s="45"/>
    </row>
    <row r="608" ht="14.25" customHeight="1">
      <c r="Y608" s="45"/>
    </row>
    <row r="609" ht="14.25" customHeight="1">
      <c r="Y609" s="45"/>
    </row>
    <row r="610" ht="14.25" customHeight="1">
      <c r="Y610" s="45"/>
    </row>
    <row r="611" ht="14.25" customHeight="1">
      <c r="Y611" s="45"/>
    </row>
    <row r="612" ht="14.25" customHeight="1">
      <c r="Y612" s="45"/>
    </row>
    <row r="613" ht="14.25" customHeight="1">
      <c r="Y613" s="45"/>
    </row>
    <row r="614" ht="14.25" customHeight="1">
      <c r="Y614" s="45"/>
    </row>
    <row r="615" ht="14.25" customHeight="1">
      <c r="Y615" s="45"/>
    </row>
    <row r="616" ht="14.25" customHeight="1">
      <c r="Y616" s="45"/>
    </row>
    <row r="617" ht="14.25" customHeight="1">
      <c r="Y617" s="45"/>
    </row>
    <row r="618" ht="14.25" customHeight="1">
      <c r="Y618" s="45"/>
    </row>
    <row r="619" ht="14.25" customHeight="1">
      <c r="Y619" s="45"/>
    </row>
    <row r="620" ht="14.25" customHeight="1">
      <c r="Y620" s="45"/>
    </row>
    <row r="621" ht="14.25" customHeight="1">
      <c r="Y621" s="45"/>
    </row>
    <row r="622" ht="14.25" customHeight="1">
      <c r="Y622" s="45"/>
    </row>
    <row r="623" ht="14.25" customHeight="1">
      <c r="Y623" s="45"/>
    </row>
    <row r="624" ht="14.25" customHeight="1">
      <c r="Y624" s="45"/>
    </row>
    <row r="625" ht="14.25" customHeight="1">
      <c r="Y625" s="45"/>
    </row>
    <row r="626" ht="14.25" customHeight="1">
      <c r="Y626" s="45"/>
    </row>
    <row r="627" ht="14.25" customHeight="1">
      <c r="Y627" s="45"/>
    </row>
    <row r="628" ht="14.25" customHeight="1">
      <c r="Y628" s="45"/>
    </row>
    <row r="629" ht="14.25" customHeight="1">
      <c r="Y629" s="45"/>
    </row>
    <row r="630" ht="14.25" customHeight="1">
      <c r="Y630" s="45"/>
    </row>
    <row r="631" ht="14.25" customHeight="1">
      <c r="Y631" s="45"/>
    </row>
    <row r="632" ht="14.25" customHeight="1">
      <c r="Y632" s="45"/>
    </row>
    <row r="633" ht="14.25" customHeight="1">
      <c r="Y633" s="45"/>
    </row>
    <row r="634" ht="14.25" customHeight="1">
      <c r="Y634" s="45"/>
    </row>
    <row r="635" ht="14.25" customHeight="1">
      <c r="Y635" s="45"/>
    </row>
    <row r="636" ht="14.25" customHeight="1">
      <c r="Y636" s="45"/>
    </row>
    <row r="637" ht="14.25" customHeight="1">
      <c r="Y637" s="45"/>
    </row>
    <row r="638" ht="14.25" customHeight="1">
      <c r="Y638" s="45"/>
    </row>
    <row r="639" ht="14.25" customHeight="1">
      <c r="Y639" s="45"/>
    </row>
    <row r="640" ht="14.25" customHeight="1">
      <c r="Y640" s="45"/>
    </row>
    <row r="641" ht="14.25" customHeight="1">
      <c r="Y641" s="45"/>
    </row>
    <row r="642" ht="14.25" customHeight="1">
      <c r="Y642" s="45"/>
    </row>
    <row r="643" ht="14.25" customHeight="1">
      <c r="Y643" s="45"/>
    </row>
    <row r="644" ht="14.25" customHeight="1">
      <c r="Y644" s="45"/>
    </row>
    <row r="645" ht="14.25" customHeight="1">
      <c r="Y645" s="45"/>
    </row>
    <row r="646" ht="14.25" customHeight="1">
      <c r="Y646" s="45"/>
    </row>
    <row r="647" ht="14.25" customHeight="1">
      <c r="Y647" s="45"/>
    </row>
    <row r="648" ht="14.25" customHeight="1">
      <c r="Y648" s="45"/>
    </row>
    <row r="649" ht="14.25" customHeight="1">
      <c r="Y649" s="45"/>
    </row>
    <row r="650" ht="14.25" customHeight="1">
      <c r="Y650" s="45"/>
    </row>
    <row r="651" ht="14.25" customHeight="1">
      <c r="Y651" s="45"/>
    </row>
    <row r="652" ht="14.25" customHeight="1">
      <c r="Y652" s="45"/>
    </row>
    <row r="653" ht="14.25" customHeight="1">
      <c r="Y653" s="45"/>
    </row>
    <row r="654" ht="14.25" customHeight="1">
      <c r="Y654" s="45"/>
    </row>
    <row r="655" ht="14.25" customHeight="1">
      <c r="Y655" s="45"/>
    </row>
    <row r="656" ht="14.25" customHeight="1">
      <c r="Y656" s="45"/>
    </row>
    <row r="657" ht="14.25" customHeight="1">
      <c r="Y657" s="45"/>
    </row>
    <row r="658" ht="14.25" customHeight="1">
      <c r="Y658" s="45"/>
    </row>
    <row r="659" ht="14.25" customHeight="1">
      <c r="Y659" s="45"/>
    </row>
    <row r="660" ht="14.25" customHeight="1">
      <c r="Y660" s="45"/>
    </row>
    <row r="661" ht="14.25" customHeight="1">
      <c r="Y661" s="45"/>
    </row>
    <row r="662" ht="14.25" customHeight="1">
      <c r="Y662" s="45"/>
    </row>
    <row r="663" ht="14.25" customHeight="1">
      <c r="Y663" s="45"/>
    </row>
    <row r="664" ht="14.25" customHeight="1">
      <c r="Y664" s="45"/>
    </row>
    <row r="665" ht="14.25" customHeight="1">
      <c r="Y665" s="45"/>
    </row>
    <row r="666" ht="14.25" customHeight="1">
      <c r="Y666" s="45"/>
    </row>
    <row r="667" ht="14.25" customHeight="1">
      <c r="Y667" s="45"/>
    </row>
    <row r="668" ht="14.25" customHeight="1">
      <c r="Y668" s="45"/>
    </row>
    <row r="669" ht="14.25" customHeight="1">
      <c r="Y669" s="45"/>
    </row>
    <row r="670" ht="14.25" customHeight="1">
      <c r="Y670" s="45"/>
    </row>
    <row r="671" ht="14.25" customHeight="1">
      <c r="Y671" s="45"/>
    </row>
    <row r="672" ht="14.25" customHeight="1">
      <c r="Y672" s="45"/>
    </row>
    <row r="673" ht="14.25" customHeight="1">
      <c r="Y673" s="45"/>
    </row>
    <row r="674" ht="14.25" customHeight="1">
      <c r="Y674" s="45"/>
    </row>
    <row r="675" ht="14.25" customHeight="1">
      <c r="Y675" s="45"/>
    </row>
    <row r="676" ht="14.25" customHeight="1">
      <c r="Y676" s="45"/>
    </row>
    <row r="677" ht="14.25" customHeight="1">
      <c r="Y677" s="45"/>
    </row>
    <row r="678" ht="14.25" customHeight="1">
      <c r="Y678" s="45"/>
    </row>
    <row r="679" ht="14.25" customHeight="1">
      <c r="Y679" s="45"/>
    </row>
    <row r="680" ht="14.25" customHeight="1">
      <c r="Y680" s="45"/>
    </row>
    <row r="681" ht="14.25" customHeight="1">
      <c r="Y681" s="45"/>
    </row>
    <row r="682" ht="14.25" customHeight="1">
      <c r="Y682" s="45"/>
    </row>
    <row r="683" ht="14.25" customHeight="1">
      <c r="Y683" s="45"/>
    </row>
    <row r="684" ht="14.25" customHeight="1">
      <c r="Y684" s="45"/>
    </row>
    <row r="685" ht="14.25" customHeight="1">
      <c r="Y685" s="45"/>
    </row>
    <row r="686" ht="14.25" customHeight="1">
      <c r="Y686" s="45"/>
    </row>
    <row r="687" ht="14.25" customHeight="1">
      <c r="Y687" s="45"/>
    </row>
    <row r="688" ht="14.25" customHeight="1">
      <c r="Y688" s="45"/>
    </row>
    <row r="689" ht="14.25" customHeight="1">
      <c r="Y689" s="45"/>
    </row>
    <row r="690" ht="14.25" customHeight="1">
      <c r="Y690" s="45"/>
    </row>
    <row r="691" ht="14.25" customHeight="1">
      <c r="Y691" s="45"/>
    </row>
    <row r="692" ht="14.25" customHeight="1">
      <c r="Y692" s="45"/>
    </row>
    <row r="693" ht="14.25" customHeight="1">
      <c r="Y693" s="45"/>
    </row>
    <row r="694" ht="14.25" customHeight="1">
      <c r="Y694" s="45"/>
    </row>
    <row r="695" ht="14.25" customHeight="1">
      <c r="Y695" s="45"/>
    </row>
    <row r="696" ht="14.25" customHeight="1">
      <c r="Y696" s="45"/>
    </row>
    <row r="697" ht="14.25" customHeight="1">
      <c r="Y697" s="45"/>
    </row>
    <row r="698" ht="14.25" customHeight="1">
      <c r="Y698" s="45"/>
    </row>
    <row r="699" ht="14.25" customHeight="1">
      <c r="Y699" s="45"/>
    </row>
    <row r="700" ht="14.25" customHeight="1">
      <c r="Y700" s="45"/>
    </row>
    <row r="701" ht="14.25" customHeight="1">
      <c r="Y701" s="45"/>
    </row>
    <row r="702" ht="14.25" customHeight="1">
      <c r="Y702" s="45"/>
    </row>
    <row r="703" ht="14.25" customHeight="1">
      <c r="Y703" s="45"/>
    </row>
    <row r="704" ht="14.25" customHeight="1">
      <c r="Y704" s="45"/>
    </row>
    <row r="705" ht="14.25" customHeight="1">
      <c r="Y705" s="45"/>
    </row>
    <row r="706" ht="14.25" customHeight="1">
      <c r="Y706" s="45"/>
    </row>
    <row r="707" ht="14.25" customHeight="1">
      <c r="Y707" s="45"/>
    </row>
    <row r="708" ht="14.25" customHeight="1">
      <c r="Y708" s="45"/>
    </row>
    <row r="709" ht="14.25" customHeight="1">
      <c r="Y709" s="45"/>
    </row>
    <row r="710" ht="14.25" customHeight="1">
      <c r="Y710" s="45"/>
    </row>
    <row r="711" ht="14.25" customHeight="1">
      <c r="Y711" s="45"/>
    </row>
    <row r="712" ht="14.25" customHeight="1">
      <c r="Y712" s="45"/>
    </row>
    <row r="713" ht="14.25" customHeight="1">
      <c r="Y713" s="45"/>
    </row>
    <row r="714" ht="14.25" customHeight="1">
      <c r="Y714" s="45"/>
    </row>
    <row r="715" ht="14.25" customHeight="1">
      <c r="Y715" s="45"/>
    </row>
    <row r="716" ht="14.25" customHeight="1">
      <c r="Y716" s="45"/>
    </row>
    <row r="717" ht="14.25" customHeight="1">
      <c r="Y717" s="45"/>
    </row>
    <row r="718" ht="14.25" customHeight="1">
      <c r="Y718" s="45"/>
    </row>
    <row r="719" ht="14.25" customHeight="1">
      <c r="Y719" s="45"/>
    </row>
    <row r="720" ht="14.25" customHeight="1">
      <c r="Y720" s="45"/>
    </row>
    <row r="721" ht="14.25" customHeight="1">
      <c r="Y721" s="45"/>
    </row>
    <row r="722" ht="14.25" customHeight="1">
      <c r="Y722" s="45"/>
    </row>
    <row r="723" ht="14.25" customHeight="1">
      <c r="Y723" s="45"/>
    </row>
    <row r="724" ht="14.25" customHeight="1">
      <c r="Y724" s="45"/>
    </row>
    <row r="725" ht="14.25" customHeight="1">
      <c r="Y725" s="45"/>
    </row>
    <row r="726" ht="14.25" customHeight="1">
      <c r="Y726" s="45"/>
    </row>
    <row r="727" ht="14.25" customHeight="1">
      <c r="Y727" s="45"/>
    </row>
    <row r="728" ht="14.25" customHeight="1">
      <c r="Y728" s="45"/>
    </row>
    <row r="729" ht="14.25" customHeight="1">
      <c r="Y729" s="45"/>
    </row>
    <row r="730" ht="14.25" customHeight="1">
      <c r="Y730" s="45"/>
    </row>
    <row r="731" ht="14.25" customHeight="1">
      <c r="Y731" s="45"/>
    </row>
    <row r="732" ht="14.25" customHeight="1">
      <c r="Y732" s="45"/>
    </row>
    <row r="733" ht="14.25" customHeight="1">
      <c r="Y733" s="45"/>
    </row>
    <row r="734" ht="14.25" customHeight="1">
      <c r="Y734" s="45"/>
    </row>
    <row r="735" ht="14.25" customHeight="1">
      <c r="Y735" s="45"/>
    </row>
    <row r="736" ht="14.25" customHeight="1">
      <c r="Y736" s="45"/>
    </row>
    <row r="737" ht="14.25" customHeight="1">
      <c r="Y737" s="45"/>
    </row>
    <row r="738" ht="14.25" customHeight="1">
      <c r="Y738" s="45"/>
    </row>
    <row r="739" ht="14.25" customHeight="1">
      <c r="Y739" s="45"/>
    </row>
    <row r="740" ht="14.25" customHeight="1">
      <c r="Y740" s="45"/>
    </row>
    <row r="741" ht="14.25" customHeight="1">
      <c r="Y741" s="45"/>
    </row>
    <row r="742" ht="14.25" customHeight="1">
      <c r="Y742" s="45"/>
    </row>
    <row r="743" ht="14.25" customHeight="1">
      <c r="Y743" s="45"/>
    </row>
    <row r="744" ht="14.25" customHeight="1">
      <c r="Y744" s="45"/>
    </row>
    <row r="745" ht="14.25" customHeight="1">
      <c r="Y745" s="45"/>
    </row>
    <row r="746" ht="14.25" customHeight="1">
      <c r="Y746" s="45"/>
    </row>
    <row r="747" ht="14.25" customHeight="1">
      <c r="Y747" s="45"/>
    </row>
    <row r="748" ht="14.25" customHeight="1">
      <c r="Y748" s="45"/>
    </row>
    <row r="749" ht="14.25" customHeight="1">
      <c r="Y749" s="45"/>
    </row>
    <row r="750" ht="14.25" customHeight="1">
      <c r="Y750" s="45"/>
    </row>
    <row r="751" ht="14.25" customHeight="1">
      <c r="Y751" s="45"/>
    </row>
    <row r="752" ht="14.25" customHeight="1">
      <c r="Y752" s="45"/>
    </row>
    <row r="753" ht="14.25" customHeight="1">
      <c r="Y753" s="45"/>
    </row>
    <row r="754" ht="14.25" customHeight="1">
      <c r="Y754" s="45"/>
    </row>
    <row r="755" ht="14.25" customHeight="1">
      <c r="Y755" s="45"/>
    </row>
    <row r="756" ht="14.25" customHeight="1">
      <c r="Y756" s="45"/>
    </row>
    <row r="757" ht="14.25" customHeight="1">
      <c r="Y757" s="45"/>
    </row>
    <row r="758" ht="14.25" customHeight="1">
      <c r="Y758" s="45"/>
    </row>
    <row r="759" ht="14.25" customHeight="1">
      <c r="Y759" s="45"/>
    </row>
    <row r="760" ht="14.25" customHeight="1">
      <c r="Y760" s="45"/>
    </row>
    <row r="761" ht="14.25" customHeight="1">
      <c r="Y761" s="45"/>
    </row>
    <row r="762" ht="14.25" customHeight="1">
      <c r="Y762" s="45"/>
    </row>
    <row r="763" ht="14.25" customHeight="1">
      <c r="Y763" s="45"/>
    </row>
    <row r="764" ht="14.25" customHeight="1">
      <c r="Y764" s="45"/>
    </row>
    <row r="765" ht="14.25" customHeight="1">
      <c r="Y765" s="45"/>
    </row>
    <row r="766" ht="14.25" customHeight="1">
      <c r="Y766" s="45"/>
    </row>
    <row r="767" ht="14.25" customHeight="1">
      <c r="Y767" s="45"/>
    </row>
    <row r="768" ht="14.25" customHeight="1">
      <c r="Y768" s="45"/>
    </row>
    <row r="769" ht="14.25" customHeight="1">
      <c r="Y769" s="45"/>
    </row>
    <row r="770" ht="14.25" customHeight="1">
      <c r="Y770" s="45"/>
    </row>
    <row r="771" ht="14.25" customHeight="1">
      <c r="Y771" s="45"/>
    </row>
    <row r="772" ht="14.25" customHeight="1">
      <c r="Y772" s="45"/>
    </row>
    <row r="773" ht="14.25" customHeight="1">
      <c r="Y773" s="45"/>
    </row>
    <row r="774" ht="14.25" customHeight="1">
      <c r="Y774" s="45"/>
    </row>
    <row r="775" ht="14.25" customHeight="1">
      <c r="Y775" s="45"/>
    </row>
    <row r="776" ht="14.25" customHeight="1">
      <c r="Y776" s="45"/>
    </row>
    <row r="777" ht="14.25" customHeight="1">
      <c r="Y777" s="45"/>
    </row>
    <row r="778" ht="14.25" customHeight="1">
      <c r="Y778" s="45"/>
    </row>
    <row r="779" ht="14.25" customHeight="1">
      <c r="Y779" s="45"/>
    </row>
    <row r="780" ht="14.25" customHeight="1">
      <c r="Y780" s="45"/>
    </row>
    <row r="781" ht="14.25" customHeight="1">
      <c r="Y781" s="45"/>
    </row>
    <row r="782" ht="14.25" customHeight="1">
      <c r="Y782" s="45"/>
    </row>
    <row r="783" ht="14.25" customHeight="1">
      <c r="Y783" s="45"/>
    </row>
    <row r="784" ht="14.25" customHeight="1">
      <c r="Y784" s="45"/>
    </row>
    <row r="785" ht="14.25" customHeight="1">
      <c r="Y785" s="45"/>
    </row>
    <row r="786" ht="14.25" customHeight="1">
      <c r="Y786" s="45"/>
    </row>
    <row r="787" ht="14.25" customHeight="1">
      <c r="Y787" s="45"/>
    </row>
    <row r="788" ht="14.25" customHeight="1">
      <c r="Y788" s="45"/>
    </row>
    <row r="789" ht="14.25" customHeight="1">
      <c r="Y789" s="45"/>
    </row>
    <row r="790" ht="14.25" customHeight="1">
      <c r="Y790" s="45"/>
    </row>
    <row r="791" ht="14.25" customHeight="1">
      <c r="Y791" s="45"/>
    </row>
    <row r="792" ht="14.25" customHeight="1">
      <c r="Y792" s="45"/>
    </row>
    <row r="793" ht="14.25" customHeight="1">
      <c r="Y793" s="45"/>
    </row>
    <row r="794" ht="14.25" customHeight="1">
      <c r="Y794" s="45"/>
    </row>
    <row r="795" ht="14.25" customHeight="1">
      <c r="Y795" s="45"/>
    </row>
    <row r="796" ht="14.25" customHeight="1">
      <c r="Y796" s="45"/>
    </row>
    <row r="797" ht="14.25" customHeight="1">
      <c r="Y797" s="45"/>
    </row>
    <row r="798" ht="14.25" customHeight="1">
      <c r="Y798" s="45"/>
    </row>
    <row r="799" ht="14.25" customHeight="1">
      <c r="Y799" s="45"/>
    </row>
    <row r="800" ht="14.25" customHeight="1">
      <c r="Y800" s="45"/>
    </row>
    <row r="801" ht="14.25" customHeight="1">
      <c r="Y801" s="45"/>
    </row>
    <row r="802" ht="14.25" customHeight="1">
      <c r="Y802" s="45"/>
    </row>
    <row r="803" ht="14.25" customHeight="1">
      <c r="Y803" s="45"/>
    </row>
    <row r="804" ht="14.25" customHeight="1">
      <c r="Y804" s="45"/>
    </row>
    <row r="805" ht="14.25" customHeight="1">
      <c r="Y805" s="45"/>
    </row>
    <row r="806" ht="14.25" customHeight="1">
      <c r="Y806" s="45"/>
    </row>
    <row r="807" ht="14.25" customHeight="1">
      <c r="Y807" s="45"/>
    </row>
    <row r="808" ht="14.25" customHeight="1">
      <c r="Y808" s="45"/>
    </row>
    <row r="809" ht="14.25" customHeight="1">
      <c r="Y809" s="45"/>
    </row>
    <row r="810" ht="14.25" customHeight="1">
      <c r="Y810" s="45"/>
    </row>
    <row r="811" ht="14.25" customHeight="1">
      <c r="Y811" s="45"/>
    </row>
    <row r="812" ht="14.25" customHeight="1">
      <c r="Y812" s="45"/>
    </row>
    <row r="813" ht="14.25" customHeight="1">
      <c r="Y813" s="45"/>
    </row>
    <row r="814" ht="14.25" customHeight="1">
      <c r="Y814" s="45"/>
    </row>
    <row r="815" ht="14.25" customHeight="1">
      <c r="Y815" s="45"/>
    </row>
    <row r="816" ht="14.25" customHeight="1">
      <c r="Y816" s="45"/>
    </row>
    <row r="817" ht="14.25" customHeight="1">
      <c r="Y817" s="45"/>
    </row>
    <row r="818" ht="14.25" customHeight="1">
      <c r="Y818" s="45"/>
    </row>
    <row r="819" ht="14.25" customHeight="1">
      <c r="Y819" s="45"/>
    </row>
    <row r="820" ht="14.25" customHeight="1">
      <c r="Y820" s="45"/>
    </row>
    <row r="821" ht="14.25" customHeight="1">
      <c r="Y821" s="45"/>
    </row>
    <row r="822" ht="14.25" customHeight="1">
      <c r="Y822" s="45"/>
    </row>
    <row r="823" ht="14.25" customHeight="1">
      <c r="Y823" s="45"/>
    </row>
    <row r="824" ht="14.25" customHeight="1">
      <c r="Y824" s="45"/>
    </row>
    <row r="825" ht="14.25" customHeight="1">
      <c r="Y825" s="45"/>
    </row>
    <row r="826" ht="14.25" customHeight="1">
      <c r="Y826" s="45"/>
    </row>
    <row r="827" ht="14.25" customHeight="1">
      <c r="Y827" s="45"/>
    </row>
    <row r="828" ht="14.25" customHeight="1">
      <c r="Y828" s="45"/>
    </row>
    <row r="829" ht="14.25" customHeight="1">
      <c r="Y829" s="45"/>
    </row>
    <row r="830" ht="14.25" customHeight="1">
      <c r="Y830" s="45"/>
    </row>
    <row r="831" ht="14.25" customHeight="1">
      <c r="Y831" s="45"/>
    </row>
    <row r="832" ht="14.25" customHeight="1">
      <c r="Y832" s="45"/>
    </row>
    <row r="833" ht="14.25" customHeight="1">
      <c r="Y833" s="45"/>
    </row>
    <row r="834" ht="14.25" customHeight="1">
      <c r="Y834" s="45"/>
    </row>
    <row r="835" ht="14.25" customHeight="1">
      <c r="Y835" s="45"/>
    </row>
    <row r="836" ht="14.25" customHeight="1">
      <c r="Y836" s="45"/>
    </row>
    <row r="837" ht="14.25" customHeight="1">
      <c r="Y837" s="45"/>
    </row>
    <row r="838" ht="14.25" customHeight="1">
      <c r="Y838" s="45"/>
    </row>
    <row r="839" ht="14.25" customHeight="1">
      <c r="Y839" s="45"/>
    </row>
    <row r="840" ht="14.25" customHeight="1">
      <c r="Y840" s="45"/>
    </row>
    <row r="841" ht="14.25" customHeight="1">
      <c r="Y841" s="45"/>
    </row>
    <row r="842" ht="14.25" customHeight="1">
      <c r="Y842" s="45"/>
    </row>
    <row r="843" ht="14.25" customHeight="1">
      <c r="Y843" s="45"/>
    </row>
    <row r="844" ht="14.25" customHeight="1">
      <c r="Y844" s="45"/>
    </row>
    <row r="845" ht="14.25" customHeight="1">
      <c r="Y845" s="45"/>
    </row>
    <row r="846" ht="14.25" customHeight="1">
      <c r="Y846" s="45"/>
    </row>
    <row r="847" ht="14.25" customHeight="1">
      <c r="Y847" s="45"/>
    </row>
    <row r="848" ht="14.25" customHeight="1">
      <c r="Y848" s="45"/>
    </row>
    <row r="849" ht="14.25" customHeight="1">
      <c r="Y849" s="45"/>
    </row>
    <row r="850" ht="14.25" customHeight="1">
      <c r="Y850" s="45"/>
    </row>
    <row r="851" ht="14.25" customHeight="1">
      <c r="Y851" s="45"/>
    </row>
    <row r="852" ht="14.25" customHeight="1">
      <c r="Y852" s="45"/>
    </row>
    <row r="853" ht="14.25" customHeight="1">
      <c r="Y853" s="45"/>
    </row>
    <row r="854" ht="14.25" customHeight="1">
      <c r="Y854" s="45"/>
    </row>
    <row r="855" ht="14.25" customHeight="1">
      <c r="Y855" s="45"/>
    </row>
    <row r="856" ht="14.25" customHeight="1">
      <c r="Y856" s="45"/>
    </row>
    <row r="857" ht="14.25" customHeight="1">
      <c r="Y857" s="45"/>
    </row>
    <row r="858" ht="14.25" customHeight="1">
      <c r="Y858" s="45"/>
    </row>
    <row r="859" ht="14.25" customHeight="1">
      <c r="Y859" s="45"/>
    </row>
    <row r="860" ht="14.25" customHeight="1">
      <c r="Y860" s="45"/>
    </row>
    <row r="861" ht="14.25" customHeight="1">
      <c r="Y861" s="45"/>
    </row>
    <row r="862" ht="14.25" customHeight="1">
      <c r="Y862" s="45"/>
    </row>
    <row r="863" ht="14.25" customHeight="1">
      <c r="Y863" s="45"/>
    </row>
    <row r="864" ht="14.25" customHeight="1">
      <c r="Y864" s="45"/>
    </row>
    <row r="865" ht="14.25" customHeight="1">
      <c r="Y865" s="45"/>
    </row>
    <row r="866" ht="14.25" customHeight="1">
      <c r="Y866" s="45"/>
    </row>
    <row r="867" ht="14.25" customHeight="1">
      <c r="Y867" s="45"/>
    </row>
    <row r="868" ht="14.25" customHeight="1">
      <c r="Y868" s="45"/>
    </row>
    <row r="869" ht="14.25" customHeight="1">
      <c r="Y869" s="45"/>
    </row>
    <row r="870" ht="14.25" customHeight="1">
      <c r="Y870" s="45"/>
    </row>
    <row r="871" ht="14.25" customHeight="1">
      <c r="Y871" s="45"/>
    </row>
    <row r="872" ht="14.25" customHeight="1">
      <c r="Y872" s="45"/>
    </row>
    <row r="873" ht="14.25" customHeight="1">
      <c r="Y873" s="45"/>
    </row>
    <row r="874" ht="14.25" customHeight="1">
      <c r="Y874" s="45"/>
    </row>
    <row r="875" ht="14.25" customHeight="1">
      <c r="Y875" s="45"/>
    </row>
    <row r="876" ht="14.25" customHeight="1">
      <c r="Y876" s="45"/>
    </row>
    <row r="877" ht="14.25" customHeight="1">
      <c r="Y877" s="45"/>
    </row>
    <row r="878" ht="14.25" customHeight="1">
      <c r="Y878" s="45"/>
    </row>
    <row r="879" ht="14.25" customHeight="1">
      <c r="Y879" s="45"/>
    </row>
    <row r="880" ht="14.25" customHeight="1">
      <c r="Y880" s="45"/>
    </row>
    <row r="881" ht="14.25" customHeight="1">
      <c r="Y881" s="45"/>
    </row>
    <row r="882" ht="14.25" customHeight="1">
      <c r="Y882" s="45"/>
    </row>
    <row r="883" ht="14.25" customHeight="1">
      <c r="Y883" s="45"/>
    </row>
    <row r="884" ht="14.25" customHeight="1">
      <c r="Y884" s="45"/>
    </row>
    <row r="885" ht="14.25" customHeight="1">
      <c r="Y885" s="45"/>
    </row>
    <row r="886" ht="14.25" customHeight="1">
      <c r="Y886" s="45"/>
    </row>
    <row r="887" ht="14.25" customHeight="1">
      <c r="Y887" s="45"/>
    </row>
    <row r="888" ht="14.25" customHeight="1">
      <c r="Y888" s="45"/>
    </row>
    <row r="889" ht="14.25" customHeight="1">
      <c r="Y889" s="45"/>
    </row>
    <row r="890" ht="14.25" customHeight="1">
      <c r="Y890" s="45"/>
    </row>
    <row r="891" ht="14.25" customHeight="1">
      <c r="Y891" s="45"/>
    </row>
    <row r="892" ht="14.25" customHeight="1">
      <c r="Y892" s="45"/>
    </row>
    <row r="893" ht="14.25" customHeight="1">
      <c r="Y893" s="45"/>
    </row>
    <row r="894" ht="14.25" customHeight="1">
      <c r="Y894" s="45"/>
    </row>
    <row r="895" ht="14.25" customHeight="1">
      <c r="Y895" s="45"/>
    </row>
    <row r="896" ht="14.25" customHeight="1">
      <c r="Y896" s="45"/>
    </row>
    <row r="897" ht="14.25" customHeight="1">
      <c r="Y897" s="45"/>
    </row>
    <row r="898" ht="14.25" customHeight="1">
      <c r="Y898" s="45"/>
    </row>
    <row r="899" ht="14.25" customHeight="1">
      <c r="Y899" s="45"/>
    </row>
    <row r="900" ht="14.25" customHeight="1">
      <c r="Y900" s="45"/>
    </row>
    <row r="901" ht="14.25" customHeight="1">
      <c r="Y901" s="45"/>
    </row>
    <row r="902" ht="14.25" customHeight="1">
      <c r="Y902" s="45"/>
    </row>
    <row r="903" ht="14.25" customHeight="1">
      <c r="Y903" s="45"/>
    </row>
    <row r="904" ht="14.25" customHeight="1">
      <c r="Y904" s="45"/>
    </row>
    <row r="905" ht="14.25" customHeight="1">
      <c r="Y905" s="45"/>
    </row>
    <row r="906" ht="14.25" customHeight="1">
      <c r="Y906" s="45"/>
    </row>
    <row r="907" ht="14.25" customHeight="1">
      <c r="Y907" s="45"/>
    </row>
    <row r="908" ht="14.25" customHeight="1">
      <c r="Y908" s="45"/>
    </row>
    <row r="909" ht="14.25" customHeight="1">
      <c r="Y909" s="45"/>
    </row>
    <row r="910" ht="14.25" customHeight="1">
      <c r="Y910" s="45"/>
    </row>
    <row r="911" ht="14.25" customHeight="1">
      <c r="Y911" s="45"/>
    </row>
    <row r="912" ht="14.25" customHeight="1">
      <c r="Y912" s="45"/>
    </row>
    <row r="913" ht="14.25" customHeight="1">
      <c r="Y913" s="45"/>
    </row>
    <row r="914" ht="14.25" customHeight="1">
      <c r="Y914" s="45"/>
    </row>
    <row r="915" ht="14.25" customHeight="1">
      <c r="Y915" s="45"/>
    </row>
    <row r="916" ht="14.25" customHeight="1">
      <c r="Y916" s="45"/>
    </row>
    <row r="917" ht="14.25" customHeight="1">
      <c r="Y917" s="45"/>
    </row>
    <row r="918" ht="14.25" customHeight="1">
      <c r="Y918" s="45"/>
    </row>
    <row r="919" ht="14.25" customHeight="1">
      <c r="Y919" s="45"/>
    </row>
    <row r="920" ht="14.25" customHeight="1">
      <c r="Y920" s="45"/>
    </row>
    <row r="921" ht="14.25" customHeight="1">
      <c r="Y921" s="45"/>
    </row>
    <row r="922" ht="14.25" customHeight="1">
      <c r="Y922" s="45"/>
    </row>
    <row r="923" ht="14.25" customHeight="1">
      <c r="Y923" s="45"/>
    </row>
    <row r="924" ht="14.25" customHeight="1">
      <c r="Y924" s="45"/>
    </row>
    <row r="925" ht="14.25" customHeight="1">
      <c r="Y925" s="45"/>
    </row>
    <row r="926" ht="14.25" customHeight="1">
      <c r="Y926" s="45"/>
    </row>
    <row r="927" ht="14.25" customHeight="1">
      <c r="Y927" s="45"/>
    </row>
    <row r="928" ht="14.25" customHeight="1">
      <c r="Y928" s="45"/>
    </row>
    <row r="929" ht="14.25" customHeight="1">
      <c r="Y929" s="45"/>
    </row>
    <row r="930" ht="14.25" customHeight="1">
      <c r="Y930" s="45"/>
    </row>
    <row r="931" ht="14.25" customHeight="1">
      <c r="Y931" s="45"/>
    </row>
    <row r="932" ht="14.25" customHeight="1">
      <c r="Y932" s="45"/>
    </row>
    <row r="933" ht="14.25" customHeight="1">
      <c r="Y933" s="45"/>
    </row>
    <row r="934" ht="14.25" customHeight="1">
      <c r="Y934" s="45"/>
    </row>
    <row r="935" ht="14.25" customHeight="1">
      <c r="Y935" s="45"/>
    </row>
    <row r="936" ht="14.25" customHeight="1">
      <c r="Y936" s="45"/>
    </row>
    <row r="937" ht="14.25" customHeight="1">
      <c r="Y937" s="45"/>
    </row>
    <row r="938" ht="14.25" customHeight="1">
      <c r="Y938" s="45"/>
    </row>
    <row r="939" ht="14.25" customHeight="1">
      <c r="Y939" s="45"/>
    </row>
    <row r="940" ht="14.25" customHeight="1">
      <c r="Y940" s="45"/>
    </row>
    <row r="941" ht="14.25" customHeight="1">
      <c r="Y941" s="45"/>
    </row>
    <row r="942" ht="14.25" customHeight="1">
      <c r="Y942" s="45"/>
    </row>
    <row r="943" ht="14.25" customHeight="1">
      <c r="Y943" s="45"/>
    </row>
    <row r="944" ht="14.25" customHeight="1">
      <c r="Y944" s="45"/>
    </row>
    <row r="945" ht="14.25" customHeight="1">
      <c r="Y945" s="45"/>
    </row>
    <row r="946" ht="14.25" customHeight="1">
      <c r="Y946" s="45"/>
    </row>
    <row r="947" ht="14.25" customHeight="1">
      <c r="Y947" s="45"/>
    </row>
    <row r="948" ht="14.25" customHeight="1">
      <c r="Y948" s="45"/>
    </row>
    <row r="949" ht="14.25" customHeight="1">
      <c r="Y949" s="45"/>
    </row>
    <row r="950" ht="14.25" customHeight="1">
      <c r="Y950" s="45"/>
    </row>
    <row r="951" ht="14.25" customHeight="1">
      <c r="Y951" s="45"/>
    </row>
    <row r="952" ht="14.25" customHeight="1">
      <c r="Y952" s="45"/>
    </row>
    <row r="953" ht="14.25" customHeight="1">
      <c r="Y953" s="45"/>
    </row>
    <row r="954" ht="14.25" customHeight="1">
      <c r="Y954" s="45"/>
    </row>
    <row r="955" ht="14.25" customHeight="1">
      <c r="Y955" s="45"/>
    </row>
    <row r="956" ht="14.25" customHeight="1">
      <c r="Y956" s="45"/>
    </row>
    <row r="957" ht="14.25" customHeight="1">
      <c r="Y957" s="45"/>
    </row>
    <row r="958" ht="14.25" customHeight="1">
      <c r="Y958" s="45"/>
    </row>
    <row r="959" ht="14.25" customHeight="1">
      <c r="Y959" s="45"/>
    </row>
    <row r="960" ht="14.25" customHeight="1">
      <c r="Y960" s="45"/>
    </row>
    <row r="961" ht="14.25" customHeight="1">
      <c r="Y961" s="45"/>
    </row>
    <row r="962" ht="14.25" customHeight="1">
      <c r="Y962" s="45"/>
    </row>
    <row r="963" ht="14.25" customHeight="1">
      <c r="Y963" s="45"/>
    </row>
    <row r="964" ht="14.25" customHeight="1">
      <c r="Y964" s="45"/>
    </row>
    <row r="965" ht="14.25" customHeight="1">
      <c r="Y965" s="45"/>
    </row>
    <row r="966" ht="14.25" customHeight="1">
      <c r="Y966" s="45"/>
    </row>
    <row r="967" ht="14.25" customHeight="1">
      <c r="Y967" s="45"/>
    </row>
    <row r="968" ht="14.25" customHeight="1">
      <c r="Y968" s="45"/>
    </row>
    <row r="969" ht="14.25" customHeight="1">
      <c r="Y969" s="45"/>
    </row>
    <row r="970" ht="14.25" customHeight="1">
      <c r="Y970" s="45"/>
    </row>
    <row r="971" ht="14.25" customHeight="1">
      <c r="Y971" s="45"/>
    </row>
    <row r="972" ht="14.25" customHeight="1">
      <c r="Y972" s="45"/>
    </row>
    <row r="973" ht="14.25" customHeight="1">
      <c r="Y973" s="45"/>
    </row>
    <row r="974" ht="14.25" customHeight="1">
      <c r="Y974" s="45"/>
    </row>
    <row r="975" ht="14.25" customHeight="1">
      <c r="Y975" s="45"/>
    </row>
    <row r="976" ht="14.25" customHeight="1">
      <c r="Y976" s="45"/>
    </row>
    <row r="977" ht="14.25" customHeight="1">
      <c r="Y977" s="45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6.63"/>
    <col customWidth="1" min="18" max="18" width="8.0"/>
    <col customWidth="1" min="19" max="37" width="6.63"/>
  </cols>
  <sheetData>
    <row r="1" ht="14.25" customHeight="1">
      <c r="A1" s="36" t="s">
        <v>53</v>
      </c>
      <c r="B1" s="36" t="s">
        <v>97</v>
      </c>
      <c r="C1" s="36" t="s">
        <v>98</v>
      </c>
      <c r="D1" s="36" t="s">
        <v>55</v>
      </c>
      <c r="E1" s="36" t="s">
        <v>55</v>
      </c>
      <c r="F1" s="36" t="s">
        <v>56</v>
      </c>
      <c r="G1" s="36" t="s">
        <v>38</v>
      </c>
      <c r="H1" s="36" t="s">
        <v>57</v>
      </c>
      <c r="I1" s="36" t="s">
        <v>58</v>
      </c>
      <c r="J1" s="36" t="s">
        <v>59</v>
      </c>
      <c r="K1" s="36" t="s">
        <v>60</v>
      </c>
      <c r="L1" s="36" t="s">
        <v>99</v>
      </c>
      <c r="M1" s="36" t="s">
        <v>62</v>
      </c>
      <c r="N1" s="36" t="s">
        <v>48</v>
      </c>
      <c r="O1" s="36" t="s">
        <v>66</v>
      </c>
      <c r="P1" s="36" t="s">
        <v>67</v>
      </c>
      <c r="Q1" s="8" t="s">
        <v>68</v>
      </c>
    </row>
    <row r="2" ht="14.25" customHeight="1">
      <c r="A2" s="36" t="s">
        <v>69</v>
      </c>
      <c r="B2" s="36" t="s">
        <v>100</v>
      </c>
      <c r="C2" s="36" t="s">
        <v>76</v>
      </c>
      <c r="D2" s="36" t="s">
        <v>71</v>
      </c>
      <c r="E2" s="36" t="s">
        <v>72</v>
      </c>
      <c r="F2" s="36" t="s">
        <v>72</v>
      </c>
      <c r="H2" s="36" t="s">
        <v>73</v>
      </c>
      <c r="I2" s="36" t="s">
        <v>101</v>
      </c>
      <c r="J2" s="36" t="s">
        <v>75</v>
      </c>
      <c r="K2" s="36" t="s">
        <v>76</v>
      </c>
      <c r="L2" s="36" t="s">
        <v>77</v>
      </c>
      <c r="M2" s="36" t="s">
        <v>76</v>
      </c>
      <c r="O2" s="36" t="s">
        <v>79</v>
      </c>
      <c r="P2" s="36" t="s">
        <v>79</v>
      </c>
      <c r="Q2" s="8" t="s">
        <v>92</v>
      </c>
      <c r="R2" s="8" t="s">
        <v>85</v>
      </c>
    </row>
    <row r="3" ht="14.25" customHeight="1">
      <c r="A3" s="36" t="s">
        <v>87</v>
      </c>
    </row>
    <row r="4" ht="14.25" customHeight="1">
      <c r="A4" s="38">
        <v>0.04513888888888889</v>
      </c>
      <c r="B4" s="36">
        <v>0.0</v>
      </c>
      <c r="C4" s="36">
        <v>0.0</v>
      </c>
      <c r="D4" s="36">
        <v>7.5</v>
      </c>
      <c r="E4" s="36">
        <v>529.0</v>
      </c>
      <c r="F4" s="36">
        <v>460.0</v>
      </c>
      <c r="G4" s="36">
        <v>0.87</v>
      </c>
      <c r="H4" s="36">
        <v>19.0</v>
      </c>
      <c r="I4" s="36">
        <v>702.0</v>
      </c>
      <c r="J4" s="36">
        <v>13.2</v>
      </c>
      <c r="K4" s="36">
        <v>93.4</v>
      </c>
      <c r="L4" s="36">
        <v>102.0</v>
      </c>
      <c r="M4" s="36">
        <v>45.9</v>
      </c>
      <c r="N4" s="36">
        <v>0.26</v>
      </c>
      <c r="O4" s="36">
        <v>0.84</v>
      </c>
      <c r="P4" s="36">
        <v>2.34</v>
      </c>
      <c r="Q4" s="21">
        <f t="shared" ref="Q4:Q119" si="1">(O4+P4)*1000</f>
        <v>3180</v>
      </c>
      <c r="R4" s="21">
        <f t="shared" ref="R4:R118" si="2">(Q4-Q5)^2</f>
        <v>40000</v>
      </c>
      <c r="S4" s="8">
        <f>SQRT(AVERAGE(R4:R111))</f>
        <v>153.2789759</v>
      </c>
    </row>
    <row r="5" ht="14.25" customHeight="1">
      <c r="A5" s="38">
        <v>0.04791666666666667</v>
      </c>
      <c r="B5" s="36">
        <v>0.1</v>
      </c>
      <c r="C5" s="36">
        <v>0.0</v>
      </c>
      <c r="D5" s="36">
        <v>7.9</v>
      </c>
      <c r="E5" s="36">
        <v>564.0</v>
      </c>
      <c r="F5" s="36">
        <v>482.0</v>
      </c>
      <c r="G5" s="36">
        <v>0.86</v>
      </c>
      <c r="H5" s="36">
        <v>20.0</v>
      </c>
      <c r="I5" s="36">
        <v>683.0</v>
      </c>
      <c r="J5" s="36">
        <v>13.8</v>
      </c>
      <c r="K5" s="36">
        <v>93.1</v>
      </c>
      <c r="L5" s="36">
        <v>104.0</v>
      </c>
      <c r="M5" s="36">
        <v>44.4</v>
      </c>
      <c r="N5" s="36">
        <v>0.28</v>
      </c>
      <c r="O5" s="36">
        <v>0.82</v>
      </c>
      <c r="P5" s="36">
        <v>2.16</v>
      </c>
      <c r="Q5" s="21">
        <f t="shared" si="1"/>
        <v>2980</v>
      </c>
      <c r="R5" s="21">
        <f t="shared" si="2"/>
        <v>4900</v>
      </c>
    </row>
    <row r="6" ht="14.25" customHeight="1">
      <c r="A6" s="38">
        <v>0.05</v>
      </c>
      <c r="B6" s="36">
        <v>0.2</v>
      </c>
      <c r="C6" s="36">
        <v>0.0</v>
      </c>
      <c r="D6" s="36">
        <v>8.1</v>
      </c>
      <c r="E6" s="36">
        <v>575.0</v>
      </c>
      <c r="F6" s="36">
        <v>481.0</v>
      </c>
      <c r="G6" s="36">
        <v>0.84</v>
      </c>
      <c r="H6" s="36">
        <v>20.0</v>
      </c>
      <c r="I6" s="36">
        <v>691.0</v>
      </c>
      <c r="J6" s="36">
        <v>13.6</v>
      </c>
      <c r="K6" s="36">
        <v>93.2</v>
      </c>
      <c r="L6" s="36">
        <v>107.0</v>
      </c>
      <c r="M6" s="36">
        <v>43.1</v>
      </c>
      <c r="N6" s="36">
        <v>0.28</v>
      </c>
      <c r="O6" s="36">
        <v>0.86</v>
      </c>
      <c r="P6" s="36">
        <v>2.19</v>
      </c>
      <c r="Q6" s="21">
        <f t="shared" si="1"/>
        <v>3050</v>
      </c>
      <c r="R6" s="21">
        <f t="shared" si="2"/>
        <v>25600</v>
      </c>
    </row>
    <row r="7" ht="14.25" customHeight="1">
      <c r="A7" s="38">
        <v>0.052083333333333336</v>
      </c>
      <c r="B7" s="36">
        <v>0.3</v>
      </c>
      <c r="C7" s="36">
        <v>0.0</v>
      </c>
      <c r="D7" s="36">
        <v>9.1</v>
      </c>
      <c r="E7" s="36">
        <v>649.0</v>
      </c>
      <c r="F7" s="36">
        <v>537.0</v>
      </c>
      <c r="G7" s="36">
        <v>0.83</v>
      </c>
      <c r="H7" s="36">
        <v>19.0</v>
      </c>
      <c r="I7" s="36">
        <v>789.0</v>
      </c>
      <c r="J7" s="36">
        <v>14.7</v>
      </c>
      <c r="K7" s="36">
        <v>92.6</v>
      </c>
      <c r="L7" s="36">
        <v>109.0</v>
      </c>
      <c r="M7" s="36">
        <v>40.4</v>
      </c>
      <c r="N7" s="36">
        <v>0.28</v>
      </c>
      <c r="O7" s="36">
        <v>0.91</v>
      </c>
      <c r="P7" s="36">
        <v>2.3</v>
      </c>
      <c r="Q7" s="21">
        <f t="shared" si="1"/>
        <v>3210</v>
      </c>
      <c r="R7" s="21">
        <f t="shared" si="2"/>
        <v>10000</v>
      </c>
    </row>
    <row r="8" ht="14.25" customHeight="1">
      <c r="A8" s="38">
        <v>0.05486111111111111</v>
      </c>
      <c r="B8" s="36">
        <v>0.4</v>
      </c>
      <c r="C8" s="36">
        <v>0.0</v>
      </c>
      <c r="D8" s="36">
        <v>9.9</v>
      </c>
      <c r="E8" s="36">
        <v>704.0</v>
      </c>
      <c r="F8" s="36">
        <v>578.0</v>
      </c>
      <c r="G8" s="36">
        <v>0.82</v>
      </c>
      <c r="H8" s="36">
        <v>19.0</v>
      </c>
      <c r="I8" s="36">
        <v>811.0</v>
      </c>
      <c r="J8" s="36">
        <v>15.6</v>
      </c>
      <c r="K8" s="36">
        <v>92.2</v>
      </c>
      <c r="L8" s="36">
        <v>111.0</v>
      </c>
      <c r="M8" s="36">
        <v>40.4</v>
      </c>
      <c r="N8" s="36">
        <v>0.29</v>
      </c>
      <c r="O8" s="36">
        <v>0.91</v>
      </c>
      <c r="P8" s="36">
        <v>2.2</v>
      </c>
      <c r="Q8" s="21">
        <f t="shared" si="1"/>
        <v>3110</v>
      </c>
      <c r="R8" s="21">
        <f t="shared" si="2"/>
        <v>6400</v>
      </c>
    </row>
    <row r="9" ht="14.25" customHeight="1">
      <c r="A9" s="38">
        <v>0.05625</v>
      </c>
      <c r="B9" s="36">
        <v>0.4</v>
      </c>
      <c r="C9" s="36">
        <v>0.0</v>
      </c>
      <c r="D9" s="36">
        <v>10.5</v>
      </c>
      <c r="E9" s="36">
        <v>748.0</v>
      </c>
      <c r="F9" s="36">
        <v>612.0</v>
      </c>
      <c r="G9" s="36">
        <v>0.82</v>
      </c>
      <c r="H9" s="36">
        <v>19.0</v>
      </c>
      <c r="I9" s="36">
        <v>876.0</v>
      </c>
      <c r="J9" s="36">
        <v>16.5</v>
      </c>
      <c r="K9" s="36">
        <v>91.8</v>
      </c>
      <c r="L9" s="36">
        <v>113.0</v>
      </c>
      <c r="M9" s="36">
        <v>39.8</v>
      </c>
      <c r="N9" s="36">
        <v>0.29</v>
      </c>
      <c r="O9" s="36">
        <v>0.93</v>
      </c>
      <c r="P9" s="36">
        <v>2.26</v>
      </c>
      <c r="Q9" s="21">
        <f t="shared" si="1"/>
        <v>3190</v>
      </c>
      <c r="R9" s="21">
        <f t="shared" si="2"/>
        <v>400</v>
      </c>
    </row>
    <row r="10" ht="14.25" customHeight="1">
      <c r="A10" s="38">
        <v>0.059027777777777776</v>
      </c>
      <c r="B10" s="36">
        <v>0.5</v>
      </c>
      <c r="C10" s="36">
        <v>0.0</v>
      </c>
      <c r="D10" s="36">
        <v>10.9</v>
      </c>
      <c r="E10" s="36">
        <v>771.0</v>
      </c>
      <c r="F10" s="36">
        <v>639.0</v>
      </c>
      <c r="G10" s="36">
        <v>0.83</v>
      </c>
      <c r="H10" s="36">
        <v>19.0</v>
      </c>
      <c r="I10" s="36">
        <v>908.0</v>
      </c>
      <c r="J10" s="36">
        <v>17.2</v>
      </c>
      <c r="K10" s="36">
        <v>91.4</v>
      </c>
      <c r="L10" s="36">
        <v>113.0</v>
      </c>
      <c r="M10" s="36">
        <v>39.4</v>
      </c>
      <c r="N10" s="36">
        <v>0.3</v>
      </c>
      <c r="O10" s="36">
        <v>0.94</v>
      </c>
      <c r="P10" s="36">
        <v>2.23</v>
      </c>
      <c r="Q10" s="21">
        <f t="shared" si="1"/>
        <v>3170</v>
      </c>
      <c r="R10" s="21">
        <f t="shared" si="2"/>
        <v>14400</v>
      </c>
    </row>
    <row r="11" ht="14.25" customHeight="1">
      <c r="A11" s="38">
        <v>0.06180555555555556</v>
      </c>
      <c r="B11" s="36">
        <v>0.6</v>
      </c>
      <c r="C11" s="36">
        <v>0.0</v>
      </c>
      <c r="D11" s="36">
        <v>10.8</v>
      </c>
      <c r="E11" s="36">
        <v>767.0</v>
      </c>
      <c r="F11" s="36">
        <v>634.0</v>
      </c>
      <c r="G11" s="36">
        <v>0.83</v>
      </c>
      <c r="H11" s="36">
        <v>18.0</v>
      </c>
      <c r="I11" s="36">
        <v>932.0</v>
      </c>
      <c r="J11" s="36">
        <v>17.0</v>
      </c>
      <c r="K11" s="36">
        <v>91.5</v>
      </c>
      <c r="L11" s="36">
        <v>114.0</v>
      </c>
      <c r="M11" s="36">
        <v>38.8</v>
      </c>
      <c r="N11" s="36">
        <v>0.29</v>
      </c>
      <c r="O11" s="36">
        <v>0.94</v>
      </c>
      <c r="P11" s="36">
        <v>2.35</v>
      </c>
      <c r="Q11" s="21">
        <f t="shared" si="1"/>
        <v>3290</v>
      </c>
      <c r="R11" s="21">
        <f t="shared" si="2"/>
        <v>0</v>
      </c>
    </row>
    <row r="12" ht="14.25" customHeight="1">
      <c r="A12" s="38">
        <v>0.06388888888888888</v>
      </c>
      <c r="B12" s="36">
        <v>0.7</v>
      </c>
      <c r="C12" s="36">
        <v>0.0</v>
      </c>
      <c r="D12" s="36">
        <v>10.4</v>
      </c>
      <c r="E12" s="36">
        <v>740.0</v>
      </c>
      <c r="F12" s="36">
        <v>617.0</v>
      </c>
      <c r="G12" s="36">
        <v>0.83</v>
      </c>
      <c r="H12" s="36">
        <v>18.0</v>
      </c>
      <c r="I12" s="36">
        <v>904.0</v>
      </c>
      <c r="J12" s="36">
        <v>16.5</v>
      </c>
      <c r="K12" s="36">
        <v>91.8</v>
      </c>
      <c r="L12" s="36">
        <v>115.0</v>
      </c>
      <c r="M12" s="36">
        <v>38.3</v>
      </c>
      <c r="N12" s="36">
        <v>0.29</v>
      </c>
      <c r="O12" s="36">
        <v>0.96</v>
      </c>
      <c r="P12" s="36">
        <v>2.33</v>
      </c>
      <c r="Q12" s="21">
        <f t="shared" si="1"/>
        <v>3290</v>
      </c>
      <c r="R12" s="21">
        <f t="shared" si="2"/>
        <v>900</v>
      </c>
    </row>
    <row r="13" ht="14.25" customHeight="1">
      <c r="A13" s="38">
        <v>0.06597222222222222</v>
      </c>
      <c r="B13" s="36">
        <v>0.7</v>
      </c>
      <c r="C13" s="36">
        <v>0.0</v>
      </c>
      <c r="D13" s="36">
        <v>11.0</v>
      </c>
      <c r="E13" s="36">
        <v>778.0</v>
      </c>
      <c r="F13" s="36">
        <v>654.0</v>
      </c>
      <c r="G13" s="36">
        <v>0.84</v>
      </c>
      <c r="H13" s="36">
        <v>18.0</v>
      </c>
      <c r="I13" s="36">
        <v>947.0</v>
      </c>
      <c r="J13" s="36">
        <v>17.4</v>
      </c>
      <c r="K13" s="36">
        <v>91.3</v>
      </c>
      <c r="L13" s="36">
        <v>115.0</v>
      </c>
      <c r="M13" s="36">
        <v>38.5</v>
      </c>
      <c r="N13" s="36">
        <v>0.29</v>
      </c>
      <c r="O13" s="36">
        <v>0.94</v>
      </c>
      <c r="P13" s="36">
        <v>2.32</v>
      </c>
      <c r="Q13" s="21">
        <f t="shared" si="1"/>
        <v>3260</v>
      </c>
      <c r="R13" s="21">
        <f t="shared" si="2"/>
        <v>4900</v>
      </c>
    </row>
    <row r="14" ht="14.25" customHeight="1">
      <c r="A14" s="38">
        <v>0.06875</v>
      </c>
      <c r="B14" s="36">
        <v>0.8</v>
      </c>
      <c r="C14" s="36">
        <v>0.0</v>
      </c>
      <c r="D14" s="36">
        <v>10.7</v>
      </c>
      <c r="E14" s="36">
        <v>763.0</v>
      </c>
      <c r="F14" s="36">
        <v>644.0</v>
      </c>
      <c r="G14" s="36">
        <v>0.84</v>
      </c>
      <c r="H14" s="36">
        <v>18.0</v>
      </c>
      <c r="I14" s="36">
        <v>955.0</v>
      </c>
      <c r="J14" s="36">
        <v>17.2</v>
      </c>
      <c r="K14" s="36">
        <v>91.4</v>
      </c>
      <c r="L14" s="36">
        <v>115.0</v>
      </c>
      <c r="M14" s="36">
        <v>38.4</v>
      </c>
      <c r="N14" s="36">
        <v>0.29</v>
      </c>
      <c r="O14" s="36">
        <v>0.95</v>
      </c>
      <c r="P14" s="36">
        <v>2.38</v>
      </c>
      <c r="Q14" s="21">
        <f t="shared" si="1"/>
        <v>3330</v>
      </c>
      <c r="R14" s="21">
        <f t="shared" si="2"/>
        <v>12100</v>
      </c>
    </row>
    <row r="15" ht="14.25" customHeight="1">
      <c r="A15" s="38">
        <v>0.07083333333333333</v>
      </c>
      <c r="B15" s="36">
        <v>0.9</v>
      </c>
      <c r="C15" s="36">
        <v>0.0</v>
      </c>
      <c r="D15" s="36">
        <v>10.1</v>
      </c>
      <c r="E15" s="36">
        <v>717.0</v>
      </c>
      <c r="F15" s="36">
        <v>610.0</v>
      </c>
      <c r="G15" s="36">
        <v>0.85</v>
      </c>
      <c r="H15" s="36">
        <v>17.0</v>
      </c>
      <c r="I15" s="36">
        <v>929.0</v>
      </c>
      <c r="J15" s="36">
        <v>16.2</v>
      </c>
      <c r="K15" s="36">
        <v>91.9</v>
      </c>
      <c r="L15" s="36">
        <v>114.0</v>
      </c>
      <c r="M15" s="36">
        <v>38.7</v>
      </c>
      <c r="N15" s="36">
        <v>0.26</v>
      </c>
      <c r="O15" s="36">
        <v>0.9</v>
      </c>
      <c r="P15" s="36">
        <v>2.54</v>
      </c>
      <c r="Q15" s="21">
        <f t="shared" si="1"/>
        <v>3440</v>
      </c>
      <c r="R15" s="21">
        <f t="shared" si="2"/>
        <v>400</v>
      </c>
    </row>
    <row r="16" ht="14.25" customHeight="1">
      <c r="A16" s="38">
        <v>0.07291666666666667</v>
      </c>
      <c r="B16" s="36">
        <v>1.0</v>
      </c>
      <c r="C16" s="36">
        <v>0.0</v>
      </c>
      <c r="D16" s="36">
        <v>9.8</v>
      </c>
      <c r="E16" s="36">
        <v>699.0</v>
      </c>
      <c r="F16" s="36">
        <v>593.0</v>
      </c>
      <c r="G16" s="36">
        <v>0.85</v>
      </c>
      <c r="H16" s="36">
        <v>18.0</v>
      </c>
      <c r="I16" s="36">
        <v>900.0</v>
      </c>
      <c r="J16" s="36">
        <v>15.8</v>
      </c>
      <c r="K16" s="36">
        <v>92.1</v>
      </c>
      <c r="L16" s="36">
        <v>114.0</v>
      </c>
      <c r="M16" s="36">
        <v>39.0</v>
      </c>
      <c r="N16" s="36">
        <v>0.28</v>
      </c>
      <c r="O16" s="36">
        <v>0.95</v>
      </c>
      <c r="P16" s="36">
        <v>2.47</v>
      </c>
      <c r="Q16" s="21">
        <f t="shared" si="1"/>
        <v>3420</v>
      </c>
      <c r="R16" s="21">
        <f t="shared" si="2"/>
        <v>900</v>
      </c>
    </row>
    <row r="17" ht="14.25" customHeight="1">
      <c r="A17" s="38">
        <v>0.075</v>
      </c>
      <c r="B17" s="36">
        <v>1.1</v>
      </c>
      <c r="C17" s="36">
        <v>0.0</v>
      </c>
      <c r="D17" s="36">
        <v>9.9</v>
      </c>
      <c r="E17" s="36">
        <v>702.0</v>
      </c>
      <c r="F17" s="36">
        <v>592.0</v>
      </c>
      <c r="G17" s="36">
        <v>0.84</v>
      </c>
      <c r="H17" s="36">
        <v>17.0</v>
      </c>
      <c r="I17" s="36">
        <v>896.0</v>
      </c>
      <c r="J17" s="36">
        <v>15.6</v>
      </c>
      <c r="K17" s="36">
        <v>92.2</v>
      </c>
      <c r="L17" s="36">
        <v>113.0</v>
      </c>
      <c r="M17" s="36">
        <v>39.6</v>
      </c>
      <c r="N17" s="36">
        <v>0.28</v>
      </c>
      <c r="O17" s="36">
        <v>0.96</v>
      </c>
      <c r="P17" s="36">
        <v>2.49</v>
      </c>
      <c r="Q17" s="21">
        <f t="shared" si="1"/>
        <v>3450</v>
      </c>
      <c r="R17" s="21">
        <f t="shared" si="2"/>
        <v>32400</v>
      </c>
    </row>
    <row r="18" ht="14.25" customHeight="1">
      <c r="A18" s="38">
        <v>0.07708333333333334</v>
      </c>
      <c r="B18" s="36">
        <v>1.1</v>
      </c>
      <c r="C18" s="36">
        <v>0.0</v>
      </c>
      <c r="D18" s="36">
        <v>10.2</v>
      </c>
      <c r="E18" s="36">
        <v>726.0</v>
      </c>
      <c r="F18" s="36">
        <v>607.0</v>
      </c>
      <c r="G18" s="36">
        <v>0.84</v>
      </c>
      <c r="H18" s="36">
        <v>18.0</v>
      </c>
      <c r="I18" s="36">
        <v>877.0</v>
      </c>
      <c r="J18" s="36">
        <v>16.1</v>
      </c>
      <c r="K18" s="36">
        <v>92.0</v>
      </c>
      <c r="L18" s="36">
        <v>112.0</v>
      </c>
      <c r="M18" s="36">
        <v>40.3</v>
      </c>
      <c r="N18" s="36">
        <v>0.3</v>
      </c>
      <c r="O18" s="36">
        <v>0.98</v>
      </c>
      <c r="P18" s="36">
        <v>2.29</v>
      </c>
      <c r="Q18" s="21">
        <f t="shared" si="1"/>
        <v>3270</v>
      </c>
      <c r="R18" s="21">
        <f t="shared" si="2"/>
        <v>6400</v>
      </c>
    </row>
    <row r="19" ht="14.25" customHeight="1">
      <c r="A19" s="38">
        <v>0.0798611111111111</v>
      </c>
      <c r="B19" s="36">
        <v>1.2</v>
      </c>
      <c r="C19" s="36">
        <v>0.0</v>
      </c>
      <c r="D19" s="36">
        <v>10.2</v>
      </c>
      <c r="E19" s="36">
        <v>723.0</v>
      </c>
      <c r="F19" s="36">
        <v>601.0</v>
      </c>
      <c r="G19" s="36">
        <v>0.83</v>
      </c>
      <c r="H19" s="36">
        <v>19.0</v>
      </c>
      <c r="I19" s="36">
        <v>849.0</v>
      </c>
      <c r="J19" s="36">
        <v>16.0</v>
      </c>
      <c r="K19" s="36">
        <v>92.0</v>
      </c>
      <c r="L19" s="36">
        <v>112.0</v>
      </c>
      <c r="M19" s="36">
        <v>40.5</v>
      </c>
      <c r="N19" s="36">
        <v>0.3</v>
      </c>
      <c r="O19" s="36">
        <v>0.96</v>
      </c>
      <c r="P19" s="36">
        <v>2.23</v>
      </c>
      <c r="Q19" s="21">
        <f t="shared" si="1"/>
        <v>3190</v>
      </c>
      <c r="R19" s="21">
        <f t="shared" si="2"/>
        <v>10000</v>
      </c>
    </row>
    <row r="20" ht="14.25" customHeight="1">
      <c r="A20" s="38">
        <v>0.08194444444444444</v>
      </c>
      <c r="B20" s="36">
        <v>1.3</v>
      </c>
      <c r="C20" s="36">
        <v>0.0</v>
      </c>
      <c r="D20" s="36">
        <v>10.0</v>
      </c>
      <c r="E20" s="36">
        <v>713.0</v>
      </c>
      <c r="F20" s="36">
        <v>591.0</v>
      </c>
      <c r="G20" s="36">
        <v>0.83</v>
      </c>
      <c r="H20" s="36">
        <v>18.0</v>
      </c>
      <c r="I20" s="36">
        <v>857.0</v>
      </c>
      <c r="J20" s="36">
        <v>15.7</v>
      </c>
      <c r="K20" s="36">
        <v>92.2</v>
      </c>
      <c r="L20" s="36">
        <v>112.0</v>
      </c>
      <c r="M20" s="36">
        <v>40.4</v>
      </c>
      <c r="N20" s="36">
        <v>0.3</v>
      </c>
      <c r="O20" s="36">
        <v>1.0</v>
      </c>
      <c r="P20" s="36">
        <v>2.29</v>
      </c>
      <c r="Q20" s="21">
        <f t="shared" si="1"/>
        <v>3290</v>
      </c>
      <c r="R20" s="21">
        <f t="shared" si="2"/>
        <v>100</v>
      </c>
    </row>
    <row r="21" ht="14.25" customHeight="1">
      <c r="A21" s="38">
        <v>0.08611111111111111</v>
      </c>
      <c r="B21" s="36">
        <v>1.4</v>
      </c>
      <c r="C21" s="36">
        <v>0.0</v>
      </c>
      <c r="D21" s="36">
        <v>10.1</v>
      </c>
      <c r="E21" s="36">
        <v>716.0</v>
      </c>
      <c r="F21" s="36">
        <v>593.0</v>
      </c>
      <c r="G21" s="36">
        <v>0.83</v>
      </c>
      <c r="H21" s="36">
        <v>18.0</v>
      </c>
      <c r="I21" s="36">
        <v>858.0</v>
      </c>
      <c r="J21" s="36">
        <v>15.6</v>
      </c>
      <c r="K21" s="36">
        <v>92.2</v>
      </c>
      <c r="L21" s="36">
        <v>111.0</v>
      </c>
      <c r="M21" s="36">
        <v>40.4</v>
      </c>
      <c r="N21" s="36">
        <v>0.31</v>
      </c>
      <c r="O21" s="36">
        <v>1.02</v>
      </c>
      <c r="P21" s="36">
        <v>2.28</v>
      </c>
      <c r="Q21" s="21">
        <f t="shared" si="1"/>
        <v>3300</v>
      </c>
      <c r="R21" s="21">
        <f t="shared" si="2"/>
        <v>62500</v>
      </c>
    </row>
    <row r="22" ht="14.25" customHeight="1">
      <c r="A22" s="38">
        <v>0.08958333333333333</v>
      </c>
      <c r="B22" s="36">
        <v>1.5</v>
      </c>
      <c r="C22" s="36">
        <v>0.0</v>
      </c>
      <c r="D22" s="36">
        <v>10.5</v>
      </c>
      <c r="E22" s="36">
        <v>743.0</v>
      </c>
      <c r="F22" s="36">
        <v>615.0</v>
      </c>
      <c r="G22" s="36">
        <v>0.83</v>
      </c>
      <c r="H22" s="36">
        <v>17.0</v>
      </c>
      <c r="I22" s="36">
        <v>938.0</v>
      </c>
      <c r="J22" s="36">
        <v>15.8</v>
      </c>
      <c r="K22" s="36">
        <v>92.1</v>
      </c>
      <c r="L22" s="36">
        <v>111.0</v>
      </c>
      <c r="M22" s="36">
        <v>40.4</v>
      </c>
      <c r="N22" s="36">
        <v>0.31</v>
      </c>
      <c r="O22" s="36">
        <v>1.11</v>
      </c>
      <c r="P22" s="36">
        <v>2.44</v>
      </c>
      <c r="Q22" s="21">
        <f t="shared" si="1"/>
        <v>3550</v>
      </c>
      <c r="R22" s="21">
        <f t="shared" si="2"/>
        <v>12100</v>
      </c>
    </row>
    <row r="23" ht="14.25" customHeight="1">
      <c r="A23" s="38">
        <v>0.09236111111111112</v>
      </c>
      <c r="B23" s="36">
        <v>1.6</v>
      </c>
      <c r="C23" s="36">
        <v>0.0</v>
      </c>
      <c r="D23" s="36">
        <v>10.5</v>
      </c>
      <c r="E23" s="36">
        <v>749.0</v>
      </c>
      <c r="F23" s="36">
        <v>616.0</v>
      </c>
      <c r="G23" s="36">
        <v>0.82</v>
      </c>
      <c r="H23" s="36">
        <v>16.0</v>
      </c>
      <c r="I23" s="36">
        <v>960.0</v>
      </c>
      <c r="J23" s="36">
        <v>15.7</v>
      </c>
      <c r="K23" s="36">
        <v>92.1</v>
      </c>
      <c r="L23" s="36">
        <v>112.0</v>
      </c>
      <c r="M23" s="36">
        <v>40.6</v>
      </c>
      <c r="N23" s="36">
        <v>0.31</v>
      </c>
      <c r="O23" s="36">
        <v>1.12</v>
      </c>
      <c r="P23" s="36">
        <v>2.54</v>
      </c>
      <c r="Q23" s="21">
        <f t="shared" si="1"/>
        <v>3660</v>
      </c>
      <c r="R23" s="21">
        <f t="shared" si="2"/>
        <v>3600</v>
      </c>
    </row>
    <row r="24" ht="14.25" customHeight="1">
      <c r="A24" s="38">
        <v>0.09444444444444444</v>
      </c>
      <c r="B24" s="36">
        <v>1.7</v>
      </c>
      <c r="C24" s="36">
        <v>0.0</v>
      </c>
      <c r="D24" s="36">
        <v>10.4</v>
      </c>
      <c r="E24" s="36">
        <v>739.0</v>
      </c>
      <c r="F24" s="36">
        <v>605.0</v>
      </c>
      <c r="G24" s="36">
        <v>0.82</v>
      </c>
      <c r="H24" s="36">
        <v>17.0</v>
      </c>
      <c r="I24" s="36">
        <v>931.0</v>
      </c>
      <c r="J24" s="36">
        <v>15.5</v>
      </c>
      <c r="K24" s="36">
        <v>92.3</v>
      </c>
      <c r="L24" s="36">
        <v>112.0</v>
      </c>
      <c r="M24" s="36">
        <v>40.4</v>
      </c>
      <c r="N24" s="36">
        <v>0.3</v>
      </c>
      <c r="O24" s="36">
        <v>1.09</v>
      </c>
      <c r="P24" s="36">
        <v>2.51</v>
      </c>
      <c r="Q24" s="21">
        <f t="shared" si="1"/>
        <v>3600</v>
      </c>
      <c r="R24" s="21">
        <f t="shared" si="2"/>
        <v>3600</v>
      </c>
    </row>
    <row r="25" ht="14.25" customHeight="1">
      <c r="A25" s="38">
        <v>0.09583333333333334</v>
      </c>
      <c r="B25" s="36">
        <v>1.8</v>
      </c>
      <c r="C25" s="36">
        <v>0.0</v>
      </c>
      <c r="D25" s="36">
        <v>10.5</v>
      </c>
      <c r="E25" s="36">
        <v>746.0</v>
      </c>
      <c r="F25" s="36">
        <v>609.0</v>
      </c>
      <c r="G25" s="36">
        <v>0.82</v>
      </c>
      <c r="H25" s="36">
        <v>17.0</v>
      </c>
      <c r="I25" s="36">
        <v>914.0</v>
      </c>
      <c r="J25" s="36">
        <v>15.5</v>
      </c>
      <c r="K25" s="36">
        <v>92.3</v>
      </c>
      <c r="L25" s="36">
        <v>112.0</v>
      </c>
      <c r="M25" s="36">
        <v>40.0</v>
      </c>
      <c r="N25" s="36">
        <v>0.31</v>
      </c>
      <c r="O25" s="36">
        <v>1.1</v>
      </c>
      <c r="P25" s="36">
        <v>2.44</v>
      </c>
      <c r="Q25" s="21">
        <f t="shared" si="1"/>
        <v>3540</v>
      </c>
      <c r="R25" s="21">
        <f t="shared" si="2"/>
        <v>360000</v>
      </c>
    </row>
    <row r="26" ht="14.25" customHeight="1">
      <c r="A26" s="38">
        <v>0.09791666666666667</v>
      </c>
      <c r="B26" s="36">
        <v>1.8</v>
      </c>
      <c r="C26" s="36">
        <v>0.0</v>
      </c>
      <c r="D26" s="36">
        <v>11.1</v>
      </c>
      <c r="E26" s="36">
        <v>791.0</v>
      </c>
      <c r="F26" s="36">
        <v>650.0</v>
      </c>
      <c r="G26" s="36">
        <v>0.82</v>
      </c>
      <c r="H26" s="36">
        <v>15.0</v>
      </c>
      <c r="I26" s="36">
        <v>1110.0</v>
      </c>
      <c r="J26" s="36">
        <v>16.1</v>
      </c>
      <c r="K26" s="36">
        <v>92.0</v>
      </c>
      <c r="L26" s="36">
        <v>113.0</v>
      </c>
      <c r="M26" s="36">
        <v>39.7</v>
      </c>
      <c r="N26" s="36">
        <v>0.3</v>
      </c>
      <c r="O26" s="36">
        <v>1.25</v>
      </c>
      <c r="P26" s="36">
        <v>2.89</v>
      </c>
      <c r="Q26" s="21">
        <f t="shared" si="1"/>
        <v>4140</v>
      </c>
      <c r="R26" s="21">
        <f t="shared" si="2"/>
        <v>3600</v>
      </c>
    </row>
    <row r="27" ht="14.25" customHeight="1">
      <c r="A27" s="38">
        <v>0.10069444444444445</v>
      </c>
      <c r="B27" s="36">
        <v>1.9</v>
      </c>
      <c r="C27" s="36">
        <v>0.0</v>
      </c>
      <c r="D27" s="36">
        <v>11.4</v>
      </c>
      <c r="E27" s="36">
        <v>808.0</v>
      </c>
      <c r="F27" s="36">
        <v>660.0</v>
      </c>
      <c r="G27" s="36">
        <v>0.82</v>
      </c>
      <c r="H27" s="36">
        <v>15.0</v>
      </c>
      <c r="I27" s="36">
        <v>1111.0</v>
      </c>
      <c r="J27" s="36">
        <v>16.3</v>
      </c>
      <c r="K27" s="36">
        <v>91.8</v>
      </c>
      <c r="L27" s="36">
        <v>113.0</v>
      </c>
      <c r="M27" s="36">
        <v>39.3</v>
      </c>
      <c r="N27" s="36">
        <v>0.3</v>
      </c>
      <c r="O27" s="36">
        <v>1.22</v>
      </c>
      <c r="P27" s="36">
        <v>2.86</v>
      </c>
      <c r="Q27" s="21">
        <f t="shared" si="1"/>
        <v>4080</v>
      </c>
      <c r="R27" s="21">
        <f t="shared" si="2"/>
        <v>324900</v>
      </c>
    </row>
    <row r="28" ht="14.25" customHeight="1">
      <c r="A28" s="38">
        <v>0.10277777777777777</v>
      </c>
      <c r="B28" s="36">
        <v>2.0</v>
      </c>
      <c r="C28" s="36">
        <v>0.0</v>
      </c>
      <c r="D28" s="36">
        <v>11.1</v>
      </c>
      <c r="E28" s="36">
        <v>786.0</v>
      </c>
      <c r="F28" s="36">
        <v>630.0</v>
      </c>
      <c r="G28" s="36">
        <v>0.8</v>
      </c>
      <c r="H28" s="36">
        <v>17.0</v>
      </c>
      <c r="I28" s="36">
        <v>933.0</v>
      </c>
      <c r="J28" s="36">
        <v>15.9</v>
      </c>
      <c r="K28" s="36">
        <v>92.0</v>
      </c>
      <c r="L28" s="36">
        <v>114.0</v>
      </c>
      <c r="M28" s="36">
        <v>39.3</v>
      </c>
      <c r="N28" s="36">
        <v>0.3</v>
      </c>
      <c r="O28" s="36">
        <v>1.06</v>
      </c>
      <c r="P28" s="36">
        <v>2.45</v>
      </c>
      <c r="Q28" s="21">
        <f t="shared" si="1"/>
        <v>3510</v>
      </c>
      <c r="R28" s="21">
        <f t="shared" si="2"/>
        <v>28900</v>
      </c>
    </row>
    <row r="29" ht="14.25" customHeight="1">
      <c r="A29" s="38">
        <v>0.10555555555555556</v>
      </c>
      <c r="B29" s="36">
        <v>2.1</v>
      </c>
      <c r="C29" s="36">
        <v>0.0</v>
      </c>
      <c r="D29" s="36">
        <v>11.5</v>
      </c>
      <c r="E29" s="36">
        <v>813.0</v>
      </c>
      <c r="F29" s="36">
        <v>646.0</v>
      </c>
      <c r="G29" s="36">
        <v>0.79</v>
      </c>
      <c r="H29" s="36">
        <v>18.0</v>
      </c>
      <c r="I29" s="36">
        <v>900.0</v>
      </c>
      <c r="J29" s="36">
        <v>16.2</v>
      </c>
      <c r="K29" s="36">
        <v>91.9</v>
      </c>
      <c r="L29" s="36">
        <v>115.0</v>
      </c>
      <c r="M29" s="36">
        <v>38.9</v>
      </c>
      <c r="N29" s="36">
        <v>0.3</v>
      </c>
      <c r="O29" s="36">
        <v>1.01</v>
      </c>
      <c r="P29" s="36">
        <v>2.33</v>
      </c>
      <c r="Q29" s="21">
        <f t="shared" si="1"/>
        <v>3340</v>
      </c>
      <c r="R29" s="21">
        <f t="shared" si="2"/>
        <v>16900</v>
      </c>
    </row>
    <row r="30" ht="14.25" customHeight="1">
      <c r="A30" s="38">
        <v>0.1076388888888889</v>
      </c>
      <c r="B30" s="36">
        <v>2.1</v>
      </c>
      <c r="C30" s="36">
        <v>0.0</v>
      </c>
      <c r="D30" s="36">
        <v>11.9</v>
      </c>
      <c r="E30" s="36">
        <v>845.0</v>
      </c>
      <c r="F30" s="36">
        <v>671.0</v>
      </c>
      <c r="G30" s="36">
        <v>0.79</v>
      </c>
      <c r="H30" s="36">
        <v>19.0</v>
      </c>
      <c r="I30" s="36">
        <v>901.0</v>
      </c>
      <c r="J30" s="36">
        <v>16.9</v>
      </c>
      <c r="K30" s="36">
        <v>91.6</v>
      </c>
      <c r="L30" s="36">
        <v>115.0</v>
      </c>
      <c r="M30" s="36">
        <v>38.2</v>
      </c>
      <c r="N30" s="36">
        <v>0.3</v>
      </c>
      <c r="O30" s="36">
        <v>0.96</v>
      </c>
      <c r="P30" s="36">
        <v>2.25</v>
      </c>
      <c r="Q30" s="21">
        <f t="shared" si="1"/>
        <v>3210</v>
      </c>
      <c r="R30" s="21">
        <f t="shared" si="2"/>
        <v>12100</v>
      </c>
    </row>
    <row r="31" ht="14.25" customHeight="1">
      <c r="A31" s="38">
        <v>0.10972222222222222</v>
      </c>
      <c r="B31" s="36">
        <v>2.2</v>
      </c>
      <c r="C31" s="36">
        <v>0.0</v>
      </c>
      <c r="D31" s="36">
        <v>12.7</v>
      </c>
      <c r="E31" s="36">
        <v>905.0</v>
      </c>
      <c r="F31" s="36">
        <v>714.0</v>
      </c>
      <c r="G31" s="36">
        <v>0.79</v>
      </c>
      <c r="H31" s="36">
        <v>18.0</v>
      </c>
      <c r="I31" s="36">
        <v>972.0</v>
      </c>
      <c r="J31" s="36">
        <v>17.6</v>
      </c>
      <c r="K31" s="36">
        <v>91.2</v>
      </c>
      <c r="L31" s="36">
        <v>116.0</v>
      </c>
      <c r="M31" s="36">
        <v>37.7</v>
      </c>
      <c r="N31" s="36">
        <v>0.3</v>
      </c>
      <c r="O31" s="36">
        <v>0.99</v>
      </c>
      <c r="P31" s="36">
        <v>2.33</v>
      </c>
      <c r="Q31" s="21">
        <f t="shared" si="1"/>
        <v>3320</v>
      </c>
      <c r="R31" s="21">
        <f t="shared" si="2"/>
        <v>900</v>
      </c>
    </row>
    <row r="32" ht="14.25" customHeight="1">
      <c r="A32" s="38">
        <v>0.1125</v>
      </c>
      <c r="B32" s="36">
        <v>2.3</v>
      </c>
      <c r="C32" s="36">
        <v>0.0</v>
      </c>
      <c r="D32" s="36">
        <v>13.7</v>
      </c>
      <c r="E32" s="36">
        <v>972.0</v>
      </c>
      <c r="F32" s="36">
        <v>767.0</v>
      </c>
      <c r="G32" s="36">
        <v>0.79</v>
      </c>
      <c r="H32" s="36">
        <v>18.0</v>
      </c>
      <c r="I32" s="36">
        <v>1038.0</v>
      </c>
      <c r="J32" s="36">
        <v>18.6</v>
      </c>
      <c r="K32" s="36">
        <v>90.7</v>
      </c>
      <c r="L32" s="36">
        <v>117.0</v>
      </c>
      <c r="M32" s="36">
        <v>37.2</v>
      </c>
      <c r="N32" s="36">
        <v>0.31</v>
      </c>
      <c r="O32" s="36">
        <v>1.04</v>
      </c>
      <c r="P32" s="36">
        <v>2.31</v>
      </c>
      <c r="Q32" s="21">
        <f t="shared" si="1"/>
        <v>3350</v>
      </c>
      <c r="R32" s="21">
        <f t="shared" si="2"/>
        <v>1600</v>
      </c>
    </row>
    <row r="33" ht="14.25" customHeight="1">
      <c r="A33" s="38">
        <v>0.11458333333333333</v>
      </c>
      <c r="B33" s="36">
        <v>2.4</v>
      </c>
      <c r="C33" s="36">
        <v>0.0</v>
      </c>
      <c r="D33" s="36">
        <v>13.6</v>
      </c>
      <c r="E33" s="36">
        <v>963.0</v>
      </c>
      <c r="F33" s="36">
        <v>752.0</v>
      </c>
      <c r="G33" s="36">
        <v>0.78</v>
      </c>
      <c r="H33" s="36">
        <v>18.0</v>
      </c>
      <c r="I33" s="36">
        <v>1006.0</v>
      </c>
      <c r="J33" s="36">
        <v>18.2</v>
      </c>
      <c r="K33" s="36">
        <v>90.9</v>
      </c>
      <c r="L33" s="36">
        <v>119.0</v>
      </c>
      <c r="M33" s="36">
        <v>37.2</v>
      </c>
      <c r="N33" s="36">
        <v>0.31</v>
      </c>
      <c r="O33" s="36">
        <v>1.04</v>
      </c>
      <c r="P33" s="36">
        <v>2.27</v>
      </c>
      <c r="Q33" s="21">
        <f t="shared" si="1"/>
        <v>3310</v>
      </c>
      <c r="R33" s="21">
        <f t="shared" si="2"/>
        <v>6400</v>
      </c>
    </row>
    <row r="34" ht="14.25" customHeight="1">
      <c r="A34" s="38">
        <v>0.11597222222222223</v>
      </c>
      <c r="B34" s="36">
        <v>2.4</v>
      </c>
      <c r="C34" s="36">
        <v>0.0</v>
      </c>
      <c r="D34" s="36">
        <v>14.7</v>
      </c>
      <c r="E34" s="36">
        <v>1047.0</v>
      </c>
      <c r="F34" s="36">
        <v>818.0</v>
      </c>
      <c r="G34" s="36">
        <v>0.78</v>
      </c>
      <c r="H34" s="36">
        <v>18.0</v>
      </c>
      <c r="I34" s="36">
        <v>1109.0</v>
      </c>
      <c r="J34" s="36">
        <v>19.7</v>
      </c>
      <c r="K34" s="36">
        <v>90.2</v>
      </c>
      <c r="L34" s="36">
        <v>121.0</v>
      </c>
      <c r="M34" s="36">
        <v>35.8</v>
      </c>
      <c r="N34" s="36">
        <v>0.33</v>
      </c>
      <c r="O34" s="36">
        <v>1.11</v>
      </c>
      <c r="P34" s="36">
        <v>2.28</v>
      </c>
      <c r="Q34" s="21">
        <f t="shared" si="1"/>
        <v>3390</v>
      </c>
      <c r="R34" s="21">
        <f t="shared" si="2"/>
        <v>0</v>
      </c>
    </row>
    <row r="35" ht="14.25" customHeight="1">
      <c r="A35" s="38">
        <v>0.11805555555555555</v>
      </c>
      <c r="B35" s="36">
        <v>2.5</v>
      </c>
      <c r="C35" s="36">
        <v>0.0</v>
      </c>
      <c r="D35" s="36">
        <v>15.1</v>
      </c>
      <c r="E35" s="36">
        <v>1069.0</v>
      </c>
      <c r="F35" s="36">
        <v>838.0</v>
      </c>
      <c r="G35" s="36">
        <v>0.78</v>
      </c>
      <c r="H35" s="36">
        <v>18.0</v>
      </c>
      <c r="I35" s="36">
        <v>1132.0</v>
      </c>
      <c r="J35" s="36">
        <v>20.0</v>
      </c>
      <c r="K35" s="36">
        <v>90.0</v>
      </c>
      <c r="L35" s="36">
        <v>122.0</v>
      </c>
      <c r="M35" s="36">
        <v>34.2</v>
      </c>
      <c r="N35" s="36">
        <v>0.33</v>
      </c>
      <c r="O35" s="36">
        <v>1.12</v>
      </c>
      <c r="P35" s="36">
        <v>2.27</v>
      </c>
      <c r="Q35" s="21">
        <f t="shared" si="1"/>
        <v>3390</v>
      </c>
      <c r="R35" s="21">
        <f t="shared" si="2"/>
        <v>260100</v>
      </c>
    </row>
    <row r="36" ht="14.25" customHeight="1">
      <c r="A36" s="38">
        <v>0.12222222222222222</v>
      </c>
      <c r="B36" s="36">
        <v>2.6</v>
      </c>
      <c r="C36" s="36">
        <v>0.0</v>
      </c>
      <c r="D36" s="36">
        <v>15.7</v>
      </c>
      <c r="E36" s="36">
        <v>1115.0</v>
      </c>
      <c r="F36" s="36">
        <v>886.0</v>
      </c>
      <c r="G36" s="36">
        <v>0.8</v>
      </c>
      <c r="H36" s="36">
        <v>15.0</v>
      </c>
      <c r="I36" s="36">
        <v>1364.0</v>
      </c>
      <c r="J36" s="36">
        <v>21.0</v>
      </c>
      <c r="K36" s="36">
        <v>89.5</v>
      </c>
      <c r="L36" s="36">
        <v>123.0</v>
      </c>
      <c r="M36" s="36">
        <v>33.3</v>
      </c>
      <c r="N36" s="36">
        <v>0.34</v>
      </c>
      <c r="O36" s="36">
        <v>1.32</v>
      </c>
      <c r="P36" s="36">
        <v>2.58</v>
      </c>
      <c r="Q36" s="21">
        <f t="shared" si="1"/>
        <v>3900</v>
      </c>
      <c r="R36" s="21">
        <f t="shared" si="2"/>
        <v>1600</v>
      </c>
    </row>
    <row r="37" ht="14.25" customHeight="1">
      <c r="A37" s="38">
        <v>0.12430555555555556</v>
      </c>
      <c r="B37" s="36">
        <v>2.7</v>
      </c>
      <c r="C37" s="36">
        <v>0.0</v>
      </c>
      <c r="D37" s="36">
        <v>15.6</v>
      </c>
      <c r="E37" s="36">
        <v>1111.0</v>
      </c>
      <c r="F37" s="36">
        <v>888.0</v>
      </c>
      <c r="G37" s="36">
        <v>0.8</v>
      </c>
      <c r="H37" s="36">
        <v>16.0</v>
      </c>
      <c r="I37" s="36">
        <v>1351.0</v>
      </c>
      <c r="J37" s="36">
        <v>21.0</v>
      </c>
      <c r="K37" s="36">
        <v>89.5</v>
      </c>
      <c r="L37" s="36">
        <v>124.0</v>
      </c>
      <c r="M37" s="36">
        <v>33.3</v>
      </c>
      <c r="N37" s="36">
        <v>0.34</v>
      </c>
      <c r="O37" s="36">
        <v>1.31</v>
      </c>
      <c r="P37" s="36">
        <v>2.55</v>
      </c>
      <c r="Q37" s="21">
        <f t="shared" si="1"/>
        <v>3860</v>
      </c>
      <c r="R37" s="21">
        <f t="shared" si="2"/>
        <v>8100</v>
      </c>
    </row>
    <row r="38" ht="14.25" customHeight="1">
      <c r="A38" s="38">
        <v>0.12638888888888888</v>
      </c>
      <c r="B38" s="36">
        <v>2.8</v>
      </c>
      <c r="C38" s="36">
        <v>0.0</v>
      </c>
      <c r="D38" s="36">
        <v>15.6</v>
      </c>
      <c r="E38" s="36">
        <v>1105.0</v>
      </c>
      <c r="F38" s="36">
        <v>890.0</v>
      </c>
      <c r="G38" s="36">
        <v>0.81</v>
      </c>
      <c r="H38" s="36">
        <v>16.0</v>
      </c>
      <c r="I38" s="36">
        <v>1330.0</v>
      </c>
      <c r="J38" s="36">
        <v>21.2</v>
      </c>
      <c r="K38" s="36">
        <v>89.4</v>
      </c>
      <c r="L38" s="36">
        <v>125.0</v>
      </c>
      <c r="M38" s="36">
        <v>33.0</v>
      </c>
      <c r="N38" s="36">
        <v>0.34</v>
      </c>
      <c r="O38" s="36">
        <v>1.27</v>
      </c>
      <c r="P38" s="36">
        <v>2.5</v>
      </c>
      <c r="Q38" s="21">
        <f t="shared" si="1"/>
        <v>3770</v>
      </c>
      <c r="R38" s="21">
        <f t="shared" si="2"/>
        <v>40000</v>
      </c>
    </row>
    <row r="39" ht="14.25" customHeight="1">
      <c r="A39" s="38">
        <v>0.1284722222222222</v>
      </c>
      <c r="B39" s="36">
        <v>2.8</v>
      </c>
      <c r="C39" s="36">
        <v>0.0</v>
      </c>
      <c r="D39" s="36">
        <v>15.3</v>
      </c>
      <c r="E39" s="36">
        <v>1087.0</v>
      </c>
      <c r="F39" s="36">
        <v>881.0</v>
      </c>
      <c r="G39" s="36">
        <v>0.81</v>
      </c>
      <c r="H39" s="36">
        <v>17.0</v>
      </c>
      <c r="I39" s="36">
        <v>1247.0</v>
      </c>
      <c r="J39" s="36">
        <v>21.0</v>
      </c>
      <c r="K39" s="36">
        <v>89.5</v>
      </c>
      <c r="L39" s="36">
        <v>125.0</v>
      </c>
      <c r="M39" s="36">
        <v>33.3</v>
      </c>
      <c r="N39" s="36">
        <v>0.33</v>
      </c>
      <c r="O39" s="36">
        <v>1.17</v>
      </c>
      <c r="P39" s="36">
        <v>2.4</v>
      </c>
      <c r="Q39" s="21">
        <f t="shared" si="1"/>
        <v>3570</v>
      </c>
      <c r="R39" s="21">
        <f t="shared" si="2"/>
        <v>400</v>
      </c>
    </row>
    <row r="40" ht="14.25" customHeight="1">
      <c r="A40" s="38">
        <v>0.13055555555555556</v>
      </c>
      <c r="B40" s="36">
        <v>2.9</v>
      </c>
      <c r="C40" s="36">
        <v>0.0</v>
      </c>
      <c r="D40" s="36">
        <v>15.6</v>
      </c>
      <c r="E40" s="36">
        <v>1107.0</v>
      </c>
      <c r="F40" s="36">
        <v>897.0</v>
      </c>
      <c r="G40" s="36">
        <v>0.81</v>
      </c>
      <c r="H40" s="36">
        <v>17.0</v>
      </c>
      <c r="I40" s="36">
        <v>1274.0</v>
      </c>
      <c r="J40" s="36">
        <v>21.3</v>
      </c>
      <c r="K40" s="36">
        <v>89.4</v>
      </c>
      <c r="L40" s="36">
        <v>125.0</v>
      </c>
      <c r="M40" s="36">
        <v>33.0</v>
      </c>
      <c r="N40" s="36">
        <v>0.33</v>
      </c>
      <c r="O40" s="36">
        <v>1.18</v>
      </c>
      <c r="P40" s="36">
        <v>2.41</v>
      </c>
      <c r="Q40" s="21">
        <f t="shared" si="1"/>
        <v>3590</v>
      </c>
      <c r="R40" s="21">
        <f t="shared" si="2"/>
        <v>0</v>
      </c>
    </row>
    <row r="41" ht="14.25" customHeight="1">
      <c r="A41" s="38">
        <v>0.1326388888888889</v>
      </c>
      <c r="B41" s="36">
        <v>3.0</v>
      </c>
      <c r="C41" s="36">
        <v>0.0</v>
      </c>
      <c r="D41" s="36">
        <v>15.6</v>
      </c>
      <c r="E41" s="36">
        <v>1107.0</v>
      </c>
      <c r="F41" s="36">
        <v>897.0</v>
      </c>
      <c r="G41" s="36">
        <v>0.81</v>
      </c>
      <c r="H41" s="36">
        <v>17.0</v>
      </c>
      <c r="I41" s="36">
        <v>1274.0</v>
      </c>
      <c r="J41" s="36">
        <v>21.3</v>
      </c>
      <c r="K41" s="36">
        <v>89.4</v>
      </c>
      <c r="L41" s="36">
        <v>125.0</v>
      </c>
      <c r="M41" s="36">
        <v>33.0</v>
      </c>
      <c r="N41" s="36">
        <v>0.33</v>
      </c>
      <c r="O41" s="36">
        <v>1.18</v>
      </c>
      <c r="P41" s="36">
        <v>2.41</v>
      </c>
      <c r="Q41" s="21">
        <f t="shared" si="1"/>
        <v>3590</v>
      </c>
      <c r="R41" s="21">
        <f t="shared" si="2"/>
        <v>100</v>
      </c>
    </row>
    <row r="42" ht="14.25" customHeight="1">
      <c r="A42" s="38">
        <v>0.13472222222222222</v>
      </c>
      <c r="B42" s="36">
        <v>3.0</v>
      </c>
      <c r="C42" s="36">
        <v>0.0</v>
      </c>
      <c r="D42" s="36">
        <v>15.9</v>
      </c>
      <c r="E42" s="36">
        <v>1127.0</v>
      </c>
      <c r="F42" s="36">
        <v>912.0</v>
      </c>
      <c r="G42" s="36">
        <v>0.81</v>
      </c>
      <c r="H42" s="36">
        <v>17.0</v>
      </c>
      <c r="I42" s="36">
        <v>1292.0</v>
      </c>
      <c r="J42" s="36">
        <v>21.7</v>
      </c>
      <c r="K42" s="36">
        <v>89.2</v>
      </c>
      <c r="L42" s="36">
        <v>125.0</v>
      </c>
      <c r="M42" s="36">
        <v>33.0</v>
      </c>
      <c r="N42" s="36">
        <v>0.33</v>
      </c>
      <c r="O42" s="36">
        <v>1.17</v>
      </c>
      <c r="P42" s="36">
        <v>2.41</v>
      </c>
      <c r="Q42" s="21">
        <f t="shared" si="1"/>
        <v>3580</v>
      </c>
      <c r="R42" s="21">
        <f t="shared" si="2"/>
        <v>518400</v>
      </c>
    </row>
    <row r="43" ht="14.25" customHeight="1">
      <c r="A43" s="38">
        <v>0.1361111111111111</v>
      </c>
      <c r="B43" s="36">
        <v>3.0</v>
      </c>
      <c r="C43" s="36">
        <v>0.1</v>
      </c>
      <c r="D43" s="36">
        <v>16.6</v>
      </c>
      <c r="E43" s="36">
        <v>1178.0</v>
      </c>
      <c r="F43" s="36">
        <v>943.0</v>
      </c>
      <c r="G43" s="36">
        <v>0.8</v>
      </c>
      <c r="H43" s="36">
        <v>21.0</v>
      </c>
      <c r="I43" s="36">
        <v>1081.0</v>
      </c>
      <c r="J43" s="36">
        <v>22.7</v>
      </c>
      <c r="K43" s="36">
        <v>88.7</v>
      </c>
      <c r="L43" s="36">
        <v>125.0</v>
      </c>
      <c r="M43" s="36">
        <v>33.0</v>
      </c>
      <c r="N43" s="36">
        <v>0.31</v>
      </c>
      <c r="O43" s="36">
        <v>0.88</v>
      </c>
      <c r="P43" s="36">
        <v>1.98</v>
      </c>
      <c r="Q43" s="21">
        <f t="shared" si="1"/>
        <v>2860</v>
      </c>
      <c r="R43" s="21">
        <f t="shared" si="2"/>
        <v>57600</v>
      </c>
    </row>
    <row r="44" ht="14.25" customHeight="1">
      <c r="A44" s="38">
        <v>0.1388888888888889</v>
      </c>
      <c r="B44" s="36">
        <v>3.0</v>
      </c>
      <c r="C44" s="36">
        <v>0.3</v>
      </c>
      <c r="D44" s="36">
        <v>17.2</v>
      </c>
      <c r="E44" s="36">
        <v>1222.0</v>
      </c>
      <c r="F44" s="36">
        <v>997.0</v>
      </c>
      <c r="G44" s="36">
        <v>0.82</v>
      </c>
      <c r="H44" s="36">
        <v>19.0</v>
      </c>
      <c r="I44" s="36">
        <v>1219.0</v>
      </c>
      <c r="J44" s="36">
        <v>23.6</v>
      </c>
      <c r="K44" s="36">
        <v>88.2</v>
      </c>
      <c r="L44" s="36">
        <v>125.0</v>
      </c>
      <c r="M44" s="36">
        <v>33.2</v>
      </c>
      <c r="N44" s="36">
        <v>0.33</v>
      </c>
      <c r="O44" s="36">
        <v>1.02</v>
      </c>
      <c r="P44" s="36">
        <v>2.08</v>
      </c>
      <c r="Q44" s="21">
        <f t="shared" si="1"/>
        <v>3100</v>
      </c>
      <c r="R44" s="21">
        <f t="shared" si="2"/>
        <v>0</v>
      </c>
    </row>
    <row r="45" ht="14.25" customHeight="1">
      <c r="A45" s="38">
        <v>0.14097222222222222</v>
      </c>
      <c r="B45" s="36">
        <v>3.0</v>
      </c>
      <c r="C45" s="36">
        <v>0.5</v>
      </c>
      <c r="D45" s="36">
        <v>17.1</v>
      </c>
      <c r="E45" s="36">
        <v>1217.0</v>
      </c>
      <c r="F45" s="36">
        <v>989.0</v>
      </c>
      <c r="G45" s="36">
        <v>0.81</v>
      </c>
      <c r="H45" s="36">
        <v>19.0</v>
      </c>
      <c r="I45" s="36">
        <v>1212.0</v>
      </c>
      <c r="J45" s="36">
        <v>23.5</v>
      </c>
      <c r="K45" s="36">
        <v>88.3</v>
      </c>
      <c r="L45" s="36">
        <v>125.0</v>
      </c>
      <c r="M45" s="36">
        <v>33.0</v>
      </c>
      <c r="N45" s="36">
        <v>0.33</v>
      </c>
      <c r="O45" s="36">
        <v>1.03</v>
      </c>
      <c r="P45" s="36">
        <v>2.07</v>
      </c>
      <c r="Q45" s="21">
        <f t="shared" si="1"/>
        <v>3100</v>
      </c>
      <c r="R45" s="21">
        <f t="shared" si="2"/>
        <v>100</v>
      </c>
    </row>
    <row r="46" ht="14.25" customHeight="1">
      <c r="A46" s="38">
        <v>0.14305555555555555</v>
      </c>
      <c r="B46" s="36">
        <v>3.0</v>
      </c>
      <c r="C46" s="36">
        <v>0.6</v>
      </c>
      <c r="D46" s="36">
        <v>17.4</v>
      </c>
      <c r="E46" s="36">
        <v>1238.0</v>
      </c>
      <c r="F46" s="36">
        <v>1010.0</v>
      </c>
      <c r="G46" s="36">
        <v>0.82</v>
      </c>
      <c r="H46" s="36">
        <v>19.0</v>
      </c>
      <c r="I46" s="36">
        <v>1229.0</v>
      </c>
      <c r="J46" s="36">
        <v>23.9</v>
      </c>
      <c r="K46" s="36">
        <v>88.1</v>
      </c>
      <c r="L46" s="36">
        <v>125.0</v>
      </c>
      <c r="M46" s="36">
        <v>32.7</v>
      </c>
      <c r="N46" s="36">
        <v>0.34</v>
      </c>
      <c r="O46" s="36">
        <v>1.04</v>
      </c>
      <c r="P46" s="36">
        <v>2.05</v>
      </c>
      <c r="Q46" s="21">
        <f t="shared" si="1"/>
        <v>3090</v>
      </c>
      <c r="R46" s="21">
        <f t="shared" si="2"/>
        <v>400</v>
      </c>
    </row>
    <row r="47" ht="14.25" customHeight="1">
      <c r="A47" s="38">
        <v>0.1451388888888889</v>
      </c>
      <c r="B47" s="36">
        <v>3.0</v>
      </c>
      <c r="C47" s="36">
        <v>0.7</v>
      </c>
      <c r="D47" s="36">
        <v>17.9</v>
      </c>
      <c r="E47" s="36">
        <v>1273.0</v>
      </c>
      <c r="F47" s="36">
        <v>1049.0</v>
      </c>
      <c r="G47" s="36">
        <v>0.82</v>
      </c>
      <c r="H47" s="36">
        <v>20.0</v>
      </c>
      <c r="I47" s="36">
        <v>1259.0</v>
      </c>
      <c r="J47" s="36">
        <v>24.7</v>
      </c>
      <c r="K47" s="36">
        <v>87.7</v>
      </c>
      <c r="L47" s="36">
        <v>125.0</v>
      </c>
      <c r="M47" s="36">
        <v>33.3</v>
      </c>
      <c r="N47" s="36">
        <v>0.33</v>
      </c>
      <c r="O47" s="36">
        <v>1.02</v>
      </c>
      <c r="P47" s="36">
        <v>2.05</v>
      </c>
      <c r="Q47" s="21">
        <f t="shared" si="1"/>
        <v>3070</v>
      </c>
      <c r="R47" s="21">
        <f t="shared" si="2"/>
        <v>4900</v>
      </c>
    </row>
    <row r="48" ht="14.25" customHeight="1">
      <c r="A48" s="38">
        <v>0.14652777777777778</v>
      </c>
      <c r="B48" s="36">
        <v>3.0</v>
      </c>
      <c r="C48" s="36">
        <v>0.8</v>
      </c>
      <c r="D48" s="36">
        <v>17.9</v>
      </c>
      <c r="E48" s="36">
        <v>1272.0</v>
      </c>
      <c r="F48" s="36">
        <v>1056.0</v>
      </c>
      <c r="G48" s="36">
        <v>0.83</v>
      </c>
      <c r="H48" s="36">
        <v>20.0</v>
      </c>
      <c r="I48" s="36">
        <v>1244.0</v>
      </c>
      <c r="J48" s="36">
        <v>24.9</v>
      </c>
      <c r="K48" s="36">
        <v>87.6</v>
      </c>
      <c r="L48" s="36">
        <v>125.0</v>
      </c>
      <c r="M48" s="36">
        <v>33.4</v>
      </c>
      <c r="N48" s="36">
        <v>0.33</v>
      </c>
      <c r="O48" s="36">
        <v>1.0</v>
      </c>
      <c r="P48" s="36">
        <v>2.0</v>
      </c>
      <c r="Q48" s="21">
        <f t="shared" si="1"/>
        <v>3000</v>
      </c>
      <c r="R48" s="21">
        <f t="shared" si="2"/>
        <v>32400</v>
      </c>
    </row>
    <row r="49" ht="14.25" customHeight="1">
      <c r="A49" s="38">
        <v>0.14930555555555555</v>
      </c>
      <c r="B49" s="36">
        <v>3.0</v>
      </c>
      <c r="C49" s="36">
        <v>1.0</v>
      </c>
      <c r="D49" s="36">
        <v>17.7</v>
      </c>
      <c r="E49" s="36">
        <v>1259.0</v>
      </c>
      <c r="F49" s="36">
        <v>1052.0</v>
      </c>
      <c r="G49" s="36">
        <v>0.84</v>
      </c>
      <c r="H49" s="36">
        <v>19.0</v>
      </c>
      <c r="I49" s="36">
        <v>1301.0</v>
      </c>
      <c r="J49" s="36">
        <v>24.6</v>
      </c>
      <c r="K49" s="36">
        <v>87.7</v>
      </c>
      <c r="L49" s="36">
        <v>125.0</v>
      </c>
      <c r="M49" s="36">
        <v>33.4</v>
      </c>
      <c r="N49" s="36">
        <v>0.34</v>
      </c>
      <c r="O49" s="36">
        <v>1.07</v>
      </c>
      <c r="P49" s="36">
        <v>2.11</v>
      </c>
      <c r="Q49" s="21">
        <f t="shared" si="1"/>
        <v>3180</v>
      </c>
      <c r="R49" s="21">
        <f t="shared" si="2"/>
        <v>100</v>
      </c>
    </row>
    <row r="50" ht="14.25" customHeight="1">
      <c r="A50" s="38">
        <v>0.15208333333333332</v>
      </c>
      <c r="B50" s="36">
        <v>3.0</v>
      </c>
      <c r="C50" s="36">
        <v>1.2</v>
      </c>
      <c r="D50" s="36">
        <v>17.0</v>
      </c>
      <c r="E50" s="36">
        <v>1209.0</v>
      </c>
      <c r="F50" s="36">
        <v>1020.0</v>
      </c>
      <c r="G50" s="36">
        <v>0.84</v>
      </c>
      <c r="H50" s="36">
        <v>19.0</v>
      </c>
      <c r="I50" s="36">
        <v>1250.0</v>
      </c>
      <c r="J50" s="36">
        <v>23.7</v>
      </c>
      <c r="K50" s="36">
        <v>88.2</v>
      </c>
      <c r="L50" s="36">
        <v>125.0</v>
      </c>
      <c r="M50" s="36">
        <v>32.7</v>
      </c>
      <c r="N50" s="36">
        <v>0.34</v>
      </c>
      <c r="O50" s="36">
        <v>1.08</v>
      </c>
      <c r="P50" s="36">
        <v>2.09</v>
      </c>
      <c r="Q50" s="21">
        <f t="shared" si="1"/>
        <v>3170</v>
      </c>
      <c r="R50" s="21">
        <f t="shared" si="2"/>
        <v>12100</v>
      </c>
    </row>
    <row r="51" ht="14.25" customHeight="1">
      <c r="A51" s="38">
        <v>0.15416666666666667</v>
      </c>
      <c r="B51" s="36">
        <v>3.0</v>
      </c>
      <c r="C51" s="36">
        <v>1.4</v>
      </c>
      <c r="D51" s="36">
        <v>17.1</v>
      </c>
      <c r="E51" s="36">
        <v>1212.0</v>
      </c>
      <c r="F51" s="36">
        <v>1029.0</v>
      </c>
      <c r="G51" s="36">
        <v>0.85</v>
      </c>
      <c r="H51" s="36">
        <v>18.0</v>
      </c>
      <c r="I51" s="36">
        <v>1292.0</v>
      </c>
      <c r="J51" s="36">
        <v>23.6</v>
      </c>
      <c r="K51" s="36">
        <v>88.2</v>
      </c>
      <c r="L51" s="36">
        <v>125.0</v>
      </c>
      <c r="M51" s="36">
        <v>32.7</v>
      </c>
      <c r="N51" s="36">
        <v>0.35</v>
      </c>
      <c r="O51" s="36">
        <v>1.14</v>
      </c>
      <c r="P51" s="36">
        <v>2.14</v>
      </c>
      <c r="Q51" s="21">
        <f t="shared" si="1"/>
        <v>3280</v>
      </c>
      <c r="R51" s="21">
        <f t="shared" si="2"/>
        <v>0</v>
      </c>
    </row>
    <row r="52" ht="14.25" customHeight="1">
      <c r="A52" s="38">
        <v>0.15625</v>
      </c>
      <c r="B52" s="36">
        <v>3.0</v>
      </c>
      <c r="C52" s="36">
        <v>1.4</v>
      </c>
      <c r="D52" s="36">
        <v>17.1</v>
      </c>
      <c r="E52" s="36">
        <v>1212.0</v>
      </c>
      <c r="F52" s="36">
        <v>1029.0</v>
      </c>
      <c r="G52" s="36">
        <v>0.85</v>
      </c>
      <c r="H52" s="36">
        <v>18.0</v>
      </c>
      <c r="I52" s="36">
        <v>1292.0</v>
      </c>
      <c r="J52" s="36">
        <v>23.6</v>
      </c>
      <c r="K52" s="36">
        <v>88.2</v>
      </c>
      <c r="L52" s="36">
        <v>125.0</v>
      </c>
      <c r="M52" s="36">
        <v>32.9</v>
      </c>
      <c r="N52" s="36">
        <v>0.35</v>
      </c>
      <c r="O52" s="36">
        <v>1.14</v>
      </c>
      <c r="P52" s="36">
        <v>2.14</v>
      </c>
      <c r="Q52" s="21">
        <f t="shared" si="1"/>
        <v>3280</v>
      </c>
      <c r="R52" s="21">
        <f t="shared" si="2"/>
        <v>0</v>
      </c>
    </row>
    <row r="53" ht="14.25" customHeight="1">
      <c r="A53" s="38">
        <v>0.15763888888888888</v>
      </c>
      <c r="B53" s="36">
        <v>3.0</v>
      </c>
      <c r="C53" s="36">
        <v>1.6</v>
      </c>
      <c r="D53" s="36">
        <v>17.2</v>
      </c>
      <c r="E53" s="36">
        <v>1224.0</v>
      </c>
      <c r="F53" s="36">
        <v>1039.0</v>
      </c>
      <c r="G53" s="36">
        <v>0.85</v>
      </c>
      <c r="H53" s="36">
        <v>18.0</v>
      </c>
      <c r="I53" s="36">
        <v>1305.0</v>
      </c>
      <c r="J53" s="36">
        <v>23.8</v>
      </c>
      <c r="K53" s="36">
        <v>88.1</v>
      </c>
      <c r="L53" s="36">
        <v>125.0</v>
      </c>
      <c r="M53" s="36">
        <v>33.0</v>
      </c>
      <c r="N53" s="36">
        <v>0.34</v>
      </c>
      <c r="O53" s="36">
        <v>1.13</v>
      </c>
      <c r="P53" s="36">
        <v>2.15</v>
      </c>
      <c r="Q53" s="21">
        <f t="shared" si="1"/>
        <v>3280</v>
      </c>
      <c r="R53" s="21">
        <f t="shared" si="2"/>
        <v>1600</v>
      </c>
    </row>
    <row r="54" ht="14.25" customHeight="1">
      <c r="A54" s="38">
        <v>0.1597222222222222</v>
      </c>
      <c r="B54" s="36">
        <v>3.0</v>
      </c>
      <c r="C54" s="36">
        <v>1.7</v>
      </c>
      <c r="D54" s="36">
        <v>17.4</v>
      </c>
      <c r="E54" s="36">
        <v>1238.0</v>
      </c>
      <c r="F54" s="36">
        <v>1054.0</v>
      </c>
      <c r="G54" s="36">
        <v>0.85</v>
      </c>
      <c r="H54" s="36">
        <v>18.0</v>
      </c>
      <c r="I54" s="36">
        <v>1305.0</v>
      </c>
      <c r="J54" s="36">
        <v>24.1</v>
      </c>
      <c r="K54" s="36">
        <v>88.0</v>
      </c>
      <c r="L54" s="36">
        <v>125.0</v>
      </c>
      <c r="M54" s="36">
        <v>32.9</v>
      </c>
      <c r="N54" s="36">
        <v>0.35</v>
      </c>
      <c r="O54" s="36">
        <v>1.12</v>
      </c>
      <c r="P54" s="36">
        <v>2.12</v>
      </c>
      <c r="Q54" s="21">
        <f t="shared" si="1"/>
        <v>3240</v>
      </c>
      <c r="R54" s="21">
        <f t="shared" si="2"/>
        <v>0</v>
      </c>
    </row>
    <row r="55" ht="14.25" customHeight="1">
      <c r="A55" s="38">
        <v>0.16111111111111112</v>
      </c>
      <c r="B55" s="36">
        <v>3.0</v>
      </c>
      <c r="C55" s="36">
        <v>1.8</v>
      </c>
      <c r="D55" s="36">
        <v>17.3</v>
      </c>
      <c r="E55" s="36">
        <v>1232.0</v>
      </c>
      <c r="F55" s="36">
        <v>1055.0</v>
      </c>
      <c r="G55" s="36">
        <v>0.86</v>
      </c>
      <c r="H55" s="36">
        <v>19.0</v>
      </c>
      <c r="I55" s="36">
        <v>1313.0</v>
      </c>
      <c r="J55" s="36">
        <v>24.3</v>
      </c>
      <c r="K55" s="36">
        <v>87.9</v>
      </c>
      <c r="L55" s="36">
        <v>125.0</v>
      </c>
      <c r="M55" s="36">
        <v>33.0</v>
      </c>
      <c r="N55" s="36">
        <v>0.35</v>
      </c>
      <c r="O55" s="36">
        <v>1.15</v>
      </c>
      <c r="P55" s="36">
        <v>2.09</v>
      </c>
      <c r="Q55" s="21">
        <f t="shared" si="1"/>
        <v>3240</v>
      </c>
      <c r="R55" s="21">
        <f t="shared" si="2"/>
        <v>25600</v>
      </c>
    </row>
    <row r="56" ht="14.25" customHeight="1">
      <c r="A56" s="38">
        <v>0.16319444444444445</v>
      </c>
      <c r="B56" s="36">
        <v>3.0</v>
      </c>
      <c r="C56" s="36">
        <v>1.9</v>
      </c>
      <c r="D56" s="36">
        <v>17.5</v>
      </c>
      <c r="E56" s="36">
        <v>1242.0</v>
      </c>
      <c r="F56" s="36">
        <v>1074.0</v>
      </c>
      <c r="G56" s="36">
        <v>0.87</v>
      </c>
      <c r="H56" s="36">
        <v>19.0</v>
      </c>
      <c r="I56" s="36">
        <v>1275.0</v>
      </c>
      <c r="J56" s="36">
        <v>24.8</v>
      </c>
      <c r="K56" s="36">
        <v>87.6</v>
      </c>
      <c r="L56" s="36">
        <v>125.0</v>
      </c>
      <c r="M56" s="36">
        <v>33.0</v>
      </c>
      <c r="N56" s="36">
        <v>0.35</v>
      </c>
      <c r="O56" s="36">
        <v>1.08</v>
      </c>
      <c r="P56" s="36">
        <v>2.0</v>
      </c>
      <c r="Q56" s="21">
        <f t="shared" si="1"/>
        <v>3080</v>
      </c>
      <c r="R56" s="21">
        <f t="shared" si="2"/>
        <v>78400</v>
      </c>
    </row>
    <row r="57" ht="14.25" customHeight="1">
      <c r="A57" s="38">
        <v>0.16458333333333333</v>
      </c>
      <c r="B57" s="36">
        <v>3.0</v>
      </c>
      <c r="C57" s="36">
        <v>2.1</v>
      </c>
      <c r="D57" s="36">
        <v>18.1</v>
      </c>
      <c r="E57" s="36">
        <v>1287.0</v>
      </c>
      <c r="F57" s="36">
        <v>1109.0</v>
      </c>
      <c r="G57" s="36">
        <v>0.86</v>
      </c>
      <c r="H57" s="36">
        <v>21.0</v>
      </c>
      <c r="I57" s="36">
        <v>1204.0</v>
      </c>
      <c r="J57" s="36">
        <v>25.9</v>
      </c>
      <c r="K57" s="36">
        <v>87.1</v>
      </c>
      <c r="L57" s="36">
        <v>126.0</v>
      </c>
      <c r="M57" s="36">
        <v>32.9</v>
      </c>
      <c r="N57" s="36">
        <v>0.32</v>
      </c>
      <c r="O57" s="36">
        <v>0.9</v>
      </c>
      <c r="P57" s="36">
        <v>1.9</v>
      </c>
      <c r="Q57" s="21">
        <f t="shared" si="1"/>
        <v>2800</v>
      </c>
      <c r="R57" s="21">
        <f t="shared" si="2"/>
        <v>2500</v>
      </c>
    </row>
    <row r="58" ht="14.25" customHeight="1">
      <c r="A58" s="38">
        <v>0.1673611111111111</v>
      </c>
      <c r="B58" s="36">
        <v>3.0</v>
      </c>
      <c r="C58" s="36">
        <v>2.2</v>
      </c>
      <c r="D58" s="36">
        <v>18.1</v>
      </c>
      <c r="E58" s="36">
        <v>1286.0</v>
      </c>
      <c r="F58" s="36">
        <v>1117.0</v>
      </c>
      <c r="G58" s="36">
        <v>0.87</v>
      </c>
      <c r="H58" s="36">
        <v>22.0</v>
      </c>
      <c r="I58" s="36">
        <v>1200.0</v>
      </c>
      <c r="J58" s="36">
        <v>26.1</v>
      </c>
      <c r="K58" s="36">
        <v>87.0</v>
      </c>
      <c r="L58" s="36">
        <v>126.0</v>
      </c>
      <c r="M58" s="36">
        <v>32.9</v>
      </c>
      <c r="N58" s="36">
        <v>0.33</v>
      </c>
      <c r="O58" s="36">
        <v>0.91</v>
      </c>
      <c r="P58" s="36">
        <v>1.84</v>
      </c>
      <c r="Q58" s="21">
        <f t="shared" si="1"/>
        <v>2750</v>
      </c>
      <c r="R58" s="21">
        <f t="shared" si="2"/>
        <v>0</v>
      </c>
    </row>
    <row r="59" ht="14.25" customHeight="1">
      <c r="A59" s="38">
        <v>0.16944444444444445</v>
      </c>
      <c r="B59" s="36">
        <v>3.0</v>
      </c>
      <c r="C59" s="36">
        <v>2.3</v>
      </c>
      <c r="D59" s="36">
        <v>18.1</v>
      </c>
      <c r="E59" s="36">
        <v>1286.0</v>
      </c>
      <c r="F59" s="36">
        <v>1117.0</v>
      </c>
      <c r="G59" s="36">
        <v>0.87</v>
      </c>
      <c r="H59" s="36">
        <v>22.0</v>
      </c>
      <c r="I59" s="36">
        <v>1200.0</v>
      </c>
      <c r="J59" s="36">
        <v>26.1</v>
      </c>
      <c r="K59" s="36">
        <v>87.0</v>
      </c>
      <c r="L59" s="36">
        <v>127.0</v>
      </c>
      <c r="M59" s="36">
        <v>32.5</v>
      </c>
      <c r="N59" s="36">
        <v>0.33</v>
      </c>
      <c r="O59" s="36">
        <v>0.91</v>
      </c>
      <c r="P59" s="36">
        <v>1.84</v>
      </c>
      <c r="Q59" s="21">
        <f t="shared" si="1"/>
        <v>2750</v>
      </c>
      <c r="R59" s="21">
        <f t="shared" si="2"/>
        <v>400</v>
      </c>
    </row>
    <row r="60" ht="14.25" customHeight="1">
      <c r="A60" s="38">
        <v>0.17083333333333334</v>
      </c>
      <c r="B60" s="36">
        <v>3.0</v>
      </c>
      <c r="C60" s="36">
        <v>2.4</v>
      </c>
      <c r="D60" s="36">
        <v>18.0</v>
      </c>
      <c r="E60" s="36">
        <v>1281.0</v>
      </c>
      <c r="F60" s="36">
        <v>1117.0</v>
      </c>
      <c r="G60" s="36">
        <v>0.87</v>
      </c>
      <c r="H60" s="36">
        <v>22.0</v>
      </c>
      <c r="I60" s="36">
        <v>1210.0</v>
      </c>
      <c r="J60" s="36">
        <v>26.2</v>
      </c>
      <c r="K60" s="36">
        <v>86.9</v>
      </c>
      <c r="L60" s="36">
        <v>127.0</v>
      </c>
      <c r="M60" s="36">
        <v>31.6</v>
      </c>
      <c r="N60" s="36">
        <v>0.33</v>
      </c>
      <c r="O60" s="36">
        <v>0.91</v>
      </c>
      <c r="P60" s="36">
        <v>1.86</v>
      </c>
      <c r="Q60" s="21">
        <f t="shared" si="1"/>
        <v>2770</v>
      </c>
      <c r="R60" s="21">
        <f t="shared" si="2"/>
        <v>900</v>
      </c>
    </row>
    <row r="61" ht="14.25" customHeight="1">
      <c r="A61" s="38">
        <v>0.17291666666666666</v>
      </c>
      <c r="B61" s="36">
        <v>3.0</v>
      </c>
      <c r="C61" s="36">
        <v>2.5</v>
      </c>
      <c r="D61" s="36">
        <v>18.0</v>
      </c>
      <c r="E61" s="36">
        <v>1281.0</v>
      </c>
      <c r="F61" s="36">
        <v>1122.0</v>
      </c>
      <c r="G61" s="36">
        <v>0.88</v>
      </c>
      <c r="H61" s="36">
        <v>21.0</v>
      </c>
      <c r="I61" s="36">
        <v>1223.0</v>
      </c>
      <c r="J61" s="36">
        <v>26.3</v>
      </c>
      <c r="K61" s="36">
        <v>86.9</v>
      </c>
      <c r="L61" s="36">
        <v>128.0</v>
      </c>
      <c r="M61" s="36">
        <v>31.3</v>
      </c>
      <c r="N61" s="36">
        <v>0.33</v>
      </c>
      <c r="O61" s="36">
        <v>0.93</v>
      </c>
      <c r="P61" s="36">
        <v>1.87</v>
      </c>
      <c r="Q61" s="21">
        <f t="shared" si="1"/>
        <v>2800</v>
      </c>
      <c r="R61" s="21">
        <f t="shared" si="2"/>
        <v>100</v>
      </c>
    </row>
    <row r="62" ht="14.25" customHeight="1">
      <c r="A62" s="38">
        <v>0.175</v>
      </c>
      <c r="B62" s="36">
        <v>3.0</v>
      </c>
      <c r="C62" s="36">
        <v>2.6</v>
      </c>
      <c r="D62" s="36">
        <v>18.5</v>
      </c>
      <c r="E62" s="36">
        <v>1311.0</v>
      </c>
      <c r="F62" s="36">
        <v>1152.0</v>
      </c>
      <c r="G62" s="36">
        <v>0.88</v>
      </c>
      <c r="H62" s="36">
        <v>22.0</v>
      </c>
      <c r="I62" s="36">
        <v>1242.0</v>
      </c>
      <c r="J62" s="36">
        <v>26.7</v>
      </c>
      <c r="K62" s="36">
        <v>86.7</v>
      </c>
      <c r="L62" s="36">
        <v>129.0</v>
      </c>
      <c r="M62" s="36">
        <v>31.3</v>
      </c>
      <c r="N62" s="36">
        <v>0.32</v>
      </c>
      <c r="O62" s="36">
        <v>0.9</v>
      </c>
      <c r="P62" s="36">
        <v>1.89</v>
      </c>
      <c r="Q62" s="21">
        <f t="shared" si="1"/>
        <v>2790</v>
      </c>
      <c r="R62" s="21">
        <f t="shared" si="2"/>
        <v>1600</v>
      </c>
    </row>
    <row r="63" ht="14.25" customHeight="1">
      <c r="A63" s="38">
        <v>0.1763888888888889</v>
      </c>
      <c r="B63" s="36">
        <v>3.0</v>
      </c>
      <c r="C63" s="36">
        <v>2.8</v>
      </c>
      <c r="D63" s="36">
        <v>18.3</v>
      </c>
      <c r="E63" s="36">
        <v>1297.0</v>
      </c>
      <c r="F63" s="36">
        <v>1148.0</v>
      </c>
      <c r="G63" s="36">
        <v>0.88</v>
      </c>
      <c r="H63" s="36">
        <v>22.0</v>
      </c>
      <c r="I63" s="36">
        <v>1224.0</v>
      </c>
      <c r="J63" s="36">
        <v>26.7</v>
      </c>
      <c r="K63" s="36">
        <v>86.7</v>
      </c>
      <c r="L63" s="36">
        <v>129.0</v>
      </c>
      <c r="M63" s="36">
        <v>31.0</v>
      </c>
      <c r="N63" s="36">
        <v>0.33</v>
      </c>
      <c r="O63" s="36">
        <v>0.9</v>
      </c>
      <c r="P63" s="36">
        <v>1.85</v>
      </c>
      <c r="Q63" s="21">
        <f t="shared" si="1"/>
        <v>2750</v>
      </c>
      <c r="R63" s="21">
        <f t="shared" si="2"/>
        <v>2500</v>
      </c>
    </row>
    <row r="64" ht="14.25" customHeight="1">
      <c r="A64" s="38">
        <v>0.17777777777777778</v>
      </c>
      <c r="B64" s="36">
        <v>3.0</v>
      </c>
      <c r="C64" s="36">
        <v>2.8</v>
      </c>
      <c r="D64" s="36">
        <v>18.5</v>
      </c>
      <c r="E64" s="36">
        <v>1313.0</v>
      </c>
      <c r="F64" s="36">
        <v>1170.0</v>
      </c>
      <c r="G64" s="36">
        <v>0.89</v>
      </c>
      <c r="H64" s="36">
        <v>22.0</v>
      </c>
      <c r="I64" s="36">
        <v>1237.0</v>
      </c>
      <c r="J64" s="36">
        <v>27.5</v>
      </c>
      <c r="K64" s="36">
        <v>86.3</v>
      </c>
      <c r="L64" s="36">
        <v>129.0</v>
      </c>
      <c r="M64" s="36">
        <v>31.0</v>
      </c>
      <c r="N64" s="36">
        <v>0.33</v>
      </c>
      <c r="O64" s="36">
        <v>0.9</v>
      </c>
      <c r="P64" s="36">
        <v>1.8</v>
      </c>
      <c r="Q64" s="21">
        <f t="shared" si="1"/>
        <v>2700</v>
      </c>
      <c r="R64" s="21">
        <f t="shared" si="2"/>
        <v>10000</v>
      </c>
    </row>
    <row r="65" ht="14.25" customHeight="1">
      <c r="A65" s="38">
        <v>0.18055555555555555</v>
      </c>
      <c r="B65" s="36">
        <v>3.0</v>
      </c>
      <c r="C65" s="36">
        <v>3.1</v>
      </c>
      <c r="D65" s="36">
        <v>18.1</v>
      </c>
      <c r="E65" s="36">
        <v>1284.0</v>
      </c>
      <c r="F65" s="36">
        <v>1149.0</v>
      </c>
      <c r="G65" s="36">
        <v>0.89</v>
      </c>
      <c r="H65" s="36">
        <v>21.0</v>
      </c>
      <c r="I65" s="36">
        <v>1260.0</v>
      </c>
      <c r="J65" s="36">
        <v>27.0</v>
      </c>
      <c r="K65" s="36">
        <v>86.5</v>
      </c>
      <c r="L65" s="36">
        <v>129.0</v>
      </c>
      <c r="M65" s="36">
        <v>31.0</v>
      </c>
      <c r="N65" s="36">
        <v>0.29</v>
      </c>
      <c r="O65" s="36">
        <v>0.81</v>
      </c>
      <c r="P65" s="36">
        <v>1.99</v>
      </c>
      <c r="Q65" s="21">
        <f t="shared" si="1"/>
        <v>2800</v>
      </c>
      <c r="R65" s="21">
        <f t="shared" si="2"/>
        <v>48400</v>
      </c>
    </row>
    <row r="66" ht="14.25" customHeight="1">
      <c r="A66" s="38">
        <v>0.18263888888888888</v>
      </c>
      <c r="B66" s="36">
        <v>3.0</v>
      </c>
      <c r="C66" s="36">
        <v>3.1</v>
      </c>
      <c r="D66" s="36">
        <v>18.3</v>
      </c>
      <c r="E66" s="36">
        <v>1298.0</v>
      </c>
      <c r="F66" s="36">
        <v>1158.0</v>
      </c>
      <c r="G66" s="36">
        <v>0.89</v>
      </c>
      <c r="H66" s="36">
        <v>23.0</v>
      </c>
      <c r="I66" s="36">
        <v>1185.0</v>
      </c>
      <c r="J66" s="36">
        <v>27.5</v>
      </c>
      <c r="K66" s="36">
        <v>86.3</v>
      </c>
      <c r="L66" s="36">
        <v>130.0</v>
      </c>
      <c r="M66" s="36">
        <v>31.0</v>
      </c>
      <c r="N66" s="36">
        <v>0.32</v>
      </c>
      <c r="O66" s="36">
        <v>0.83</v>
      </c>
      <c r="P66" s="36">
        <v>1.75</v>
      </c>
      <c r="Q66" s="21">
        <f t="shared" si="1"/>
        <v>2580</v>
      </c>
      <c r="R66" s="21">
        <f t="shared" si="2"/>
        <v>900</v>
      </c>
    </row>
    <row r="67" ht="14.25" customHeight="1">
      <c r="A67" s="38">
        <v>0.1840277777777778</v>
      </c>
      <c r="B67" s="36">
        <v>3.0</v>
      </c>
      <c r="C67" s="36">
        <v>3.2</v>
      </c>
      <c r="D67" s="36">
        <v>18.1</v>
      </c>
      <c r="E67" s="36">
        <v>1283.0</v>
      </c>
      <c r="F67" s="36">
        <v>1150.0</v>
      </c>
      <c r="G67" s="36">
        <v>0.9</v>
      </c>
      <c r="H67" s="36">
        <v>24.0</v>
      </c>
      <c r="I67" s="36">
        <v>1166.0</v>
      </c>
      <c r="J67" s="36">
        <v>27.4</v>
      </c>
      <c r="K67" s="36">
        <v>86.3</v>
      </c>
      <c r="L67" s="36">
        <v>130.0</v>
      </c>
      <c r="M67" s="36">
        <v>30.6</v>
      </c>
      <c r="N67" s="36">
        <v>0.33</v>
      </c>
      <c r="O67" s="36">
        <v>0.83</v>
      </c>
      <c r="P67" s="36">
        <v>1.72</v>
      </c>
      <c r="Q67" s="21">
        <f t="shared" si="1"/>
        <v>2550</v>
      </c>
      <c r="R67" s="21">
        <f t="shared" si="2"/>
        <v>0</v>
      </c>
    </row>
    <row r="68" ht="14.25" customHeight="1">
      <c r="A68" s="38">
        <v>0.18611111111111112</v>
      </c>
      <c r="B68" s="36">
        <v>3.0</v>
      </c>
      <c r="C68" s="36">
        <v>3.4</v>
      </c>
      <c r="D68" s="36">
        <v>17.8</v>
      </c>
      <c r="E68" s="36">
        <v>1267.0</v>
      </c>
      <c r="F68" s="36">
        <v>1131.0</v>
      </c>
      <c r="G68" s="36">
        <v>0.89</v>
      </c>
      <c r="H68" s="36">
        <v>24.0</v>
      </c>
      <c r="I68" s="36">
        <v>1139.0</v>
      </c>
      <c r="J68" s="36">
        <v>26.8</v>
      </c>
      <c r="K68" s="36">
        <v>86.6</v>
      </c>
      <c r="L68" s="36">
        <v>131.0</v>
      </c>
      <c r="M68" s="36">
        <v>29.3</v>
      </c>
      <c r="N68" s="36">
        <v>0.32</v>
      </c>
      <c r="O68" s="36">
        <v>0.82</v>
      </c>
      <c r="P68" s="36">
        <v>1.73</v>
      </c>
      <c r="Q68" s="21">
        <f t="shared" si="1"/>
        <v>2550</v>
      </c>
      <c r="R68" s="21">
        <f t="shared" si="2"/>
        <v>100</v>
      </c>
    </row>
    <row r="69" ht="14.25" customHeight="1">
      <c r="A69" s="38">
        <v>0.1875</v>
      </c>
      <c r="B69" s="36">
        <v>3.0</v>
      </c>
      <c r="C69" s="36">
        <v>3.5</v>
      </c>
      <c r="D69" s="36">
        <v>17.9</v>
      </c>
      <c r="E69" s="36">
        <v>1269.0</v>
      </c>
      <c r="F69" s="36">
        <v>1137.0</v>
      </c>
      <c r="G69" s="36">
        <v>0.9</v>
      </c>
      <c r="H69" s="36">
        <v>24.0</v>
      </c>
      <c r="I69" s="36">
        <v>1136.0</v>
      </c>
      <c r="J69" s="36">
        <v>26.8</v>
      </c>
      <c r="K69" s="36">
        <v>86.6</v>
      </c>
      <c r="L69" s="36">
        <v>132.0</v>
      </c>
      <c r="M69" s="36">
        <v>29.0</v>
      </c>
      <c r="N69" s="36">
        <v>0.32</v>
      </c>
      <c r="O69" s="36">
        <v>0.82</v>
      </c>
      <c r="P69" s="36">
        <v>1.72</v>
      </c>
      <c r="Q69" s="21">
        <f t="shared" si="1"/>
        <v>2540</v>
      </c>
      <c r="R69" s="21">
        <f t="shared" si="2"/>
        <v>52900</v>
      </c>
    </row>
    <row r="70" ht="14.25" customHeight="1">
      <c r="A70" s="38">
        <v>0.18958333333333333</v>
      </c>
      <c r="B70" s="36">
        <v>3.0</v>
      </c>
      <c r="C70" s="36">
        <v>3.6</v>
      </c>
      <c r="D70" s="36">
        <v>17.5</v>
      </c>
      <c r="E70" s="36">
        <v>1240.0</v>
      </c>
      <c r="F70" s="36">
        <v>1111.0</v>
      </c>
      <c r="G70" s="36">
        <v>0.9</v>
      </c>
      <c r="H70" s="36">
        <v>22.0</v>
      </c>
      <c r="I70" s="36">
        <v>1202.0</v>
      </c>
      <c r="J70" s="36">
        <v>26.1</v>
      </c>
      <c r="K70" s="36">
        <v>87.0</v>
      </c>
      <c r="L70" s="36">
        <v>132.0</v>
      </c>
      <c r="M70" s="36">
        <v>29.3</v>
      </c>
      <c r="N70" s="36">
        <v>0.29</v>
      </c>
      <c r="O70" s="36">
        <v>0.79</v>
      </c>
      <c r="P70" s="36">
        <v>1.98</v>
      </c>
      <c r="Q70" s="21">
        <f t="shared" si="1"/>
        <v>2770</v>
      </c>
      <c r="R70" s="21">
        <f t="shared" si="2"/>
        <v>3600</v>
      </c>
    </row>
    <row r="71" ht="14.25" customHeight="1">
      <c r="A71" s="38">
        <v>0.1909722222222222</v>
      </c>
      <c r="B71" s="36">
        <v>3.0</v>
      </c>
      <c r="C71" s="36">
        <v>3.7</v>
      </c>
      <c r="D71" s="36">
        <v>17.5</v>
      </c>
      <c r="E71" s="36">
        <v>1241.0</v>
      </c>
      <c r="F71" s="36">
        <v>1106.0</v>
      </c>
      <c r="G71" s="36">
        <v>0.89</v>
      </c>
      <c r="H71" s="36">
        <v>22.0</v>
      </c>
      <c r="I71" s="36">
        <v>1171.0</v>
      </c>
      <c r="J71" s="36">
        <v>25.9</v>
      </c>
      <c r="K71" s="36">
        <v>87.1</v>
      </c>
      <c r="L71" s="36">
        <v>132.0</v>
      </c>
      <c r="M71" s="36">
        <v>29.3</v>
      </c>
      <c r="N71" s="36">
        <v>0.28</v>
      </c>
      <c r="O71" s="36">
        <v>0.76</v>
      </c>
      <c r="P71" s="36">
        <v>1.95</v>
      </c>
      <c r="Q71" s="21">
        <f t="shared" si="1"/>
        <v>2710</v>
      </c>
      <c r="R71" s="21">
        <f t="shared" si="2"/>
        <v>48400</v>
      </c>
    </row>
    <row r="72" ht="14.25" customHeight="1">
      <c r="A72" s="38">
        <v>0.19305555555555556</v>
      </c>
      <c r="B72" s="36">
        <v>3.0</v>
      </c>
      <c r="C72" s="36">
        <v>3.8</v>
      </c>
      <c r="D72" s="36">
        <v>17.7</v>
      </c>
      <c r="E72" s="36">
        <v>1257.0</v>
      </c>
      <c r="F72" s="36">
        <v>1113.0</v>
      </c>
      <c r="G72" s="36">
        <v>0.89</v>
      </c>
      <c r="H72" s="36">
        <v>24.0</v>
      </c>
      <c r="I72" s="36">
        <v>1083.0</v>
      </c>
      <c r="J72" s="36">
        <v>26.1</v>
      </c>
      <c r="K72" s="36">
        <v>87.0</v>
      </c>
      <c r="L72" s="36">
        <v>131.0</v>
      </c>
      <c r="M72" s="36">
        <v>29.8</v>
      </c>
      <c r="N72" s="36">
        <v>0.32</v>
      </c>
      <c r="O72" s="36">
        <v>0.8</v>
      </c>
      <c r="P72" s="36">
        <v>1.69</v>
      </c>
      <c r="Q72" s="21">
        <f t="shared" si="1"/>
        <v>2490</v>
      </c>
      <c r="R72" s="21">
        <f t="shared" si="2"/>
        <v>400</v>
      </c>
    </row>
    <row r="73" ht="14.25" customHeight="1">
      <c r="A73" s="38">
        <v>0.19444444444444445</v>
      </c>
      <c r="B73" s="36">
        <v>3.0</v>
      </c>
      <c r="C73" s="36">
        <v>3.9</v>
      </c>
      <c r="D73" s="36">
        <v>17.9</v>
      </c>
      <c r="E73" s="36">
        <v>1273.0</v>
      </c>
      <c r="F73" s="36">
        <v>1128.0</v>
      </c>
      <c r="G73" s="36">
        <v>0.89</v>
      </c>
      <c r="H73" s="36">
        <v>24.0</v>
      </c>
      <c r="I73" s="36">
        <v>1101.0</v>
      </c>
      <c r="J73" s="36">
        <v>26.3</v>
      </c>
      <c r="K73" s="36">
        <v>86.9</v>
      </c>
      <c r="L73" s="36">
        <v>130.0</v>
      </c>
      <c r="M73" s="36">
        <v>30.4</v>
      </c>
      <c r="N73" s="36">
        <v>0.32</v>
      </c>
      <c r="O73" s="36">
        <v>0.8</v>
      </c>
      <c r="P73" s="36">
        <v>1.71</v>
      </c>
      <c r="Q73" s="21">
        <f t="shared" si="1"/>
        <v>2510</v>
      </c>
      <c r="R73" s="21">
        <f t="shared" si="2"/>
        <v>4900</v>
      </c>
    </row>
    <row r="74" ht="14.25" customHeight="1">
      <c r="A74" s="38">
        <v>0.19583333333333333</v>
      </c>
      <c r="B74" s="36">
        <v>3.0</v>
      </c>
      <c r="C74" s="36">
        <v>4.0</v>
      </c>
      <c r="D74" s="36">
        <v>17.8</v>
      </c>
      <c r="E74" s="36">
        <v>1262.0</v>
      </c>
      <c r="F74" s="36">
        <v>1112.0</v>
      </c>
      <c r="G74" s="36">
        <v>0.88</v>
      </c>
      <c r="H74" s="36">
        <v>25.0</v>
      </c>
      <c r="I74" s="36">
        <v>1055.0</v>
      </c>
      <c r="J74" s="36">
        <v>25.9</v>
      </c>
      <c r="K74" s="36">
        <v>87.1</v>
      </c>
      <c r="L74" s="36">
        <v>129.0</v>
      </c>
      <c r="M74" s="36">
        <v>31.3</v>
      </c>
      <c r="N74" s="36">
        <v>0.33</v>
      </c>
      <c r="O74" s="36">
        <v>0.79</v>
      </c>
      <c r="P74" s="36">
        <v>1.65</v>
      </c>
      <c r="Q74" s="21">
        <f t="shared" si="1"/>
        <v>2440</v>
      </c>
      <c r="R74" s="21">
        <f t="shared" si="2"/>
        <v>0</v>
      </c>
    </row>
    <row r="75" ht="14.25" customHeight="1">
      <c r="A75" s="38">
        <v>0.19791666666666666</v>
      </c>
      <c r="B75" s="36">
        <v>3.0</v>
      </c>
      <c r="C75" s="36">
        <v>4.1</v>
      </c>
      <c r="D75" s="36">
        <v>17.4</v>
      </c>
      <c r="E75" s="36">
        <v>1235.0</v>
      </c>
      <c r="F75" s="36">
        <v>1091.0</v>
      </c>
      <c r="G75" s="36">
        <v>0.88</v>
      </c>
      <c r="H75" s="36">
        <v>25.0</v>
      </c>
      <c r="I75" s="36">
        <v>1029.0</v>
      </c>
      <c r="J75" s="36">
        <v>25.3</v>
      </c>
      <c r="K75" s="36">
        <v>87.4</v>
      </c>
      <c r="L75" s="36">
        <v>129.0</v>
      </c>
      <c r="M75" s="36">
        <v>31.3</v>
      </c>
      <c r="N75" s="36">
        <v>0.32</v>
      </c>
      <c r="O75" s="36">
        <v>0.78</v>
      </c>
      <c r="P75" s="36">
        <v>1.66</v>
      </c>
      <c r="Q75" s="21">
        <f t="shared" si="1"/>
        <v>2440</v>
      </c>
      <c r="R75" s="21">
        <f t="shared" si="2"/>
        <v>100</v>
      </c>
    </row>
    <row r="76" ht="14.25" customHeight="1">
      <c r="A76" s="38">
        <v>0.19930555555555557</v>
      </c>
      <c r="B76" s="36">
        <v>3.0</v>
      </c>
      <c r="C76" s="36">
        <v>4.2</v>
      </c>
      <c r="D76" s="36">
        <v>17.6</v>
      </c>
      <c r="E76" s="36">
        <v>1253.0</v>
      </c>
      <c r="F76" s="36">
        <v>1105.0</v>
      </c>
      <c r="G76" s="36">
        <v>0.88</v>
      </c>
      <c r="H76" s="36">
        <v>25.0</v>
      </c>
      <c r="I76" s="36">
        <v>1037.0</v>
      </c>
      <c r="J76" s="36">
        <v>25.4</v>
      </c>
      <c r="K76" s="36">
        <v>87.3</v>
      </c>
      <c r="L76" s="36">
        <v>128.0</v>
      </c>
      <c r="M76" s="36">
        <v>31.5</v>
      </c>
      <c r="N76" s="36">
        <v>0.32</v>
      </c>
      <c r="O76" s="36">
        <v>0.78</v>
      </c>
      <c r="P76" s="36">
        <v>1.67</v>
      </c>
      <c r="Q76" s="21">
        <f t="shared" si="1"/>
        <v>2450</v>
      </c>
      <c r="R76" s="21">
        <f t="shared" si="2"/>
        <v>400</v>
      </c>
    </row>
    <row r="77" ht="14.25" customHeight="1">
      <c r="A77" s="38">
        <v>0.2013888888888889</v>
      </c>
      <c r="B77" s="36">
        <v>3.0</v>
      </c>
      <c r="C77" s="36">
        <v>4.4</v>
      </c>
      <c r="D77" s="36">
        <v>18.4</v>
      </c>
      <c r="E77" s="36">
        <v>1307.0</v>
      </c>
      <c r="F77" s="36">
        <v>1150.0</v>
      </c>
      <c r="G77" s="36">
        <v>0.88</v>
      </c>
      <c r="H77" s="36">
        <v>25.0</v>
      </c>
      <c r="I77" s="36">
        <v>1067.0</v>
      </c>
      <c r="J77" s="36">
        <v>26.4</v>
      </c>
      <c r="K77" s="36">
        <v>86.9</v>
      </c>
      <c r="L77" s="36">
        <v>128.0</v>
      </c>
      <c r="M77" s="36">
        <v>31.6</v>
      </c>
      <c r="N77" s="36">
        <v>0.33</v>
      </c>
      <c r="O77" s="36">
        <v>0.79</v>
      </c>
      <c r="P77" s="36">
        <v>1.64</v>
      </c>
      <c r="Q77" s="21">
        <f t="shared" si="1"/>
        <v>2430</v>
      </c>
      <c r="R77" s="21">
        <f t="shared" si="2"/>
        <v>8100</v>
      </c>
    </row>
    <row r="78" ht="14.25" customHeight="1">
      <c r="A78" s="38">
        <v>0.20347222222222222</v>
      </c>
      <c r="B78" s="36">
        <v>3.0</v>
      </c>
      <c r="C78" s="36">
        <v>4.5</v>
      </c>
      <c r="D78" s="36">
        <v>18.9</v>
      </c>
      <c r="E78" s="36">
        <v>1339.0</v>
      </c>
      <c r="F78" s="36">
        <v>1184.0</v>
      </c>
      <c r="G78" s="36">
        <v>0.88</v>
      </c>
      <c r="H78" s="36">
        <v>24.0</v>
      </c>
      <c r="I78" s="36">
        <v>1128.0</v>
      </c>
      <c r="J78" s="36">
        <v>26.9</v>
      </c>
      <c r="K78" s="36">
        <v>86.6</v>
      </c>
      <c r="L78" s="36">
        <v>128.0</v>
      </c>
      <c r="M78" s="36">
        <v>31.8</v>
      </c>
      <c r="N78" s="36">
        <v>0.35</v>
      </c>
      <c r="O78" s="36">
        <v>0.87</v>
      </c>
      <c r="P78" s="36">
        <v>1.65</v>
      </c>
      <c r="Q78" s="21">
        <f t="shared" si="1"/>
        <v>2520</v>
      </c>
      <c r="R78" s="21">
        <f t="shared" si="2"/>
        <v>2500</v>
      </c>
    </row>
    <row r="79" ht="14.25" customHeight="1">
      <c r="A79" s="38">
        <v>0.2048611111111111</v>
      </c>
      <c r="B79" s="36">
        <v>3.0</v>
      </c>
      <c r="C79" s="36">
        <v>4.6</v>
      </c>
      <c r="D79" s="36">
        <v>18.9</v>
      </c>
      <c r="E79" s="36">
        <v>1342.0</v>
      </c>
      <c r="F79" s="36">
        <v>1197.0</v>
      </c>
      <c r="G79" s="36">
        <v>0.89</v>
      </c>
      <c r="H79" s="36">
        <v>24.0</v>
      </c>
      <c r="I79" s="36">
        <v>1123.0</v>
      </c>
      <c r="J79" s="36">
        <v>27.3</v>
      </c>
      <c r="K79" s="36">
        <v>86.4</v>
      </c>
      <c r="L79" s="36">
        <v>128.0</v>
      </c>
      <c r="M79" s="36">
        <v>31.6</v>
      </c>
      <c r="N79" s="36">
        <v>0.34</v>
      </c>
      <c r="O79" s="36">
        <v>0.84</v>
      </c>
      <c r="P79" s="36">
        <v>1.63</v>
      </c>
      <c r="Q79" s="21">
        <f t="shared" si="1"/>
        <v>2470</v>
      </c>
      <c r="R79" s="21">
        <f t="shared" si="2"/>
        <v>400</v>
      </c>
    </row>
    <row r="80" ht="14.25" customHeight="1">
      <c r="A80" s="38">
        <v>0.20625</v>
      </c>
      <c r="B80" s="36">
        <v>3.0</v>
      </c>
      <c r="C80" s="36">
        <v>4.7</v>
      </c>
      <c r="D80" s="36">
        <v>18.6</v>
      </c>
      <c r="E80" s="36">
        <v>1321.0</v>
      </c>
      <c r="F80" s="36">
        <v>1187.0</v>
      </c>
      <c r="G80" s="36">
        <v>0.9</v>
      </c>
      <c r="H80" s="36">
        <v>24.0</v>
      </c>
      <c r="I80" s="36">
        <v>1121.0</v>
      </c>
      <c r="J80" s="36">
        <v>27.4</v>
      </c>
      <c r="K80" s="36">
        <v>86.3</v>
      </c>
      <c r="L80" s="36">
        <v>128.0</v>
      </c>
      <c r="M80" s="36">
        <v>31.5</v>
      </c>
      <c r="N80" s="36">
        <v>0.34</v>
      </c>
      <c r="O80" s="36">
        <v>0.83</v>
      </c>
      <c r="P80" s="36">
        <v>1.62</v>
      </c>
      <c r="Q80" s="21">
        <f t="shared" si="1"/>
        <v>2450</v>
      </c>
      <c r="R80" s="21">
        <f t="shared" si="2"/>
        <v>2500</v>
      </c>
    </row>
    <row r="81" ht="14.25" customHeight="1">
      <c r="A81" s="38">
        <v>0.20833333333333334</v>
      </c>
      <c r="B81" s="36">
        <v>3.0</v>
      </c>
      <c r="C81" s="36">
        <v>4.8</v>
      </c>
      <c r="D81" s="36">
        <v>18.9</v>
      </c>
      <c r="E81" s="36">
        <v>1343.0</v>
      </c>
      <c r="F81" s="36">
        <v>1218.0</v>
      </c>
      <c r="G81" s="36">
        <v>0.91</v>
      </c>
      <c r="H81" s="36">
        <v>24.0</v>
      </c>
      <c r="I81" s="36">
        <v>1170.0</v>
      </c>
      <c r="J81" s="36">
        <v>28.1</v>
      </c>
      <c r="K81" s="36">
        <v>86.0</v>
      </c>
      <c r="L81" s="36">
        <v>128.0</v>
      </c>
      <c r="M81" s="36">
        <v>31.3</v>
      </c>
      <c r="N81" s="36">
        <v>0.33</v>
      </c>
      <c r="O81" s="36">
        <v>0.84</v>
      </c>
      <c r="P81" s="36">
        <v>1.66</v>
      </c>
      <c r="Q81" s="21">
        <f t="shared" si="1"/>
        <v>2500</v>
      </c>
      <c r="R81" s="21">
        <f t="shared" si="2"/>
        <v>100</v>
      </c>
    </row>
    <row r="82" ht="14.25" customHeight="1">
      <c r="A82" s="38">
        <v>0.20972222222222223</v>
      </c>
      <c r="B82" s="36">
        <v>3.0</v>
      </c>
      <c r="C82" s="36">
        <v>5.0</v>
      </c>
      <c r="D82" s="36">
        <v>19.1</v>
      </c>
      <c r="E82" s="36">
        <v>1359.0</v>
      </c>
      <c r="F82" s="36">
        <v>1231.0</v>
      </c>
      <c r="G82" s="36">
        <v>0.91</v>
      </c>
      <c r="H82" s="36">
        <v>24.0</v>
      </c>
      <c r="I82" s="36">
        <v>1189.0</v>
      </c>
      <c r="J82" s="36">
        <v>28.4</v>
      </c>
      <c r="K82" s="36">
        <v>85.8</v>
      </c>
      <c r="L82" s="36">
        <v>129.0</v>
      </c>
      <c r="M82" s="36">
        <v>31.0</v>
      </c>
      <c r="N82" s="36">
        <v>0.33</v>
      </c>
      <c r="O82" s="36">
        <v>0.83</v>
      </c>
      <c r="P82" s="36">
        <v>1.68</v>
      </c>
      <c r="Q82" s="21">
        <f t="shared" si="1"/>
        <v>2510</v>
      </c>
      <c r="R82" s="21">
        <f t="shared" si="2"/>
        <v>0</v>
      </c>
    </row>
    <row r="83" ht="14.25" customHeight="1">
      <c r="A83" s="38">
        <v>0.21180555555555555</v>
      </c>
      <c r="B83" s="36">
        <v>3.0</v>
      </c>
      <c r="C83" s="36">
        <v>5.0</v>
      </c>
      <c r="D83" s="36">
        <v>18.9</v>
      </c>
      <c r="E83" s="36">
        <v>1341.0</v>
      </c>
      <c r="F83" s="36">
        <v>1229.0</v>
      </c>
      <c r="G83" s="36">
        <v>0.92</v>
      </c>
      <c r="H83" s="36">
        <v>24.0</v>
      </c>
      <c r="I83" s="36">
        <v>1200.0</v>
      </c>
      <c r="J83" s="36">
        <v>28.7</v>
      </c>
      <c r="K83" s="36">
        <v>85.7</v>
      </c>
      <c r="L83" s="36">
        <v>129.0</v>
      </c>
      <c r="M83" s="36">
        <v>31.2</v>
      </c>
      <c r="N83" s="36">
        <v>0.34</v>
      </c>
      <c r="O83" s="36">
        <v>0.85</v>
      </c>
      <c r="P83" s="36">
        <v>1.66</v>
      </c>
      <c r="Q83" s="21">
        <f t="shared" si="1"/>
        <v>2510</v>
      </c>
      <c r="R83" s="21">
        <f t="shared" si="2"/>
        <v>2500</v>
      </c>
    </row>
    <row r="84" ht="14.25" customHeight="1">
      <c r="A84" s="38">
        <v>0.21319444444444444</v>
      </c>
      <c r="B84" s="36">
        <v>3.0</v>
      </c>
      <c r="C84" s="36">
        <v>5.2</v>
      </c>
      <c r="D84" s="36">
        <v>18.4</v>
      </c>
      <c r="E84" s="36">
        <v>1307.0</v>
      </c>
      <c r="F84" s="36">
        <v>1214.0</v>
      </c>
      <c r="G84" s="36">
        <v>0.93</v>
      </c>
      <c r="H84" s="36">
        <v>24.0</v>
      </c>
      <c r="I84" s="36">
        <v>1168.0</v>
      </c>
      <c r="J84" s="36">
        <v>28.5</v>
      </c>
      <c r="K84" s="36">
        <v>85.8</v>
      </c>
      <c r="L84" s="36">
        <v>129.0</v>
      </c>
      <c r="M84" s="36">
        <v>31.0</v>
      </c>
      <c r="N84" s="36">
        <v>0.32</v>
      </c>
      <c r="O84" s="36">
        <v>0.8</v>
      </c>
      <c r="P84" s="36">
        <v>1.66</v>
      </c>
      <c r="Q84" s="21">
        <f t="shared" si="1"/>
        <v>2460</v>
      </c>
      <c r="R84" s="21">
        <f t="shared" si="2"/>
        <v>0</v>
      </c>
    </row>
    <row r="85" ht="14.25" customHeight="1">
      <c r="A85" s="38">
        <v>0.2152777777777778</v>
      </c>
      <c r="B85" s="36">
        <v>3.0</v>
      </c>
      <c r="C85" s="36">
        <v>5.3</v>
      </c>
      <c r="D85" s="36">
        <v>18.4</v>
      </c>
      <c r="E85" s="36">
        <v>1307.0</v>
      </c>
      <c r="F85" s="36">
        <v>1213.0</v>
      </c>
      <c r="G85" s="36">
        <v>0.93</v>
      </c>
      <c r="H85" s="36">
        <v>24.0</v>
      </c>
      <c r="I85" s="36">
        <v>1168.0</v>
      </c>
      <c r="J85" s="36">
        <v>28.5</v>
      </c>
      <c r="K85" s="36">
        <v>85.8</v>
      </c>
      <c r="L85" s="36">
        <v>129.0</v>
      </c>
      <c r="M85" s="36">
        <v>31.0</v>
      </c>
      <c r="N85" s="36">
        <v>0.32</v>
      </c>
      <c r="O85" s="36">
        <v>0.8</v>
      </c>
      <c r="P85" s="36">
        <v>1.66</v>
      </c>
      <c r="Q85" s="21">
        <f t="shared" si="1"/>
        <v>2460</v>
      </c>
      <c r="R85" s="21">
        <f t="shared" si="2"/>
        <v>900</v>
      </c>
    </row>
    <row r="86" ht="14.25" customHeight="1">
      <c r="A86" s="38">
        <v>0.21736111111111112</v>
      </c>
      <c r="B86" s="36">
        <v>3.0</v>
      </c>
      <c r="C86" s="36">
        <v>5.5</v>
      </c>
      <c r="D86" s="36">
        <v>18.6</v>
      </c>
      <c r="E86" s="36">
        <v>1321.0</v>
      </c>
      <c r="F86" s="36">
        <v>1225.0</v>
      </c>
      <c r="G86" s="36">
        <v>0.93</v>
      </c>
      <c r="H86" s="36">
        <v>24.0</v>
      </c>
      <c r="I86" s="36">
        <v>1195.0</v>
      </c>
      <c r="J86" s="36">
        <v>28.8</v>
      </c>
      <c r="K86" s="36">
        <v>85.6</v>
      </c>
      <c r="L86" s="36">
        <v>129.0</v>
      </c>
      <c r="M86" s="36">
        <v>30.9</v>
      </c>
      <c r="N86" s="36">
        <v>0.33</v>
      </c>
      <c r="O86" s="36">
        <v>0.81</v>
      </c>
      <c r="P86" s="36">
        <v>1.68</v>
      </c>
      <c r="Q86" s="21">
        <f t="shared" si="1"/>
        <v>2490</v>
      </c>
      <c r="R86" s="21">
        <f t="shared" si="2"/>
        <v>4900</v>
      </c>
    </row>
    <row r="87" ht="14.25" customHeight="1">
      <c r="A87" s="38">
        <v>0.21875</v>
      </c>
      <c r="B87" s="36">
        <v>3.0</v>
      </c>
      <c r="C87" s="36">
        <v>5.5</v>
      </c>
      <c r="D87" s="36">
        <v>18.8</v>
      </c>
      <c r="E87" s="36">
        <v>1333.0</v>
      </c>
      <c r="F87" s="36">
        <v>1249.0</v>
      </c>
      <c r="G87" s="36">
        <v>0.94</v>
      </c>
      <c r="H87" s="36">
        <v>23.0</v>
      </c>
      <c r="I87" s="36">
        <v>1249.0</v>
      </c>
      <c r="J87" s="36">
        <v>29.2</v>
      </c>
      <c r="K87" s="36">
        <v>85.4</v>
      </c>
      <c r="L87" s="36">
        <v>130.0</v>
      </c>
      <c r="M87" s="36">
        <v>30.7</v>
      </c>
      <c r="N87" s="36">
        <v>0.33</v>
      </c>
      <c r="O87" s="36">
        <v>0.84</v>
      </c>
      <c r="P87" s="36">
        <v>1.72</v>
      </c>
      <c r="Q87" s="21">
        <f t="shared" si="1"/>
        <v>2560</v>
      </c>
      <c r="R87" s="21">
        <f t="shared" si="2"/>
        <v>400</v>
      </c>
    </row>
    <row r="88" ht="14.25" customHeight="1">
      <c r="A88" s="38">
        <v>0.22013888888888888</v>
      </c>
      <c r="B88" s="36">
        <v>3.0</v>
      </c>
      <c r="C88" s="36">
        <v>5.6</v>
      </c>
      <c r="D88" s="36">
        <v>18.6</v>
      </c>
      <c r="E88" s="36">
        <v>1323.0</v>
      </c>
      <c r="F88" s="36">
        <v>1244.0</v>
      </c>
      <c r="G88" s="36">
        <v>0.94</v>
      </c>
      <c r="H88" s="36">
        <v>23.0</v>
      </c>
      <c r="I88" s="36">
        <v>1244.0</v>
      </c>
      <c r="J88" s="36">
        <v>28.9</v>
      </c>
      <c r="K88" s="36">
        <v>85.6</v>
      </c>
      <c r="L88" s="36">
        <v>130.0</v>
      </c>
      <c r="M88" s="36">
        <v>30.6</v>
      </c>
      <c r="N88" s="36">
        <v>0.33</v>
      </c>
      <c r="O88" s="36">
        <v>0.84</v>
      </c>
      <c r="P88" s="36">
        <v>1.74</v>
      </c>
      <c r="Q88" s="21">
        <f t="shared" si="1"/>
        <v>2580</v>
      </c>
      <c r="R88" s="21">
        <f t="shared" si="2"/>
        <v>400</v>
      </c>
    </row>
    <row r="89" ht="14.25" customHeight="1">
      <c r="A89" s="38">
        <v>0.2222222222222222</v>
      </c>
      <c r="B89" s="36">
        <v>3.0</v>
      </c>
      <c r="C89" s="36">
        <v>5.7</v>
      </c>
      <c r="D89" s="36">
        <v>18.3</v>
      </c>
      <c r="E89" s="36">
        <v>1301.0</v>
      </c>
      <c r="F89" s="36">
        <v>1234.0</v>
      </c>
      <c r="G89" s="36">
        <v>0.95</v>
      </c>
      <c r="H89" s="36">
        <v>23.0</v>
      </c>
      <c r="I89" s="36">
        <v>1229.0</v>
      </c>
      <c r="J89" s="36">
        <v>28.8</v>
      </c>
      <c r="K89" s="36">
        <v>85.6</v>
      </c>
      <c r="L89" s="36">
        <v>131.0</v>
      </c>
      <c r="M89" s="36">
        <v>30.0</v>
      </c>
      <c r="N89" s="36">
        <v>0.33</v>
      </c>
      <c r="O89" s="36">
        <v>0.84</v>
      </c>
      <c r="P89" s="36">
        <v>1.72</v>
      </c>
      <c r="Q89" s="21">
        <f t="shared" si="1"/>
        <v>2560</v>
      </c>
      <c r="R89" s="21">
        <f t="shared" si="2"/>
        <v>100</v>
      </c>
    </row>
    <row r="90" ht="14.25" customHeight="1">
      <c r="A90" s="38">
        <v>0.22361111111111112</v>
      </c>
      <c r="B90" s="36">
        <v>3.0</v>
      </c>
      <c r="C90" s="36">
        <v>5.8</v>
      </c>
      <c r="D90" s="36">
        <v>18.6</v>
      </c>
      <c r="E90" s="36">
        <v>1324.0</v>
      </c>
      <c r="F90" s="36">
        <v>1257.0</v>
      </c>
      <c r="G90" s="36">
        <v>0.95</v>
      </c>
      <c r="H90" s="36">
        <v>24.0</v>
      </c>
      <c r="I90" s="36">
        <v>1238.0</v>
      </c>
      <c r="J90" s="36">
        <v>29.1</v>
      </c>
      <c r="K90" s="36">
        <v>85.5</v>
      </c>
      <c r="L90" s="36">
        <v>131.0</v>
      </c>
      <c r="M90" s="36">
        <v>29.8</v>
      </c>
      <c r="N90" s="36">
        <v>0.32</v>
      </c>
      <c r="O90" s="36">
        <v>0.83</v>
      </c>
      <c r="P90" s="36">
        <v>1.72</v>
      </c>
      <c r="Q90" s="21">
        <f t="shared" si="1"/>
        <v>2550</v>
      </c>
      <c r="R90" s="21">
        <f t="shared" si="2"/>
        <v>72900</v>
      </c>
    </row>
    <row r="91" ht="14.25" customHeight="1">
      <c r="A91" s="38">
        <v>0.2263888888888889</v>
      </c>
      <c r="B91" s="36">
        <v>3.0</v>
      </c>
      <c r="C91" s="36">
        <v>6.0</v>
      </c>
      <c r="D91" s="36">
        <v>18.2</v>
      </c>
      <c r="E91" s="36">
        <v>1289.0</v>
      </c>
      <c r="F91" s="36">
        <v>1222.0</v>
      </c>
      <c r="G91" s="36">
        <v>0.95</v>
      </c>
      <c r="H91" s="36">
        <v>21.0</v>
      </c>
      <c r="I91" s="36">
        <v>1325.0</v>
      </c>
      <c r="J91" s="36">
        <v>28.2</v>
      </c>
      <c r="K91" s="36">
        <v>86.0</v>
      </c>
      <c r="L91" s="36">
        <v>132.0</v>
      </c>
      <c r="M91" s="36">
        <v>29.5</v>
      </c>
      <c r="N91" s="36">
        <v>0.3</v>
      </c>
      <c r="O91" s="36">
        <v>0.84</v>
      </c>
      <c r="P91" s="36">
        <v>1.98</v>
      </c>
      <c r="Q91" s="21">
        <f t="shared" si="1"/>
        <v>2820</v>
      </c>
      <c r="R91" s="21">
        <f t="shared" si="2"/>
        <v>400</v>
      </c>
    </row>
    <row r="92" ht="14.25" customHeight="1">
      <c r="A92" s="38">
        <v>0.22847222222222222</v>
      </c>
      <c r="B92" s="36">
        <v>3.0</v>
      </c>
      <c r="C92" s="36">
        <v>6.2</v>
      </c>
      <c r="D92" s="36">
        <v>18.4</v>
      </c>
      <c r="E92" s="36">
        <v>1306.0</v>
      </c>
      <c r="F92" s="36">
        <v>1237.0</v>
      </c>
      <c r="G92" s="36">
        <v>0.95</v>
      </c>
      <c r="H92" s="36">
        <v>21.0</v>
      </c>
      <c r="I92" s="36">
        <v>1320.0</v>
      </c>
      <c r="J92" s="36">
        <v>28.3</v>
      </c>
      <c r="K92" s="36">
        <v>85.9</v>
      </c>
      <c r="L92" s="36">
        <v>132.0</v>
      </c>
      <c r="M92" s="36">
        <v>29.7</v>
      </c>
      <c r="N92" s="36">
        <v>0.29</v>
      </c>
      <c r="O92" s="36">
        <v>0.82</v>
      </c>
      <c r="P92" s="36">
        <v>1.98</v>
      </c>
      <c r="Q92" s="21">
        <f t="shared" si="1"/>
        <v>2800</v>
      </c>
      <c r="R92" s="21">
        <f t="shared" si="2"/>
        <v>100</v>
      </c>
    </row>
    <row r="93" ht="14.25" customHeight="1">
      <c r="A93" s="38">
        <v>0.23055555555555557</v>
      </c>
      <c r="B93" s="36">
        <v>3.0</v>
      </c>
      <c r="C93" s="36">
        <v>6.2</v>
      </c>
      <c r="D93" s="36">
        <v>18.4</v>
      </c>
      <c r="E93" s="36">
        <v>1308.0</v>
      </c>
      <c r="F93" s="36">
        <v>1234.0</v>
      </c>
      <c r="G93" s="36">
        <v>0.94</v>
      </c>
      <c r="H93" s="36">
        <v>21.0</v>
      </c>
      <c r="I93" s="36">
        <v>1305.0</v>
      </c>
      <c r="J93" s="36">
        <v>28.0</v>
      </c>
      <c r="K93" s="36">
        <v>86.0</v>
      </c>
      <c r="L93" s="36">
        <v>133.0</v>
      </c>
      <c r="M93" s="36">
        <v>28.7</v>
      </c>
      <c r="N93" s="36">
        <v>0.29</v>
      </c>
      <c r="O93" s="36">
        <v>0.8</v>
      </c>
      <c r="P93" s="36">
        <v>1.99</v>
      </c>
      <c r="Q93" s="21">
        <f t="shared" si="1"/>
        <v>2790</v>
      </c>
      <c r="R93" s="21">
        <f t="shared" si="2"/>
        <v>900</v>
      </c>
    </row>
    <row r="94" ht="14.25" customHeight="1">
      <c r="A94" s="38">
        <v>0.23194444444444445</v>
      </c>
      <c r="B94" s="36">
        <v>3.0</v>
      </c>
      <c r="C94" s="36">
        <v>6.4</v>
      </c>
      <c r="D94" s="36">
        <v>18.6</v>
      </c>
      <c r="E94" s="36">
        <v>1320.0</v>
      </c>
      <c r="F94" s="36">
        <v>1242.0</v>
      </c>
      <c r="G94" s="36">
        <v>0.94</v>
      </c>
      <c r="H94" s="36">
        <v>22.0</v>
      </c>
      <c r="I94" s="36">
        <v>1297.0</v>
      </c>
      <c r="J94" s="36">
        <v>28.2</v>
      </c>
      <c r="K94" s="36">
        <v>85.9</v>
      </c>
      <c r="L94" s="36">
        <v>134.0</v>
      </c>
      <c r="M94" s="36">
        <v>28.4</v>
      </c>
      <c r="N94" s="36">
        <v>0.29</v>
      </c>
      <c r="O94" s="36">
        <v>0.79</v>
      </c>
      <c r="P94" s="36">
        <v>1.97</v>
      </c>
      <c r="Q94" s="21">
        <f t="shared" si="1"/>
        <v>2760</v>
      </c>
      <c r="R94" s="21">
        <f t="shared" si="2"/>
        <v>0</v>
      </c>
    </row>
    <row r="95" ht="14.25" customHeight="1">
      <c r="A95" s="38">
        <v>0.23333333333333334</v>
      </c>
      <c r="B95" s="36">
        <v>3.0</v>
      </c>
      <c r="C95" s="36">
        <v>6.4</v>
      </c>
      <c r="D95" s="36">
        <v>18.9</v>
      </c>
      <c r="E95" s="36">
        <v>1340.0</v>
      </c>
      <c r="F95" s="36">
        <v>1256.0</v>
      </c>
      <c r="G95" s="36">
        <v>0.94</v>
      </c>
      <c r="H95" s="36">
        <v>22.0</v>
      </c>
      <c r="I95" s="36">
        <v>1305.0</v>
      </c>
      <c r="J95" s="36">
        <v>28.4</v>
      </c>
      <c r="K95" s="36">
        <v>85.8</v>
      </c>
      <c r="L95" s="36">
        <v>135.0</v>
      </c>
      <c r="M95" s="36">
        <v>27.9</v>
      </c>
      <c r="N95" s="36">
        <v>0.29</v>
      </c>
      <c r="O95" s="36">
        <v>0.79</v>
      </c>
      <c r="P95" s="36">
        <v>1.97</v>
      </c>
      <c r="Q95" s="21">
        <f t="shared" si="1"/>
        <v>2760</v>
      </c>
      <c r="R95" s="21">
        <f t="shared" si="2"/>
        <v>102400</v>
      </c>
    </row>
    <row r="96" ht="14.25" customHeight="1">
      <c r="A96" s="38">
        <v>0.23541666666666666</v>
      </c>
      <c r="B96" s="36">
        <v>3.0</v>
      </c>
      <c r="C96" s="36">
        <v>6.6</v>
      </c>
      <c r="D96" s="36">
        <v>19.7</v>
      </c>
      <c r="E96" s="36">
        <v>1398.0</v>
      </c>
      <c r="F96" s="36">
        <v>1317.0</v>
      </c>
      <c r="G96" s="36">
        <v>0.94</v>
      </c>
      <c r="H96" s="36">
        <v>25.0</v>
      </c>
      <c r="I96" s="36">
        <v>1222.0</v>
      </c>
      <c r="J96" s="36">
        <v>30.1</v>
      </c>
      <c r="K96" s="36">
        <v>85.0</v>
      </c>
      <c r="L96" s="36">
        <v>135.0</v>
      </c>
      <c r="M96" s="36">
        <v>27.6</v>
      </c>
      <c r="N96" s="36">
        <v>0.31</v>
      </c>
      <c r="O96" s="36">
        <v>0.76</v>
      </c>
      <c r="P96" s="36">
        <v>1.68</v>
      </c>
      <c r="Q96" s="21">
        <f t="shared" si="1"/>
        <v>2440</v>
      </c>
      <c r="R96" s="21">
        <f t="shared" si="2"/>
        <v>400</v>
      </c>
    </row>
    <row r="97" ht="14.25" customHeight="1">
      <c r="A97" s="38">
        <v>0.23680555555555555</v>
      </c>
      <c r="B97" s="36">
        <v>3.0</v>
      </c>
      <c r="C97" s="36">
        <v>6.7</v>
      </c>
      <c r="D97" s="36">
        <v>19.5</v>
      </c>
      <c r="E97" s="36">
        <v>1387.0</v>
      </c>
      <c r="F97" s="36">
        <v>1307.0</v>
      </c>
      <c r="G97" s="36">
        <v>0.94</v>
      </c>
      <c r="H97" s="36">
        <v>24.0</v>
      </c>
      <c r="I97" s="36">
        <v>1221.0</v>
      </c>
      <c r="J97" s="36">
        <v>29.7</v>
      </c>
      <c r="K97" s="36">
        <v>85.2</v>
      </c>
      <c r="L97" s="36">
        <v>135.0</v>
      </c>
      <c r="M97" s="36">
        <v>27.4</v>
      </c>
      <c r="N97" s="36">
        <v>0.31</v>
      </c>
      <c r="O97" s="36">
        <v>0.76</v>
      </c>
      <c r="P97" s="36">
        <v>1.7</v>
      </c>
      <c r="Q97" s="21">
        <f t="shared" si="1"/>
        <v>2460</v>
      </c>
      <c r="R97" s="21">
        <f t="shared" si="2"/>
        <v>0</v>
      </c>
    </row>
    <row r="98" ht="14.25" customHeight="1">
      <c r="A98" s="38">
        <v>0.2388888888888889</v>
      </c>
      <c r="B98" s="36">
        <v>3.0</v>
      </c>
      <c r="C98" s="36">
        <v>6.9</v>
      </c>
      <c r="D98" s="36">
        <v>19.5</v>
      </c>
      <c r="E98" s="36">
        <v>1387.0</v>
      </c>
      <c r="F98" s="36">
        <v>1307.0</v>
      </c>
      <c r="G98" s="36">
        <v>0.94</v>
      </c>
      <c r="H98" s="36">
        <v>24.0</v>
      </c>
      <c r="I98" s="36">
        <v>1221.0</v>
      </c>
      <c r="J98" s="36">
        <v>29.7</v>
      </c>
      <c r="K98" s="36">
        <v>85.2</v>
      </c>
      <c r="L98" s="36">
        <v>136.0</v>
      </c>
      <c r="M98" s="36">
        <v>27.6</v>
      </c>
      <c r="N98" s="36">
        <v>0.31</v>
      </c>
      <c r="O98" s="36">
        <v>0.76</v>
      </c>
      <c r="P98" s="36">
        <v>1.7</v>
      </c>
      <c r="Q98" s="21">
        <f t="shared" si="1"/>
        <v>2460</v>
      </c>
      <c r="R98" s="21">
        <f t="shared" si="2"/>
        <v>0</v>
      </c>
    </row>
    <row r="99" ht="14.25" customHeight="1">
      <c r="A99" s="38">
        <v>0.24027777777777778</v>
      </c>
      <c r="B99" s="36">
        <v>3.0</v>
      </c>
      <c r="C99" s="36">
        <v>6.9</v>
      </c>
      <c r="D99" s="36">
        <v>19.5</v>
      </c>
      <c r="E99" s="36">
        <v>1386.0</v>
      </c>
      <c r="F99" s="36">
        <v>1312.0</v>
      </c>
      <c r="G99" s="36">
        <v>0.95</v>
      </c>
      <c r="H99" s="36">
        <v>24.0</v>
      </c>
      <c r="I99" s="36">
        <v>1219.0</v>
      </c>
      <c r="J99" s="36">
        <v>29.8</v>
      </c>
      <c r="K99" s="36">
        <v>85.1</v>
      </c>
      <c r="L99" s="36">
        <v>136.0</v>
      </c>
      <c r="M99" s="36">
        <v>27.6</v>
      </c>
      <c r="N99" s="36">
        <v>0.32</v>
      </c>
      <c r="O99" s="36">
        <v>0.78</v>
      </c>
      <c r="P99" s="36">
        <v>1.68</v>
      </c>
      <c r="Q99" s="21">
        <f t="shared" si="1"/>
        <v>2460</v>
      </c>
      <c r="R99" s="21">
        <f t="shared" si="2"/>
        <v>1600</v>
      </c>
    </row>
    <row r="100" ht="14.25" customHeight="1">
      <c r="A100" s="38">
        <v>0.2423611111111111</v>
      </c>
      <c r="B100" s="36">
        <v>3.0</v>
      </c>
      <c r="C100" s="36">
        <v>7.0</v>
      </c>
      <c r="D100" s="36">
        <v>19.7</v>
      </c>
      <c r="E100" s="36">
        <v>1400.0</v>
      </c>
      <c r="F100" s="36">
        <v>1327.0</v>
      </c>
      <c r="G100" s="36">
        <v>0.95</v>
      </c>
      <c r="H100" s="36">
        <v>25.0</v>
      </c>
      <c r="I100" s="36">
        <v>1221.0</v>
      </c>
      <c r="J100" s="36">
        <v>30.4</v>
      </c>
      <c r="K100" s="36">
        <v>84.9</v>
      </c>
      <c r="L100" s="36">
        <v>136.0</v>
      </c>
      <c r="M100" s="36">
        <v>27.4</v>
      </c>
      <c r="N100" s="36">
        <v>0.32</v>
      </c>
      <c r="O100" s="36">
        <v>0.77</v>
      </c>
      <c r="P100" s="36">
        <v>1.65</v>
      </c>
      <c r="Q100" s="21">
        <f t="shared" si="1"/>
        <v>2420</v>
      </c>
      <c r="R100" s="21">
        <f t="shared" si="2"/>
        <v>0</v>
      </c>
    </row>
    <row r="101" ht="14.25" customHeight="1">
      <c r="A101" s="38">
        <v>0.24375</v>
      </c>
      <c r="B101" s="36">
        <v>3.0</v>
      </c>
      <c r="C101" s="36">
        <v>7.1</v>
      </c>
      <c r="D101" s="36">
        <v>19.7</v>
      </c>
      <c r="E101" s="36">
        <v>1399.0</v>
      </c>
      <c r="F101" s="36">
        <v>1327.0</v>
      </c>
      <c r="G101" s="36">
        <v>0.95</v>
      </c>
      <c r="H101" s="36">
        <v>25.0</v>
      </c>
      <c r="I101" s="36">
        <v>1221.0</v>
      </c>
      <c r="J101" s="36">
        <v>30.4</v>
      </c>
      <c r="K101" s="36">
        <v>84.9</v>
      </c>
      <c r="L101" s="36">
        <v>136.0</v>
      </c>
      <c r="M101" s="36">
        <v>27.1</v>
      </c>
      <c r="N101" s="36">
        <v>0.32</v>
      </c>
      <c r="O101" s="36">
        <v>0.77</v>
      </c>
      <c r="P101" s="36">
        <v>1.65</v>
      </c>
      <c r="Q101" s="21">
        <f t="shared" si="1"/>
        <v>2420</v>
      </c>
      <c r="R101" s="21">
        <f t="shared" si="2"/>
        <v>900</v>
      </c>
    </row>
    <row r="102" ht="14.25" customHeight="1">
      <c r="A102" s="38">
        <v>0.2465277777777778</v>
      </c>
      <c r="B102" s="36">
        <v>3.0</v>
      </c>
      <c r="C102" s="36">
        <v>7.3</v>
      </c>
      <c r="D102" s="36">
        <v>20.2</v>
      </c>
      <c r="E102" s="36">
        <v>1437.0</v>
      </c>
      <c r="F102" s="36">
        <v>1370.0</v>
      </c>
      <c r="G102" s="36">
        <v>0.95</v>
      </c>
      <c r="H102" s="36">
        <v>25.0</v>
      </c>
      <c r="I102" s="36">
        <v>1267.0</v>
      </c>
      <c r="J102" s="36">
        <v>31.1</v>
      </c>
      <c r="K102" s="36">
        <v>84.5</v>
      </c>
      <c r="L102" s="36">
        <v>136.0</v>
      </c>
      <c r="M102" s="36">
        <v>27.3</v>
      </c>
      <c r="N102" s="36">
        <v>0.32</v>
      </c>
      <c r="O102" s="36">
        <v>0.78</v>
      </c>
      <c r="P102" s="36">
        <v>1.67</v>
      </c>
      <c r="Q102" s="21">
        <f t="shared" si="1"/>
        <v>2450</v>
      </c>
      <c r="R102" s="21">
        <f t="shared" si="2"/>
        <v>6400</v>
      </c>
    </row>
    <row r="103" ht="14.25" customHeight="1">
      <c r="A103" s="38">
        <v>0.24791666666666667</v>
      </c>
      <c r="B103" s="36">
        <v>3.0</v>
      </c>
      <c r="C103" s="36">
        <v>7.4</v>
      </c>
      <c r="D103" s="36">
        <v>20.1</v>
      </c>
      <c r="E103" s="36">
        <v>1427.0</v>
      </c>
      <c r="F103" s="36">
        <v>1356.0</v>
      </c>
      <c r="G103" s="36">
        <v>0.95</v>
      </c>
      <c r="H103" s="36">
        <v>24.0</v>
      </c>
      <c r="I103" s="36">
        <v>1287.0</v>
      </c>
      <c r="J103" s="36">
        <v>30.6</v>
      </c>
      <c r="K103" s="36">
        <v>84.7</v>
      </c>
      <c r="L103" s="36">
        <v>136.0</v>
      </c>
      <c r="M103" s="36">
        <v>27.4</v>
      </c>
      <c r="N103" s="36">
        <v>0.32</v>
      </c>
      <c r="O103" s="36">
        <v>0.81</v>
      </c>
      <c r="P103" s="36">
        <v>1.72</v>
      </c>
      <c r="Q103" s="21">
        <f t="shared" si="1"/>
        <v>2530</v>
      </c>
      <c r="R103" s="21">
        <f t="shared" si="2"/>
        <v>4900</v>
      </c>
    </row>
    <row r="104" ht="14.25" customHeight="1">
      <c r="A104" s="38">
        <v>0.24930555555555556</v>
      </c>
      <c r="B104" s="36">
        <v>3.0</v>
      </c>
      <c r="C104" s="36">
        <v>7.5</v>
      </c>
      <c r="D104" s="36">
        <v>20.1</v>
      </c>
      <c r="E104" s="36">
        <v>1424.0</v>
      </c>
      <c r="F104" s="36">
        <v>1359.0</v>
      </c>
      <c r="G104" s="36">
        <v>0.95</v>
      </c>
      <c r="H104" s="36">
        <v>24.0</v>
      </c>
      <c r="I104" s="36">
        <v>1273.0</v>
      </c>
      <c r="J104" s="36">
        <v>31.0</v>
      </c>
      <c r="K104" s="36">
        <v>84.5</v>
      </c>
      <c r="L104" s="36">
        <v>136.0</v>
      </c>
      <c r="M104" s="36">
        <v>27.4</v>
      </c>
      <c r="N104" s="36">
        <v>0.32</v>
      </c>
      <c r="O104" s="36">
        <v>0.79</v>
      </c>
      <c r="P104" s="36">
        <v>1.67</v>
      </c>
      <c r="Q104" s="21">
        <f t="shared" si="1"/>
        <v>2460</v>
      </c>
      <c r="R104" s="21">
        <f t="shared" si="2"/>
        <v>14400</v>
      </c>
    </row>
    <row r="105" ht="14.25" customHeight="1">
      <c r="A105" s="38">
        <v>0.25069444444444444</v>
      </c>
      <c r="B105" s="36">
        <v>3.0</v>
      </c>
      <c r="C105" s="36">
        <v>7.6</v>
      </c>
      <c r="D105" s="36">
        <v>20.2</v>
      </c>
      <c r="E105" s="36">
        <v>1431.0</v>
      </c>
      <c r="F105" s="36">
        <v>1371.0</v>
      </c>
      <c r="G105" s="36">
        <v>0.96</v>
      </c>
      <c r="H105" s="36">
        <v>26.0</v>
      </c>
      <c r="I105" s="36">
        <v>1222.0</v>
      </c>
      <c r="J105" s="36">
        <v>31.4</v>
      </c>
      <c r="K105" s="36">
        <v>84.3</v>
      </c>
      <c r="L105" s="36">
        <v>136.0</v>
      </c>
      <c r="M105" s="36">
        <v>26.9</v>
      </c>
      <c r="N105" s="36">
        <v>0.32</v>
      </c>
      <c r="O105" s="36">
        <v>0.75</v>
      </c>
      <c r="P105" s="36">
        <v>1.59</v>
      </c>
      <c r="Q105" s="21">
        <f t="shared" si="1"/>
        <v>2340</v>
      </c>
      <c r="R105" s="21">
        <f t="shared" si="2"/>
        <v>8100</v>
      </c>
    </row>
    <row r="106" ht="14.25" customHeight="1">
      <c r="A106" s="38">
        <v>0.2520833333333333</v>
      </c>
      <c r="B106" s="36">
        <v>3.0</v>
      </c>
      <c r="C106" s="36">
        <v>7.7</v>
      </c>
      <c r="D106" s="36">
        <v>19.7</v>
      </c>
      <c r="E106" s="36">
        <v>1399.0</v>
      </c>
      <c r="F106" s="36">
        <v>1347.0</v>
      </c>
      <c r="G106" s="36">
        <v>0.96</v>
      </c>
      <c r="H106" s="36">
        <v>27.0</v>
      </c>
      <c r="I106" s="36">
        <v>1173.0</v>
      </c>
      <c r="J106" s="36">
        <v>31.3</v>
      </c>
      <c r="K106" s="36">
        <v>84.4</v>
      </c>
      <c r="L106" s="36">
        <v>137.0</v>
      </c>
      <c r="M106" s="36">
        <v>26.9</v>
      </c>
      <c r="N106" s="36">
        <v>0.32</v>
      </c>
      <c r="O106" s="36">
        <v>0.73</v>
      </c>
      <c r="P106" s="36">
        <v>1.52</v>
      </c>
      <c r="Q106" s="21">
        <f t="shared" si="1"/>
        <v>2250</v>
      </c>
      <c r="R106" s="21">
        <f t="shared" si="2"/>
        <v>400</v>
      </c>
    </row>
    <row r="107" ht="14.25" customHeight="1">
      <c r="A107" s="38">
        <v>0.25416666666666665</v>
      </c>
      <c r="B107" s="36">
        <v>3.0</v>
      </c>
      <c r="C107" s="36">
        <v>7.8</v>
      </c>
      <c r="D107" s="36">
        <v>19.8</v>
      </c>
      <c r="E107" s="36">
        <v>1403.0</v>
      </c>
      <c r="F107" s="36">
        <v>1365.0</v>
      </c>
      <c r="G107" s="36">
        <v>0.97</v>
      </c>
      <c r="H107" s="36">
        <v>27.0</v>
      </c>
      <c r="I107" s="36">
        <v>1162.0</v>
      </c>
      <c r="J107" s="36">
        <v>31.3</v>
      </c>
      <c r="K107" s="36">
        <v>84.4</v>
      </c>
      <c r="L107" s="36">
        <v>137.0</v>
      </c>
      <c r="M107" s="36">
        <v>26.8</v>
      </c>
      <c r="N107" s="36">
        <v>0.32</v>
      </c>
      <c r="O107" s="36">
        <v>0.72</v>
      </c>
      <c r="P107" s="36">
        <v>1.51</v>
      </c>
      <c r="Q107" s="21">
        <f t="shared" si="1"/>
        <v>2230</v>
      </c>
      <c r="R107" s="21">
        <f t="shared" si="2"/>
        <v>900</v>
      </c>
    </row>
    <row r="108" ht="14.25" customHeight="1">
      <c r="A108" s="38">
        <v>0.25555555555555554</v>
      </c>
      <c r="B108" s="36">
        <v>3.0</v>
      </c>
      <c r="C108" s="36">
        <v>7.9</v>
      </c>
      <c r="D108" s="36">
        <v>19.0</v>
      </c>
      <c r="E108" s="36">
        <v>1350.0</v>
      </c>
      <c r="F108" s="36">
        <v>1321.0</v>
      </c>
      <c r="G108" s="36">
        <v>0.98</v>
      </c>
      <c r="H108" s="36">
        <v>27.0</v>
      </c>
      <c r="I108" s="36">
        <v>1117.0</v>
      </c>
      <c r="J108" s="36">
        <v>30.4</v>
      </c>
      <c r="K108" s="36">
        <v>84.8</v>
      </c>
      <c r="L108" s="36">
        <v>137.0</v>
      </c>
      <c r="M108" s="36">
        <v>26.6</v>
      </c>
      <c r="N108" s="36">
        <v>0.32</v>
      </c>
      <c r="O108" s="36">
        <v>0.71</v>
      </c>
      <c r="P108" s="36">
        <v>1.49</v>
      </c>
      <c r="Q108" s="21">
        <f t="shared" si="1"/>
        <v>2200</v>
      </c>
      <c r="R108" s="21">
        <f t="shared" si="2"/>
        <v>0</v>
      </c>
    </row>
    <row r="109" ht="14.25" customHeight="1">
      <c r="A109" s="38">
        <v>0.2569444444444444</v>
      </c>
      <c r="B109" s="36">
        <v>3.0</v>
      </c>
      <c r="C109" s="36">
        <v>8.0</v>
      </c>
      <c r="D109" s="36">
        <v>19.0</v>
      </c>
      <c r="E109" s="36">
        <v>1350.0</v>
      </c>
      <c r="F109" s="36">
        <v>1321.0</v>
      </c>
      <c r="G109" s="36">
        <v>0.98</v>
      </c>
      <c r="H109" s="36">
        <v>27.0</v>
      </c>
      <c r="I109" s="36">
        <v>1117.0</v>
      </c>
      <c r="J109" s="36">
        <v>30.4</v>
      </c>
      <c r="K109" s="36">
        <v>84.8</v>
      </c>
      <c r="L109" s="36">
        <v>137.0</v>
      </c>
      <c r="M109" s="36">
        <v>26.4</v>
      </c>
      <c r="N109" s="36">
        <v>0.32</v>
      </c>
      <c r="O109" s="36">
        <v>0.71</v>
      </c>
      <c r="P109" s="36">
        <v>1.49</v>
      </c>
      <c r="Q109" s="21">
        <f t="shared" si="1"/>
        <v>2200</v>
      </c>
      <c r="R109" s="21">
        <f t="shared" si="2"/>
        <v>100</v>
      </c>
    </row>
    <row r="110" ht="14.25" customHeight="1">
      <c r="A110" s="38">
        <v>0.25833333333333336</v>
      </c>
      <c r="B110" s="36">
        <v>3.0</v>
      </c>
      <c r="C110" s="36">
        <v>8.1</v>
      </c>
      <c r="D110" s="36">
        <v>20.1</v>
      </c>
      <c r="E110" s="36">
        <v>1427.0</v>
      </c>
      <c r="F110" s="36">
        <v>1386.0</v>
      </c>
      <c r="G110" s="36">
        <v>0.97</v>
      </c>
      <c r="H110" s="36">
        <v>27.0</v>
      </c>
      <c r="I110" s="36">
        <v>1160.0</v>
      </c>
      <c r="J110" s="36">
        <v>31.5</v>
      </c>
      <c r="K110" s="36">
        <v>84.3</v>
      </c>
      <c r="L110" s="36">
        <v>137.0</v>
      </c>
      <c r="M110" s="36">
        <v>26.9</v>
      </c>
      <c r="N110" s="36">
        <v>0.33</v>
      </c>
      <c r="O110" s="36">
        <v>0.73</v>
      </c>
      <c r="P110" s="36">
        <v>1.48</v>
      </c>
      <c r="Q110" s="21">
        <f t="shared" si="1"/>
        <v>2210</v>
      </c>
      <c r="R110" s="21">
        <f t="shared" si="2"/>
        <v>0</v>
      </c>
    </row>
    <row r="111" ht="14.25" customHeight="1">
      <c r="A111" s="38">
        <v>0.2604166666666667</v>
      </c>
      <c r="B111" s="36">
        <v>3.0</v>
      </c>
      <c r="C111" s="36">
        <v>8.2</v>
      </c>
      <c r="D111" s="36">
        <v>20.2</v>
      </c>
      <c r="E111" s="36">
        <v>1435.0</v>
      </c>
      <c r="F111" s="36">
        <v>1398.0</v>
      </c>
      <c r="G111" s="36">
        <v>0.97</v>
      </c>
      <c r="H111" s="36">
        <v>27.0</v>
      </c>
      <c r="I111" s="36">
        <v>1171.0</v>
      </c>
      <c r="J111" s="36">
        <v>31.7</v>
      </c>
      <c r="K111" s="36">
        <v>84.2</v>
      </c>
      <c r="L111" s="36">
        <v>137.0</v>
      </c>
      <c r="M111" s="36">
        <v>26.9</v>
      </c>
      <c r="N111" s="36">
        <v>0.34</v>
      </c>
      <c r="O111" s="36">
        <v>0.74</v>
      </c>
      <c r="P111" s="36">
        <v>1.47</v>
      </c>
      <c r="Q111" s="21">
        <f t="shared" si="1"/>
        <v>2210</v>
      </c>
      <c r="R111" s="21">
        <f t="shared" si="2"/>
        <v>72900</v>
      </c>
    </row>
    <row r="112" ht="14.25" customHeight="1">
      <c r="A112" s="38">
        <v>0.2625</v>
      </c>
      <c r="B112" s="36">
        <v>3.0</v>
      </c>
      <c r="C112" s="36">
        <v>8.4</v>
      </c>
      <c r="D112" s="36">
        <v>21.0</v>
      </c>
      <c r="E112" s="36">
        <v>1491.0</v>
      </c>
      <c r="F112" s="36">
        <v>1474.0</v>
      </c>
      <c r="G112" s="36">
        <v>0.99</v>
      </c>
      <c r="H112" s="36">
        <v>24.0</v>
      </c>
      <c r="I112" s="36">
        <v>1363.0</v>
      </c>
      <c r="J112" s="36">
        <v>33.0</v>
      </c>
      <c r="K112" s="36">
        <v>83.5</v>
      </c>
      <c r="L112" s="36">
        <v>137.0</v>
      </c>
      <c r="M112" s="36">
        <v>26.6</v>
      </c>
      <c r="N112" s="36">
        <v>0.35</v>
      </c>
      <c r="O112" s="36">
        <v>0.88</v>
      </c>
      <c r="P112" s="36">
        <v>1.6</v>
      </c>
      <c r="Q112" s="21">
        <f t="shared" si="1"/>
        <v>2480</v>
      </c>
      <c r="R112" s="21">
        <f t="shared" si="2"/>
        <v>0</v>
      </c>
    </row>
    <row r="113" ht="14.25" customHeight="1">
      <c r="A113" s="38">
        <v>0.2638888888888889</v>
      </c>
      <c r="B113" s="36">
        <v>3.0</v>
      </c>
      <c r="C113" s="36">
        <v>8.5</v>
      </c>
      <c r="D113" s="36">
        <v>21.3</v>
      </c>
      <c r="E113" s="36">
        <v>1514.0</v>
      </c>
      <c r="F113" s="36">
        <v>1505.0</v>
      </c>
      <c r="G113" s="36">
        <v>0.99</v>
      </c>
      <c r="H113" s="36">
        <v>24.0</v>
      </c>
      <c r="I113" s="36">
        <v>1377.0</v>
      </c>
      <c r="J113" s="36">
        <v>33.3</v>
      </c>
      <c r="K113" s="36">
        <v>83.4</v>
      </c>
      <c r="L113" s="36">
        <v>138.0</v>
      </c>
      <c r="M113" s="36">
        <v>26.4</v>
      </c>
      <c r="N113" s="36">
        <v>0.35</v>
      </c>
      <c r="O113" s="36">
        <v>0.86</v>
      </c>
      <c r="P113" s="36">
        <v>1.62</v>
      </c>
      <c r="Q113" s="21">
        <f t="shared" si="1"/>
        <v>2480</v>
      </c>
      <c r="R113" s="21">
        <f t="shared" si="2"/>
        <v>0</v>
      </c>
    </row>
    <row r="114" ht="14.25" customHeight="1">
      <c r="A114" s="38">
        <v>0.2652777777777778</v>
      </c>
      <c r="B114" s="36">
        <v>3.0</v>
      </c>
      <c r="C114" s="36">
        <v>8.6</v>
      </c>
      <c r="D114" s="36">
        <v>20.7</v>
      </c>
      <c r="E114" s="36">
        <v>1472.0</v>
      </c>
      <c r="F114" s="36">
        <v>1452.0</v>
      </c>
      <c r="G114" s="36">
        <v>0.99</v>
      </c>
      <c r="H114" s="36">
        <v>24.0</v>
      </c>
      <c r="I114" s="36">
        <v>1343.0</v>
      </c>
      <c r="J114" s="36">
        <v>32.5</v>
      </c>
      <c r="K114" s="36">
        <v>83.8</v>
      </c>
      <c r="L114" s="36">
        <v>138.0</v>
      </c>
      <c r="M114" s="36">
        <v>26.3</v>
      </c>
      <c r="N114" s="36">
        <v>0.35</v>
      </c>
      <c r="O114" s="36">
        <v>0.86</v>
      </c>
      <c r="P114" s="36">
        <v>1.62</v>
      </c>
      <c r="Q114" s="21">
        <f t="shared" si="1"/>
        <v>2480</v>
      </c>
      <c r="R114" s="21">
        <f t="shared" si="2"/>
        <v>0</v>
      </c>
    </row>
    <row r="115" ht="14.25" customHeight="1">
      <c r="A115" s="38">
        <v>0.2673611111111111</v>
      </c>
      <c r="B115" s="36">
        <v>3.0</v>
      </c>
      <c r="C115" s="36">
        <v>8.7</v>
      </c>
      <c r="D115" s="36">
        <v>20.8</v>
      </c>
      <c r="E115" s="36">
        <v>1476.0</v>
      </c>
      <c r="F115" s="36">
        <v>1464.0</v>
      </c>
      <c r="G115" s="36">
        <v>0.99</v>
      </c>
      <c r="H115" s="36">
        <v>24.0</v>
      </c>
      <c r="I115" s="36">
        <v>1343.0</v>
      </c>
      <c r="J115" s="36">
        <v>32.5</v>
      </c>
      <c r="K115" s="36">
        <v>83.8</v>
      </c>
      <c r="L115" s="36">
        <v>138.0</v>
      </c>
      <c r="M115" s="36">
        <v>26.1</v>
      </c>
      <c r="N115" s="36">
        <v>0.34</v>
      </c>
      <c r="O115" s="36">
        <v>0.85</v>
      </c>
      <c r="P115" s="36">
        <v>1.63</v>
      </c>
      <c r="Q115" s="21">
        <f t="shared" si="1"/>
        <v>2480</v>
      </c>
      <c r="R115" s="21">
        <f t="shared" si="2"/>
        <v>4900</v>
      </c>
    </row>
    <row r="116" ht="14.25" customHeight="1">
      <c r="A116" s="38">
        <v>0.26875</v>
      </c>
      <c r="B116" s="36">
        <v>3.0</v>
      </c>
      <c r="C116" s="36">
        <v>8.8</v>
      </c>
      <c r="D116" s="36">
        <v>19.7</v>
      </c>
      <c r="E116" s="36">
        <v>1401.0</v>
      </c>
      <c r="F116" s="36">
        <v>1399.0</v>
      </c>
      <c r="G116" s="36">
        <v>1.0</v>
      </c>
      <c r="H116" s="36">
        <v>24.0</v>
      </c>
      <c r="I116" s="36">
        <v>1317.0</v>
      </c>
      <c r="J116" s="36">
        <v>31.0</v>
      </c>
      <c r="K116" s="36">
        <v>84.5</v>
      </c>
      <c r="L116" s="36">
        <v>138.0</v>
      </c>
      <c r="M116" s="36">
        <v>26.1</v>
      </c>
      <c r="N116" s="36">
        <v>0.35</v>
      </c>
      <c r="O116" s="36">
        <v>0.89</v>
      </c>
      <c r="P116" s="36">
        <v>1.66</v>
      </c>
      <c r="Q116" s="21">
        <f t="shared" si="1"/>
        <v>2550</v>
      </c>
      <c r="R116" s="21">
        <f t="shared" si="2"/>
        <v>0</v>
      </c>
    </row>
    <row r="117" ht="14.25" customHeight="1">
      <c r="A117" s="38">
        <v>0.2708333333333333</v>
      </c>
      <c r="B117" s="36">
        <v>3.0</v>
      </c>
      <c r="C117" s="36">
        <v>8.9</v>
      </c>
      <c r="D117" s="36">
        <v>19.7</v>
      </c>
      <c r="E117" s="36">
        <v>1401.0</v>
      </c>
      <c r="F117" s="36">
        <v>1399.0</v>
      </c>
      <c r="G117" s="36">
        <v>1.0</v>
      </c>
      <c r="H117" s="36">
        <v>24.0</v>
      </c>
      <c r="I117" s="36">
        <v>1317.0</v>
      </c>
      <c r="J117" s="36">
        <v>31.0</v>
      </c>
      <c r="K117" s="36">
        <v>84.5</v>
      </c>
      <c r="L117" s="36">
        <v>139.0</v>
      </c>
      <c r="M117" s="36">
        <v>25.7</v>
      </c>
      <c r="N117" s="36">
        <v>0.35</v>
      </c>
      <c r="O117" s="36">
        <v>0.89</v>
      </c>
      <c r="P117" s="36">
        <v>1.66</v>
      </c>
      <c r="Q117" s="21">
        <f t="shared" si="1"/>
        <v>2550</v>
      </c>
      <c r="R117" s="21">
        <f t="shared" si="2"/>
        <v>100</v>
      </c>
    </row>
    <row r="118" ht="14.25" customHeight="1">
      <c r="A118" s="38">
        <v>0.2722222222222222</v>
      </c>
      <c r="B118" s="36">
        <v>3.0</v>
      </c>
      <c r="C118" s="36">
        <v>9.0</v>
      </c>
      <c r="D118" s="36">
        <v>20.4</v>
      </c>
      <c r="E118" s="36">
        <v>1448.0</v>
      </c>
      <c r="F118" s="36">
        <v>1448.0</v>
      </c>
      <c r="G118" s="36">
        <v>1.0</v>
      </c>
      <c r="H118" s="36">
        <v>23.0</v>
      </c>
      <c r="I118" s="36">
        <v>1362.0</v>
      </c>
      <c r="J118" s="36">
        <v>31.9</v>
      </c>
      <c r="K118" s="36">
        <v>84.1</v>
      </c>
      <c r="L118" s="36">
        <v>139.0</v>
      </c>
      <c r="M118" s="36">
        <v>25.6</v>
      </c>
      <c r="N118" s="36">
        <v>0.35</v>
      </c>
      <c r="O118" s="36">
        <v>0.89</v>
      </c>
      <c r="P118" s="36">
        <v>1.67</v>
      </c>
      <c r="Q118" s="21">
        <f t="shared" si="1"/>
        <v>2560</v>
      </c>
      <c r="R118" s="21">
        <f t="shared" si="2"/>
        <v>48400</v>
      </c>
    </row>
    <row r="119" ht="14.25" customHeight="1">
      <c r="A119" s="38">
        <v>0.27361111111111114</v>
      </c>
      <c r="B119" s="36">
        <v>3.0</v>
      </c>
      <c r="C119" s="36">
        <v>9.1</v>
      </c>
      <c r="D119" s="36">
        <v>20.4</v>
      </c>
      <c r="E119" s="36">
        <v>1451.0</v>
      </c>
      <c r="F119" s="36">
        <v>1445.0</v>
      </c>
      <c r="G119" s="36">
        <v>1.0</v>
      </c>
      <c r="H119" s="36">
        <v>26.0</v>
      </c>
      <c r="I119" s="36">
        <v>1249.0</v>
      </c>
      <c r="J119" s="36">
        <v>32.0</v>
      </c>
      <c r="K119" s="36">
        <v>84.0</v>
      </c>
      <c r="L119" s="36">
        <v>140.0</v>
      </c>
      <c r="M119" s="36">
        <v>25.4</v>
      </c>
      <c r="N119" s="36">
        <v>0.33</v>
      </c>
      <c r="O119" s="36">
        <v>0.77</v>
      </c>
      <c r="P119" s="36">
        <v>1.57</v>
      </c>
      <c r="Q119" s="21">
        <f t="shared" si="1"/>
        <v>2340</v>
      </c>
      <c r="R119" s="8">
        <v>0.0</v>
      </c>
    </row>
    <row r="120" ht="14.25" customHeight="1">
      <c r="A120" s="36" t="s">
        <v>80</v>
      </c>
    </row>
    <row r="121" ht="14.25" customHeight="1">
      <c r="A121" s="38">
        <v>0.275</v>
      </c>
      <c r="B121" s="36">
        <v>3.0</v>
      </c>
      <c r="C121" s="36">
        <v>9.2</v>
      </c>
      <c r="D121" s="36">
        <v>20.9</v>
      </c>
      <c r="E121" s="36">
        <v>1485.0</v>
      </c>
      <c r="F121" s="36">
        <v>1479.0</v>
      </c>
      <c r="G121" s="36">
        <v>1.0</v>
      </c>
      <c r="H121" s="36">
        <v>25.0</v>
      </c>
      <c r="I121" s="36">
        <v>1296.0</v>
      </c>
      <c r="J121" s="36">
        <v>33.0</v>
      </c>
      <c r="K121" s="36">
        <v>83.5</v>
      </c>
      <c r="L121" s="36">
        <v>140.0</v>
      </c>
      <c r="M121" s="36">
        <v>25.1</v>
      </c>
      <c r="N121" s="36">
        <v>0.34</v>
      </c>
      <c r="O121" s="36">
        <v>0.79</v>
      </c>
      <c r="P121" s="36">
        <v>1.56</v>
      </c>
      <c r="Q121" s="21">
        <f t="shared" ref="Q121:Q195" si="3">(O121+P121)*1000</f>
        <v>2350</v>
      </c>
      <c r="R121" s="21">
        <f t="shared" ref="R121:R194" si="4">(Q121-Q122)^2</f>
        <v>2500</v>
      </c>
      <c r="S121" s="8">
        <f>SQRT(AVERAGE(R121:R195))</f>
        <v>30.41929212</v>
      </c>
    </row>
    <row r="122" ht="14.25" customHeight="1">
      <c r="A122" s="38">
        <v>0.27708333333333335</v>
      </c>
      <c r="B122" s="36">
        <v>3.0</v>
      </c>
      <c r="C122" s="36">
        <v>9.3</v>
      </c>
      <c r="D122" s="36">
        <v>21.3</v>
      </c>
      <c r="E122" s="36">
        <v>1511.0</v>
      </c>
      <c r="F122" s="36">
        <v>1524.0</v>
      </c>
      <c r="G122" s="36">
        <v>1.01</v>
      </c>
      <c r="H122" s="36">
        <v>26.0</v>
      </c>
      <c r="I122" s="36">
        <v>1310.0</v>
      </c>
      <c r="J122" s="36">
        <v>34.3</v>
      </c>
      <c r="K122" s="36">
        <v>82.9</v>
      </c>
      <c r="L122" s="36">
        <v>140.0</v>
      </c>
      <c r="M122" s="36">
        <v>25.1</v>
      </c>
      <c r="N122" s="36">
        <v>0.33</v>
      </c>
      <c r="O122" s="36">
        <v>0.75</v>
      </c>
      <c r="P122" s="36">
        <v>1.55</v>
      </c>
      <c r="Q122" s="21">
        <f t="shared" si="3"/>
        <v>2300</v>
      </c>
      <c r="R122" s="21">
        <f t="shared" si="4"/>
        <v>0</v>
      </c>
    </row>
    <row r="123" ht="14.25" customHeight="1">
      <c r="A123" s="38">
        <v>0.27847222222222223</v>
      </c>
      <c r="B123" s="36">
        <v>3.0</v>
      </c>
      <c r="C123" s="36">
        <v>9.4</v>
      </c>
      <c r="D123" s="36">
        <v>22.6</v>
      </c>
      <c r="E123" s="36">
        <v>1604.0</v>
      </c>
      <c r="F123" s="36">
        <v>1626.0</v>
      </c>
      <c r="G123" s="36">
        <v>1.01</v>
      </c>
      <c r="H123" s="36">
        <v>26.0</v>
      </c>
      <c r="I123" s="36">
        <v>1390.0</v>
      </c>
      <c r="J123" s="36">
        <v>36.2</v>
      </c>
      <c r="K123" s="36">
        <v>81.9</v>
      </c>
      <c r="L123" s="36">
        <v>141.0</v>
      </c>
      <c r="M123" s="36">
        <v>24.9</v>
      </c>
      <c r="N123" s="36">
        <v>0.33</v>
      </c>
      <c r="O123" s="36">
        <v>0.76</v>
      </c>
      <c r="P123" s="36">
        <v>1.54</v>
      </c>
      <c r="Q123" s="21">
        <f t="shared" si="3"/>
        <v>2300</v>
      </c>
      <c r="R123" s="21">
        <f t="shared" si="4"/>
        <v>0</v>
      </c>
    </row>
    <row r="124" ht="14.25" customHeight="1">
      <c r="A124" s="38">
        <v>0.28125</v>
      </c>
      <c r="B124" s="36">
        <v>3.0</v>
      </c>
      <c r="C124" s="36">
        <v>9.6</v>
      </c>
      <c r="D124" s="36">
        <v>22.6</v>
      </c>
      <c r="E124" s="36">
        <v>1603.0</v>
      </c>
      <c r="F124" s="36">
        <v>1625.0</v>
      </c>
      <c r="G124" s="36">
        <v>1.01</v>
      </c>
      <c r="H124" s="36">
        <v>26.0</v>
      </c>
      <c r="I124" s="36">
        <v>1390.0</v>
      </c>
      <c r="J124" s="36">
        <v>36.2</v>
      </c>
      <c r="K124" s="36">
        <v>81.9</v>
      </c>
      <c r="L124" s="36">
        <v>141.0</v>
      </c>
      <c r="M124" s="36">
        <v>24.9</v>
      </c>
      <c r="N124" s="36">
        <v>0.33</v>
      </c>
      <c r="O124" s="36">
        <v>0.76</v>
      </c>
      <c r="P124" s="36">
        <v>1.54</v>
      </c>
      <c r="Q124" s="21">
        <f t="shared" si="3"/>
        <v>2300</v>
      </c>
      <c r="R124" s="21">
        <f t="shared" si="4"/>
        <v>400</v>
      </c>
    </row>
    <row r="125" ht="14.25" customHeight="1">
      <c r="A125" s="38">
        <v>0.2826388888888889</v>
      </c>
      <c r="B125" s="36">
        <v>3.0</v>
      </c>
      <c r="C125" s="36">
        <v>9.7</v>
      </c>
      <c r="D125" s="36">
        <v>21.6</v>
      </c>
      <c r="E125" s="36">
        <v>1535.0</v>
      </c>
      <c r="F125" s="36">
        <v>1561.0</v>
      </c>
      <c r="G125" s="36">
        <v>1.02</v>
      </c>
      <c r="H125" s="36">
        <v>26.0</v>
      </c>
      <c r="I125" s="36">
        <v>1355.0</v>
      </c>
      <c r="J125" s="36">
        <v>35.1</v>
      </c>
      <c r="K125" s="36">
        <v>82.5</v>
      </c>
      <c r="L125" s="36">
        <v>141.0</v>
      </c>
      <c r="M125" s="36">
        <v>24.2</v>
      </c>
      <c r="N125" s="36">
        <v>0.33</v>
      </c>
      <c r="O125" s="36">
        <v>0.77</v>
      </c>
      <c r="P125" s="36">
        <v>1.55</v>
      </c>
      <c r="Q125" s="21">
        <f t="shared" si="3"/>
        <v>2320</v>
      </c>
      <c r="R125" s="21">
        <f t="shared" si="4"/>
        <v>0</v>
      </c>
    </row>
    <row r="126" ht="14.25" customHeight="1">
      <c r="A126" s="38">
        <v>0.28402777777777777</v>
      </c>
      <c r="B126" s="36">
        <v>3.0</v>
      </c>
      <c r="C126" s="36">
        <v>9.8</v>
      </c>
      <c r="D126" s="36">
        <v>20.9</v>
      </c>
      <c r="E126" s="36">
        <v>1487.0</v>
      </c>
      <c r="F126" s="36">
        <v>1523.0</v>
      </c>
      <c r="G126" s="36">
        <v>1.02</v>
      </c>
      <c r="H126" s="36">
        <v>26.0</v>
      </c>
      <c r="I126" s="36">
        <v>1327.0</v>
      </c>
      <c r="J126" s="36">
        <v>34.3</v>
      </c>
      <c r="K126" s="36">
        <v>82.9</v>
      </c>
      <c r="L126" s="36">
        <v>141.0</v>
      </c>
      <c r="M126" s="36">
        <v>24.2</v>
      </c>
      <c r="N126" s="36">
        <v>0.33</v>
      </c>
      <c r="O126" s="36">
        <v>0.77</v>
      </c>
      <c r="P126" s="36">
        <v>1.55</v>
      </c>
      <c r="Q126" s="21">
        <f t="shared" si="3"/>
        <v>2320</v>
      </c>
      <c r="R126" s="21">
        <f t="shared" si="4"/>
        <v>100</v>
      </c>
    </row>
    <row r="127" ht="14.25" customHeight="1">
      <c r="A127" s="38">
        <v>0.2861111111111111</v>
      </c>
      <c r="B127" s="36">
        <v>3.0</v>
      </c>
      <c r="C127" s="36">
        <v>9.9</v>
      </c>
      <c r="D127" s="36">
        <v>20.3</v>
      </c>
      <c r="E127" s="36">
        <v>1439.0</v>
      </c>
      <c r="F127" s="36">
        <v>1484.0</v>
      </c>
      <c r="G127" s="36">
        <v>1.03</v>
      </c>
      <c r="H127" s="36">
        <v>26.0</v>
      </c>
      <c r="I127" s="36">
        <v>1279.0</v>
      </c>
      <c r="J127" s="36">
        <v>33.2</v>
      </c>
      <c r="K127" s="36">
        <v>83.4</v>
      </c>
      <c r="L127" s="36">
        <v>141.0</v>
      </c>
      <c r="M127" s="36">
        <v>24.2</v>
      </c>
      <c r="N127" s="36">
        <v>0.33</v>
      </c>
      <c r="O127" s="36">
        <v>0.75</v>
      </c>
      <c r="P127" s="36">
        <v>1.56</v>
      </c>
      <c r="Q127" s="21">
        <f t="shared" si="3"/>
        <v>2310</v>
      </c>
      <c r="R127" s="21">
        <f t="shared" si="4"/>
        <v>100</v>
      </c>
    </row>
    <row r="128" ht="14.25" customHeight="1">
      <c r="A128" s="38">
        <v>0.2875</v>
      </c>
      <c r="B128" s="36">
        <v>3.0</v>
      </c>
      <c r="C128" s="36">
        <v>10.0</v>
      </c>
      <c r="D128" s="36">
        <v>20.3</v>
      </c>
      <c r="E128" s="36">
        <v>1441.0</v>
      </c>
      <c r="F128" s="36">
        <v>1494.0</v>
      </c>
      <c r="G128" s="36">
        <v>1.04</v>
      </c>
      <c r="H128" s="36">
        <v>26.0</v>
      </c>
      <c r="I128" s="36">
        <v>1287.0</v>
      </c>
      <c r="J128" s="36">
        <v>33.3</v>
      </c>
      <c r="K128" s="36">
        <v>83.4</v>
      </c>
      <c r="L128" s="36">
        <v>141.0</v>
      </c>
      <c r="M128" s="36">
        <v>24.5</v>
      </c>
      <c r="N128" s="36">
        <v>0.32</v>
      </c>
      <c r="O128" s="36">
        <v>0.75</v>
      </c>
      <c r="P128" s="36">
        <v>1.57</v>
      </c>
      <c r="Q128" s="21">
        <f t="shared" si="3"/>
        <v>2320</v>
      </c>
      <c r="R128" s="21">
        <f t="shared" si="4"/>
        <v>100</v>
      </c>
    </row>
    <row r="129" ht="14.25" customHeight="1">
      <c r="A129" s="38">
        <v>0.28888888888888886</v>
      </c>
      <c r="B129" s="36">
        <v>3.0</v>
      </c>
      <c r="C129" s="36">
        <v>10.1</v>
      </c>
      <c r="D129" s="36">
        <v>20.7</v>
      </c>
      <c r="E129" s="36">
        <v>1473.0</v>
      </c>
      <c r="F129" s="36">
        <v>1522.0</v>
      </c>
      <c r="G129" s="36">
        <v>1.03</v>
      </c>
      <c r="H129" s="36">
        <v>26.0</v>
      </c>
      <c r="I129" s="36">
        <v>1306.0</v>
      </c>
      <c r="J129" s="36">
        <v>33.8</v>
      </c>
      <c r="K129" s="36">
        <v>83.1</v>
      </c>
      <c r="L129" s="36">
        <v>141.0</v>
      </c>
      <c r="M129" s="36">
        <v>24.5</v>
      </c>
      <c r="N129" s="36">
        <v>0.33</v>
      </c>
      <c r="O129" s="36">
        <v>0.75</v>
      </c>
      <c r="P129" s="36">
        <v>1.56</v>
      </c>
      <c r="Q129" s="21">
        <f t="shared" si="3"/>
        <v>2310</v>
      </c>
      <c r="R129" s="21">
        <f t="shared" si="4"/>
        <v>100</v>
      </c>
    </row>
    <row r="130" ht="14.25" customHeight="1">
      <c r="A130" s="38">
        <v>0.29097222222222224</v>
      </c>
      <c r="B130" s="36">
        <v>3.0</v>
      </c>
      <c r="C130" s="36">
        <v>10.2</v>
      </c>
      <c r="D130" s="36">
        <v>20.3</v>
      </c>
      <c r="E130" s="36">
        <v>1442.0</v>
      </c>
      <c r="F130" s="36">
        <v>1488.0</v>
      </c>
      <c r="G130" s="36">
        <v>1.03</v>
      </c>
      <c r="H130" s="36">
        <v>26.0</v>
      </c>
      <c r="I130" s="36">
        <v>1270.0</v>
      </c>
      <c r="J130" s="36">
        <v>33.0</v>
      </c>
      <c r="K130" s="36">
        <v>83.5</v>
      </c>
      <c r="L130" s="36">
        <v>141.0</v>
      </c>
      <c r="M130" s="36">
        <v>24.5</v>
      </c>
      <c r="N130" s="36">
        <v>0.34</v>
      </c>
      <c r="O130" s="36">
        <v>0.77</v>
      </c>
      <c r="P130" s="36">
        <v>1.53</v>
      </c>
      <c r="Q130" s="21">
        <f t="shared" si="3"/>
        <v>2300</v>
      </c>
      <c r="R130" s="21">
        <f t="shared" si="4"/>
        <v>900</v>
      </c>
    </row>
    <row r="131" ht="14.25" customHeight="1">
      <c r="A131" s="38">
        <v>0.2923611111111111</v>
      </c>
      <c r="B131" s="36">
        <v>3.0</v>
      </c>
      <c r="C131" s="36">
        <v>10.3</v>
      </c>
      <c r="D131" s="36">
        <v>20.9</v>
      </c>
      <c r="E131" s="36">
        <v>1484.0</v>
      </c>
      <c r="F131" s="36">
        <v>1531.0</v>
      </c>
      <c r="G131" s="36">
        <v>1.03</v>
      </c>
      <c r="H131" s="36">
        <v>26.0</v>
      </c>
      <c r="I131" s="36">
        <v>1294.0</v>
      </c>
      <c r="J131" s="36">
        <v>34.1</v>
      </c>
      <c r="K131" s="36">
        <v>83.0</v>
      </c>
      <c r="L131" s="36">
        <v>141.0</v>
      </c>
      <c r="M131" s="36">
        <v>24.5</v>
      </c>
      <c r="N131" s="36">
        <v>0.33</v>
      </c>
      <c r="O131" s="36">
        <v>0.75</v>
      </c>
      <c r="P131" s="36">
        <v>1.52</v>
      </c>
      <c r="Q131" s="21">
        <f t="shared" si="3"/>
        <v>2270</v>
      </c>
      <c r="R131" s="21">
        <f t="shared" si="4"/>
        <v>100</v>
      </c>
    </row>
    <row r="132" ht="14.25" customHeight="1">
      <c r="A132" s="38">
        <v>0.29375</v>
      </c>
      <c r="B132" s="36">
        <v>3.0</v>
      </c>
      <c r="C132" s="36">
        <v>10.3</v>
      </c>
      <c r="D132" s="36">
        <v>21.4</v>
      </c>
      <c r="E132" s="36">
        <v>1523.0</v>
      </c>
      <c r="F132" s="36">
        <v>1576.0</v>
      </c>
      <c r="G132" s="36">
        <v>1.03</v>
      </c>
      <c r="H132" s="36">
        <v>27.0</v>
      </c>
      <c r="I132" s="36">
        <v>1323.0</v>
      </c>
      <c r="J132" s="36">
        <v>35.2</v>
      </c>
      <c r="K132" s="36">
        <v>82.4</v>
      </c>
      <c r="L132" s="36">
        <v>141.0</v>
      </c>
      <c r="M132" s="36">
        <v>24.5</v>
      </c>
      <c r="N132" s="36">
        <v>0.34</v>
      </c>
      <c r="O132" s="36">
        <v>0.76</v>
      </c>
      <c r="P132" s="36">
        <v>1.5</v>
      </c>
      <c r="Q132" s="21">
        <f t="shared" si="3"/>
        <v>2260</v>
      </c>
      <c r="R132" s="21">
        <f t="shared" si="4"/>
        <v>100</v>
      </c>
    </row>
    <row r="133" ht="14.25" customHeight="1">
      <c r="A133" s="38">
        <v>0.2951388888888889</v>
      </c>
      <c r="B133" s="36">
        <v>3.0</v>
      </c>
      <c r="C133" s="36">
        <v>10.5</v>
      </c>
      <c r="D133" s="36">
        <v>21.3</v>
      </c>
      <c r="E133" s="36">
        <v>1514.0</v>
      </c>
      <c r="F133" s="36">
        <v>1581.0</v>
      </c>
      <c r="G133" s="36">
        <v>1.04</v>
      </c>
      <c r="H133" s="36">
        <v>27.0</v>
      </c>
      <c r="I133" s="36">
        <v>1333.0</v>
      </c>
      <c r="J133" s="36">
        <v>35.4</v>
      </c>
      <c r="K133" s="36">
        <v>82.3</v>
      </c>
      <c r="L133" s="36">
        <v>141.0</v>
      </c>
      <c r="M133" s="36">
        <v>24.5</v>
      </c>
      <c r="N133" s="36">
        <v>0.34</v>
      </c>
      <c r="O133" s="36">
        <v>0.76</v>
      </c>
      <c r="P133" s="36">
        <v>1.49</v>
      </c>
      <c r="Q133" s="21">
        <f t="shared" si="3"/>
        <v>2250</v>
      </c>
      <c r="R133" s="21">
        <f t="shared" si="4"/>
        <v>900</v>
      </c>
    </row>
    <row r="134" ht="14.25" customHeight="1">
      <c r="A134" s="38">
        <v>0.2972222222222222</v>
      </c>
      <c r="B134" s="36">
        <v>3.0</v>
      </c>
      <c r="C134" s="36">
        <v>10.6</v>
      </c>
      <c r="D134" s="36">
        <v>21.6</v>
      </c>
      <c r="E134" s="36">
        <v>1537.0</v>
      </c>
      <c r="F134" s="36">
        <v>1619.0</v>
      </c>
      <c r="G134" s="36">
        <v>1.05</v>
      </c>
      <c r="H134" s="36">
        <v>26.0</v>
      </c>
      <c r="I134" s="36">
        <v>1380.0</v>
      </c>
      <c r="J134" s="36">
        <v>36.2</v>
      </c>
      <c r="K134" s="36">
        <v>81.9</v>
      </c>
      <c r="L134" s="36">
        <v>142.0</v>
      </c>
      <c r="M134" s="36">
        <v>24.5</v>
      </c>
      <c r="N134" s="36">
        <v>0.33</v>
      </c>
      <c r="O134" s="36">
        <v>0.76</v>
      </c>
      <c r="P134" s="36">
        <v>1.52</v>
      </c>
      <c r="Q134" s="21">
        <f t="shared" si="3"/>
        <v>2280</v>
      </c>
      <c r="R134" s="21">
        <f t="shared" si="4"/>
        <v>400</v>
      </c>
    </row>
    <row r="135" ht="14.25" customHeight="1">
      <c r="A135" s="38">
        <v>0.2986111111111111</v>
      </c>
      <c r="B135" s="36">
        <v>3.0</v>
      </c>
      <c r="C135" s="36">
        <v>10.7</v>
      </c>
      <c r="D135" s="36">
        <v>21.3</v>
      </c>
      <c r="E135" s="36">
        <v>1511.0</v>
      </c>
      <c r="F135" s="36">
        <v>1609.0</v>
      </c>
      <c r="G135" s="36">
        <v>1.06</v>
      </c>
      <c r="H135" s="36">
        <v>26.0</v>
      </c>
      <c r="I135" s="36">
        <v>1376.0</v>
      </c>
      <c r="J135" s="36">
        <v>36.0</v>
      </c>
      <c r="K135" s="36">
        <v>82.1</v>
      </c>
      <c r="L135" s="36">
        <v>142.0</v>
      </c>
      <c r="M135" s="36">
        <v>24.2</v>
      </c>
      <c r="N135" s="36">
        <v>0.33</v>
      </c>
      <c r="O135" s="36">
        <v>0.77</v>
      </c>
      <c r="P135" s="36">
        <v>1.53</v>
      </c>
      <c r="Q135" s="21">
        <f t="shared" si="3"/>
        <v>2300</v>
      </c>
      <c r="R135" s="21">
        <f t="shared" si="4"/>
        <v>100</v>
      </c>
    </row>
    <row r="136" ht="14.25" customHeight="1">
      <c r="A136" s="38">
        <v>0.3</v>
      </c>
      <c r="B136" s="36">
        <v>3.0</v>
      </c>
      <c r="C136" s="36">
        <v>10.7</v>
      </c>
      <c r="D136" s="36">
        <v>21.5</v>
      </c>
      <c r="E136" s="36">
        <v>1525.0</v>
      </c>
      <c r="F136" s="36">
        <v>1636.0</v>
      </c>
      <c r="G136" s="36">
        <v>1.07</v>
      </c>
      <c r="H136" s="36">
        <v>26.0</v>
      </c>
      <c r="I136" s="36">
        <v>1396.0</v>
      </c>
      <c r="J136" s="36">
        <v>36.6</v>
      </c>
      <c r="K136" s="36">
        <v>81.7</v>
      </c>
      <c r="L136" s="36">
        <v>143.0</v>
      </c>
      <c r="M136" s="36">
        <v>23.1</v>
      </c>
      <c r="N136" s="36">
        <v>0.33</v>
      </c>
      <c r="O136" s="36">
        <v>0.76</v>
      </c>
      <c r="P136" s="36">
        <v>1.53</v>
      </c>
      <c r="Q136" s="21">
        <f t="shared" si="3"/>
        <v>2290</v>
      </c>
      <c r="R136" s="21">
        <f t="shared" si="4"/>
        <v>1600</v>
      </c>
    </row>
    <row r="137" ht="14.25" customHeight="1">
      <c r="A137" s="38">
        <v>0.3013888888888889</v>
      </c>
      <c r="B137" s="36">
        <v>3.0</v>
      </c>
      <c r="C137" s="36">
        <v>10.9</v>
      </c>
      <c r="D137" s="36">
        <v>22.0</v>
      </c>
      <c r="E137" s="36">
        <v>1559.0</v>
      </c>
      <c r="F137" s="36">
        <v>1681.0</v>
      </c>
      <c r="G137" s="36">
        <v>1.08</v>
      </c>
      <c r="H137" s="36">
        <v>27.0</v>
      </c>
      <c r="I137" s="36">
        <v>1414.0</v>
      </c>
      <c r="J137" s="36">
        <v>37.6</v>
      </c>
      <c r="K137" s="36">
        <v>81.2</v>
      </c>
      <c r="L137" s="36">
        <v>144.0</v>
      </c>
      <c r="M137" s="36">
        <v>22.7</v>
      </c>
      <c r="N137" s="36">
        <v>0.33</v>
      </c>
      <c r="O137" s="36">
        <v>0.74</v>
      </c>
      <c r="P137" s="36">
        <v>1.51</v>
      </c>
      <c r="Q137" s="21">
        <f t="shared" si="3"/>
        <v>2250</v>
      </c>
      <c r="R137" s="21">
        <f t="shared" si="4"/>
        <v>1600</v>
      </c>
    </row>
    <row r="138" ht="14.25" customHeight="1">
      <c r="A138" s="38">
        <v>0.3034722222222222</v>
      </c>
      <c r="B138" s="36">
        <v>3.0</v>
      </c>
      <c r="C138" s="36">
        <v>11.0</v>
      </c>
      <c r="D138" s="36">
        <v>21.5</v>
      </c>
      <c r="E138" s="36">
        <v>1526.0</v>
      </c>
      <c r="F138" s="36">
        <v>1637.0</v>
      </c>
      <c r="G138" s="36">
        <v>1.07</v>
      </c>
      <c r="H138" s="36">
        <v>26.0</v>
      </c>
      <c r="I138" s="36">
        <v>1396.0</v>
      </c>
      <c r="J138" s="36">
        <v>36.6</v>
      </c>
      <c r="K138" s="36">
        <v>81.7</v>
      </c>
      <c r="L138" s="36">
        <v>144.0</v>
      </c>
      <c r="M138" s="36">
        <v>22.7</v>
      </c>
      <c r="N138" s="36">
        <v>0.33</v>
      </c>
      <c r="O138" s="36">
        <v>0.76</v>
      </c>
      <c r="P138" s="36">
        <v>1.53</v>
      </c>
      <c r="Q138" s="21">
        <f t="shared" si="3"/>
        <v>2290</v>
      </c>
      <c r="R138" s="21">
        <f t="shared" si="4"/>
        <v>0</v>
      </c>
    </row>
    <row r="139" ht="14.25" customHeight="1">
      <c r="A139" s="38">
        <v>0.30486111111111114</v>
      </c>
      <c r="B139" s="36">
        <v>3.0</v>
      </c>
      <c r="C139" s="36">
        <v>11.2</v>
      </c>
      <c r="D139" s="36">
        <v>21.4</v>
      </c>
      <c r="E139" s="36">
        <v>1518.0</v>
      </c>
      <c r="F139" s="36">
        <v>1645.0</v>
      </c>
      <c r="G139" s="36">
        <v>1.08</v>
      </c>
      <c r="H139" s="36">
        <v>26.0</v>
      </c>
      <c r="I139" s="36">
        <v>1411.0</v>
      </c>
      <c r="J139" s="36">
        <v>36.9</v>
      </c>
      <c r="K139" s="36">
        <v>81.6</v>
      </c>
      <c r="L139" s="36">
        <v>144.0</v>
      </c>
      <c r="M139" s="36">
        <v>22.7</v>
      </c>
      <c r="N139" s="36">
        <v>0.33</v>
      </c>
      <c r="O139" s="36">
        <v>0.76</v>
      </c>
      <c r="P139" s="36">
        <v>1.53</v>
      </c>
      <c r="Q139" s="21">
        <f t="shared" si="3"/>
        <v>2290</v>
      </c>
      <c r="R139" s="21">
        <f t="shared" si="4"/>
        <v>100</v>
      </c>
    </row>
    <row r="140" ht="14.25" customHeight="1">
      <c r="A140" s="38">
        <v>0.30625</v>
      </c>
      <c r="B140" s="36">
        <v>3.0</v>
      </c>
      <c r="C140" s="36">
        <v>11.2</v>
      </c>
      <c r="D140" s="36">
        <v>21.3</v>
      </c>
      <c r="E140" s="36">
        <v>1512.0</v>
      </c>
      <c r="F140" s="36">
        <v>1645.0</v>
      </c>
      <c r="G140" s="36">
        <v>1.09</v>
      </c>
      <c r="H140" s="36">
        <v>26.0</v>
      </c>
      <c r="I140" s="36">
        <v>1403.0</v>
      </c>
      <c r="J140" s="36">
        <v>37.0</v>
      </c>
      <c r="K140" s="36">
        <v>81.5</v>
      </c>
      <c r="L140" s="36">
        <v>144.0</v>
      </c>
      <c r="M140" s="36">
        <v>23.1</v>
      </c>
      <c r="N140" s="36">
        <v>0.33</v>
      </c>
      <c r="O140" s="36">
        <v>0.75</v>
      </c>
      <c r="P140" s="36">
        <v>1.53</v>
      </c>
      <c r="Q140" s="21">
        <f t="shared" si="3"/>
        <v>2280</v>
      </c>
      <c r="R140" s="21">
        <f t="shared" si="4"/>
        <v>900</v>
      </c>
    </row>
    <row r="141" ht="14.25" customHeight="1">
      <c r="A141" s="38">
        <v>0.3076388888888889</v>
      </c>
      <c r="B141" s="36">
        <v>3.0</v>
      </c>
      <c r="C141" s="36">
        <v>11.3</v>
      </c>
      <c r="D141" s="36">
        <v>21.1</v>
      </c>
      <c r="E141" s="36">
        <v>1495.0</v>
      </c>
      <c r="F141" s="36">
        <v>1626.0</v>
      </c>
      <c r="G141" s="36">
        <v>1.09</v>
      </c>
      <c r="H141" s="36">
        <v>27.0</v>
      </c>
      <c r="I141" s="36">
        <v>1383.0</v>
      </c>
      <c r="J141" s="36">
        <v>36.8</v>
      </c>
      <c r="K141" s="36">
        <v>81.7</v>
      </c>
      <c r="L141" s="36">
        <v>144.0</v>
      </c>
      <c r="M141" s="36">
        <v>22.9</v>
      </c>
      <c r="N141" s="36">
        <v>0.33</v>
      </c>
      <c r="O141" s="36">
        <v>0.74</v>
      </c>
      <c r="P141" s="36">
        <v>1.51</v>
      </c>
      <c r="Q141" s="21">
        <f t="shared" si="3"/>
        <v>2250</v>
      </c>
      <c r="R141" s="21">
        <f t="shared" si="4"/>
        <v>100</v>
      </c>
    </row>
    <row r="142" ht="14.25" customHeight="1">
      <c r="A142" s="38">
        <v>0.30972222222222223</v>
      </c>
      <c r="B142" s="36">
        <v>3.0</v>
      </c>
      <c r="C142" s="36">
        <v>11.4</v>
      </c>
      <c r="D142" s="36">
        <v>20.8</v>
      </c>
      <c r="E142" s="36">
        <v>1479.0</v>
      </c>
      <c r="F142" s="36">
        <v>1603.0</v>
      </c>
      <c r="G142" s="36">
        <v>1.08</v>
      </c>
      <c r="H142" s="36">
        <v>27.0</v>
      </c>
      <c r="I142" s="36">
        <v>1355.0</v>
      </c>
      <c r="J142" s="36">
        <v>36.3</v>
      </c>
      <c r="K142" s="36">
        <v>81.9</v>
      </c>
      <c r="L142" s="36">
        <v>144.0</v>
      </c>
      <c r="M142" s="36">
        <v>23.1</v>
      </c>
      <c r="N142" s="36">
        <v>0.34</v>
      </c>
      <c r="O142" s="36">
        <v>0.76</v>
      </c>
      <c r="P142" s="36">
        <v>1.48</v>
      </c>
      <c r="Q142" s="21">
        <f t="shared" si="3"/>
        <v>2240</v>
      </c>
      <c r="R142" s="21">
        <f t="shared" si="4"/>
        <v>900</v>
      </c>
    </row>
    <row r="143" ht="14.25" customHeight="1">
      <c r="A143" s="38">
        <v>0.3111111111111111</v>
      </c>
      <c r="B143" s="36">
        <v>3.0</v>
      </c>
      <c r="C143" s="36">
        <v>11.6</v>
      </c>
      <c r="D143" s="36">
        <v>20.7</v>
      </c>
      <c r="E143" s="36">
        <v>1469.0</v>
      </c>
      <c r="F143" s="36">
        <v>1594.0</v>
      </c>
      <c r="G143" s="36">
        <v>1.09</v>
      </c>
      <c r="H143" s="36">
        <v>27.0</v>
      </c>
      <c r="I143" s="36">
        <v>1324.0</v>
      </c>
      <c r="J143" s="36">
        <v>35.9</v>
      </c>
      <c r="K143" s="36">
        <v>82.1</v>
      </c>
      <c r="L143" s="36">
        <v>145.0</v>
      </c>
      <c r="M143" s="36">
        <v>23.1</v>
      </c>
      <c r="N143" s="36">
        <v>0.34</v>
      </c>
      <c r="O143" s="36">
        <v>0.76</v>
      </c>
      <c r="P143" s="36">
        <v>1.45</v>
      </c>
      <c r="Q143" s="21">
        <f t="shared" si="3"/>
        <v>2210</v>
      </c>
      <c r="R143" s="21">
        <f t="shared" si="4"/>
        <v>0</v>
      </c>
    </row>
    <row r="144" ht="14.25" customHeight="1">
      <c r="A144" s="38">
        <v>0.31319444444444444</v>
      </c>
      <c r="B144" s="36">
        <v>3.0</v>
      </c>
      <c r="C144" s="36">
        <v>11.7</v>
      </c>
      <c r="D144" s="36">
        <v>20.1</v>
      </c>
      <c r="E144" s="36">
        <v>1425.0</v>
      </c>
      <c r="F144" s="36">
        <v>1541.0</v>
      </c>
      <c r="G144" s="36">
        <v>1.08</v>
      </c>
      <c r="H144" s="36">
        <v>27.0</v>
      </c>
      <c r="I144" s="36">
        <v>1277.0</v>
      </c>
      <c r="J144" s="36">
        <v>34.7</v>
      </c>
      <c r="K144" s="36">
        <v>82.7</v>
      </c>
      <c r="L144" s="36">
        <v>145.0</v>
      </c>
      <c r="M144" s="36">
        <v>22.5</v>
      </c>
      <c r="N144" s="36">
        <v>0.35</v>
      </c>
      <c r="O144" s="36">
        <v>0.77</v>
      </c>
      <c r="P144" s="36">
        <v>1.44</v>
      </c>
      <c r="Q144" s="21">
        <f t="shared" si="3"/>
        <v>2210</v>
      </c>
      <c r="R144" s="21">
        <f t="shared" si="4"/>
        <v>0</v>
      </c>
    </row>
    <row r="145" ht="14.25" customHeight="1">
      <c r="A145" s="38">
        <v>0.3145833333333333</v>
      </c>
      <c r="B145" s="36">
        <v>3.0</v>
      </c>
      <c r="C145" s="36">
        <v>11.7</v>
      </c>
      <c r="D145" s="36">
        <v>20.8</v>
      </c>
      <c r="E145" s="36">
        <v>1474.0</v>
      </c>
      <c r="F145" s="36">
        <v>1595.0</v>
      </c>
      <c r="G145" s="36">
        <v>1.08</v>
      </c>
      <c r="H145" s="36">
        <v>27.0</v>
      </c>
      <c r="I145" s="36">
        <v>1309.0</v>
      </c>
      <c r="J145" s="36">
        <v>35.5</v>
      </c>
      <c r="K145" s="36">
        <v>82.3</v>
      </c>
      <c r="L145" s="36">
        <v>145.0</v>
      </c>
      <c r="M145" s="36">
        <v>21.6</v>
      </c>
      <c r="N145" s="36">
        <v>0.35</v>
      </c>
      <c r="O145" s="36">
        <v>0.77</v>
      </c>
      <c r="P145" s="36">
        <v>1.44</v>
      </c>
      <c r="Q145" s="21">
        <f t="shared" si="3"/>
        <v>2210</v>
      </c>
      <c r="R145" s="21">
        <f t="shared" si="4"/>
        <v>100</v>
      </c>
    </row>
    <row r="146" ht="14.25" customHeight="1">
      <c r="A146" s="38">
        <v>0.3159722222222222</v>
      </c>
      <c r="B146" s="36">
        <v>3.0</v>
      </c>
      <c r="C146" s="36">
        <v>11.9</v>
      </c>
      <c r="D146" s="36">
        <v>20.8</v>
      </c>
      <c r="E146" s="36">
        <v>1476.0</v>
      </c>
      <c r="F146" s="36">
        <v>1593.0</v>
      </c>
      <c r="G146" s="36">
        <v>1.08</v>
      </c>
      <c r="H146" s="36">
        <v>27.0</v>
      </c>
      <c r="I146" s="36">
        <v>1320.0</v>
      </c>
      <c r="J146" s="36">
        <v>35.7</v>
      </c>
      <c r="K146" s="36">
        <v>82.2</v>
      </c>
      <c r="L146" s="36">
        <v>146.0</v>
      </c>
      <c r="M146" s="36">
        <v>21.8</v>
      </c>
      <c r="N146" s="36">
        <v>0.35</v>
      </c>
      <c r="O146" s="36">
        <v>0.77</v>
      </c>
      <c r="P146" s="36">
        <v>1.45</v>
      </c>
      <c r="Q146" s="21">
        <f t="shared" si="3"/>
        <v>2220</v>
      </c>
      <c r="R146" s="21">
        <f t="shared" si="4"/>
        <v>400</v>
      </c>
    </row>
    <row r="147" ht="14.25" customHeight="1">
      <c r="A147" s="38">
        <v>0.3173611111111111</v>
      </c>
      <c r="B147" s="36">
        <v>3.0</v>
      </c>
      <c r="C147" s="36">
        <v>12.0</v>
      </c>
      <c r="D147" s="36">
        <v>21.5</v>
      </c>
      <c r="E147" s="36">
        <v>1524.0</v>
      </c>
      <c r="F147" s="36">
        <v>1648.0</v>
      </c>
      <c r="G147" s="36">
        <v>1.08</v>
      </c>
      <c r="H147" s="36">
        <v>27.0</v>
      </c>
      <c r="I147" s="36">
        <v>1355.0</v>
      </c>
      <c r="J147" s="36">
        <v>36.9</v>
      </c>
      <c r="K147" s="36">
        <v>81.6</v>
      </c>
      <c r="L147" s="36">
        <v>146.0</v>
      </c>
      <c r="M147" s="36">
        <v>21.8</v>
      </c>
      <c r="N147" s="36">
        <v>0.34</v>
      </c>
      <c r="O147" s="36">
        <v>0.75</v>
      </c>
      <c r="P147" s="36">
        <v>1.45</v>
      </c>
      <c r="Q147" s="21">
        <f t="shared" si="3"/>
        <v>2200</v>
      </c>
      <c r="R147" s="21">
        <f t="shared" si="4"/>
        <v>400</v>
      </c>
    </row>
    <row r="148" ht="14.25" customHeight="1">
      <c r="A148" s="38">
        <v>0.3194444444444444</v>
      </c>
      <c r="B148" s="36">
        <v>3.0</v>
      </c>
      <c r="C148" s="36">
        <v>12.1</v>
      </c>
      <c r="D148" s="36">
        <v>22.0</v>
      </c>
      <c r="E148" s="36">
        <v>1562.0</v>
      </c>
      <c r="F148" s="36">
        <v>1695.0</v>
      </c>
      <c r="G148" s="36">
        <v>1.08</v>
      </c>
      <c r="H148" s="36">
        <v>28.0</v>
      </c>
      <c r="I148" s="36">
        <v>1365.0</v>
      </c>
      <c r="J148" s="36">
        <v>37.6</v>
      </c>
      <c r="K148" s="36">
        <v>81.2</v>
      </c>
      <c r="L148" s="36">
        <v>146.0</v>
      </c>
      <c r="M148" s="36">
        <v>22.3</v>
      </c>
      <c r="N148" s="36">
        <v>0.34</v>
      </c>
      <c r="O148" s="36">
        <v>0.74</v>
      </c>
      <c r="P148" s="36">
        <v>1.44</v>
      </c>
      <c r="Q148" s="21">
        <f t="shared" si="3"/>
        <v>2180</v>
      </c>
      <c r="R148" s="21">
        <f t="shared" si="4"/>
        <v>100</v>
      </c>
    </row>
    <row r="149" ht="14.25" customHeight="1">
      <c r="A149" s="38">
        <v>0.32083333333333336</v>
      </c>
      <c r="B149" s="36">
        <v>3.0</v>
      </c>
      <c r="C149" s="36">
        <v>12.2</v>
      </c>
      <c r="D149" s="36">
        <v>22.5</v>
      </c>
      <c r="E149" s="36">
        <v>1595.0</v>
      </c>
      <c r="F149" s="36">
        <v>1732.0</v>
      </c>
      <c r="G149" s="36">
        <v>1.09</v>
      </c>
      <c r="H149" s="36">
        <v>27.0</v>
      </c>
      <c r="I149" s="36">
        <v>1410.0</v>
      </c>
      <c r="J149" s="36">
        <v>38.6</v>
      </c>
      <c r="K149" s="36">
        <v>80.7</v>
      </c>
      <c r="L149" s="36">
        <v>145.0</v>
      </c>
      <c r="M149" s="36">
        <v>22.5</v>
      </c>
      <c r="N149" s="36">
        <v>0.34</v>
      </c>
      <c r="O149" s="36">
        <v>0.74</v>
      </c>
      <c r="P149" s="36">
        <v>1.45</v>
      </c>
      <c r="Q149" s="21">
        <f t="shared" si="3"/>
        <v>2190</v>
      </c>
      <c r="R149" s="21">
        <f t="shared" si="4"/>
        <v>1600</v>
      </c>
    </row>
    <row r="150" ht="14.25" customHeight="1">
      <c r="A150" s="38">
        <v>0.32222222222222224</v>
      </c>
      <c r="B150" s="36">
        <v>3.0</v>
      </c>
      <c r="C150" s="36">
        <v>12.3</v>
      </c>
      <c r="D150" s="36">
        <v>22.3</v>
      </c>
      <c r="E150" s="36">
        <v>1580.0</v>
      </c>
      <c r="F150" s="36">
        <v>1722.0</v>
      </c>
      <c r="G150" s="36">
        <v>1.09</v>
      </c>
      <c r="H150" s="36">
        <v>27.0</v>
      </c>
      <c r="I150" s="36">
        <v>1439.0</v>
      </c>
      <c r="J150" s="36">
        <v>38.7</v>
      </c>
      <c r="K150" s="36">
        <v>80.7</v>
      </c>
      <c r="L150" s="36">
        <v>145.0</v>
      </c>
      <c r="M150" s="36">
        <v>22.5</v>
      </c>
      <c r="N150" s="36">
        <v>0.34</v>
      </c>
      <c r="O150" s="36">
        <v>0.75</v>
      </c>
      <c r="P150" s="36">
        <v>1.48</v>
      </c>
      <c r="Q150" s="21">
        <f t="shared" si="3"/>
        <v>2230</v>
      </c>
      <c r="R150" s="21">
        <f t="shared" si="4"/>
        <v>1600</v>
      </c>
    </row>
    <row r="151" ht="14.25" customHeight="1">
      <c r="A151" s="38">
        <v>0.3236111111111111</v>
      </c>
      <c r="B151" s="36">
        <v>3.0</v>
      </c>
      <c r="C151" s="36">
        <v>12.3</v>
      </c>
      <c r="D151" s="36">
        <v>22.4</v>
      </c>
      <c r="E151" s="36">
        <v>1590.0</v>
      </c>
      <c r="F151" s="36">
        <v>1731.0</v>
      </c>
      <c r="G151" s="36">
        <v>1.09</v>
      </c>
      <c r="H151" s="36">
        <v>27.0</v>
      </c>
      <c r="I151" s="36">
        <v>1418.0</v>
      </c>
      <c r="J151" s="36">
        <v>38.9</v>
      </c>
      <c r="K151" s="36">
        <v>80.6</v>
      </c>
      <c r="L151" s="36">
        <v>145.0</v>
      </c>
      <c r="M151" s="36">
        <v>22.7</v>
      </c>
      <c r="N151" s="36">
        <v>0.33</v>
      </c>
      <c r="O151" s="36">
        <v>0.73</v>
      </c>
      <c r="P151" s="36">
        <v>1.46</v>
      </c>
      <c r="Q151" s="21">
        <f t="shared" si="3"/>
        <v>2190</v>
      </c>
      <c r="R151" s="21">
        <f t="shared" si="4"/>
        <v>0</v>
      </c>
    </row>
    <row r="152" ht="14.25" customHeight="1">
      <c r="A152" s="38">
        <v>0.325</v>
      </c>
      <c r="B152" s="36">
        <v>3.0</v>
      </c>
      <c r="C152" s="36">
        <v>12.5</v>
      </c>
      <c r="D152" s="36">
        <v>21.9</v>
      </c>
      <c r="E152" s="36">
        <v>1557.0</v>
      </c>
      <c r="F152" s="36">
        <v>1704.0</v>
      </c>
      <c r="G152" s="36">
        <v>1.09</v>
      </c>
      <c r="H152" s="36">
        <v>27.0</v>
      </c>
      <c r="I152" s="36">
        <v>1400.0</v>
      </c>
      <c r="J152" s="36">
        <v>38.4</v>
      </c>
      <c r="K152" s="36">
        <v>80.8</v>
      </c>
      <c r="L152" s="36">
        <v>145.0</v>
      </c>
      <c r="M152" s="36">
        <v>22.7</v>
      </c>
      <c r="N152" s="36">
        <v>0.33</v>
      </c>
      <c r="O152" s="36">
        <v>0.73</v>
      </c>
      <c r="P152" s="36">
        <v>1.46</v>
      </c>
      <c r="Q152" s="21">
        <f t="shared" si="3"/>
        <v>2190</v>
      </c>
      <c r="R152" s="21">
        <f t="shared" si="4"/>
        <v>400</v>
      </c>
    </row>
    <row r="153" ht="14.25" customHeight="1">
      <c r="A153" s="38">
        <v>0.3263888888888889</v>
      </c>
      <c r="B153" s="36">
        <v>3.0</v>
      </c>
      <c r="C153" s="36">
        <v>12.6</v>
      </c>
      <c r="D153" s="36">
        <v>21.5</v>
      </c>
      <c r="E153" s="36">
        <v>1524.0</v>
      </c>
      <c r="F153" s="36">
        <v>1673.0</v>
      </c>
      <c r="G153" s="36">
        <v>1.1</v>
      </c>
      <c r="H153" s="36">
        <v>28.0</v>
      </c>
      <c r="I153" s="36">
        <v>1370.0</v>
      </c>
      <c r="J153" s="36">
        <v>37.8</v>
      </c>
      <c r="K153" s="36">
        <v>81.1</v>
      </c>
      <c r="L153" s="36">
        <v>145.0</v>
      </c>
      <c r="M153" s="36">
        <v>22.7</v>
      </c>
      <c r="N153" s="36">
        <v>0.33</v>
      </c>
      <c r="O153" s="36">
        <v>0.71</v>
      </c>
      <c r="P153" s="36">
        <v>1.46</v>
      </c>
      <c r="Q153" s="21">
        <f t="shared" si="3"/>
        <v>2170</v>
      </c>
      <c r="R153" s="21">
        <f t="shared" si="4"/>
        <v>16900</v>
      </c>
    </row>
    <row r="154" ht="14.25" customHeight="1">
      <c r="A154" s="38">
        <v>0.3284722222222222</v>
      </c>
      <c r="B154" s="36">
        <v>3.0</v>
      </c>
      <c r="C154" s="36">
        <v>12.7</v>
      </c>
      <c r="D154" s="36">
        <v>20.8</v>
      </c>
      <c r="E154" s="36">
        <v>1476.0</v>
      </c>
      <c r="F154" s="36">
        <v>1628.0</v>
      </c>
      <c r="G154" s="36">
        <v>1.1</v>
      </c>
      <c r="H154" s="36">
        <v>26.0</v>
      </c>
      <c r="I154" s="36">
        <v>1407.0</v>
      </c>
      <c r="J154" s="36">
        <v>36.7</v>
      </c>
      <c r="K154" s="36">
        <v>81.7</v>
      </c>
      <c r="L154" s="36">
        <v>145.0</v>
      </c>
      <c r="M154" s="36">
        <v>22.7</v>
      </c>
      <c r="N154" s="36">
        <v>0.34</v>
      </c>
      <c r="O154" s="36">
        <v>0.78</v>
      </c>
      <c r="P154" s="36">
        <v>1.52</v>
      </c>
      <c r="Q154" s="21">
        <f t="shared" si="3"/>
        <v>2300</v>
      </c>
      <c r="R154" s="21">
        <f t="shared" si="4"/>
        <v>0</v>
      </c>
    </row>
    <row r="155" ht="14.25" customHeight="1">
      <c r="A155" s="38">
        <v>0.3298611111111111</v>
      </c>
      <c r="B155" s="36">
        <v>3.0</v>
      </c>
      <c r="C155" s="36">
        <v>12.7</v>
      </c>
      <c r="D155" s="36">
        <v>20.8</v>
      </c>
      <c r="E155" s="36">
        <v>1476.0</v>
      </c>
      <c r="F155" s="36">
        <v>1628.0</v>
      </c>
      <c r="G155" s="36">
        <v>1.1</v>
      </c>
      <c r="H155" s="36">
        <v>26.0</v>
      </c>
      <c r="I155" s="36">
        <v>1407.0</v>
      </c>
      <c r="J155" s="36">
        <v>36.7</v>
      </c>
      <c r="K155" s="36">
        <v>81.7</v>
      </c>
      <c r="L155" s="36">
        <v>145.0</v>
      </c>
      <c r="M155" s="36">
        <v>22.7</v>
      </c>
      <c r="N155" s="36">
        <v>0.34</v>
      </c>
      <c r="O155" s="36">
        <v>0.78</v>
      </c>
      <c r="P155" s="36">
        <v>1.52</v>
      </c>
      <c r="Q155" s="21">
        <f t="shared" si="3"/>
        <v>2300</v>
      </c>
      <c r="R155" s="21">
        <f t="shared" si="4"/>
        <v>0</v>
      </c>
    </row>
    <row r="156" ht="14.25" customHeight="1">
      <c r="A156" s="38">
        <v>0.33194444444444443</v>
      </c>
      <c r="B156" s="36">
        <v>3.0</v>
      </c>
      <c r="C156" s="36">
        <v>12.9</v>
      </c>
      <c r="D156" s="36">
        <v>20.7</v>
      </c>
      <c r="E156" s="36">
        <v>1470.0</v>
      </c>
      <c r="F156" s="36">
        <v>1628.0</v>
      </c>
      <c r="G156" s="36">
        <v>1.11</v>
      </c>
      <c r="H156" s="36">
        <v>26.0</v>
      </c>
      <c r="I156" s="36">
        <v>1413.0</v>
      </c>
      <c r="J156" s="36">
        <v>36.7</v>
      </c>
      <c r="K156" s="36">
        <v>81.7</v>
      </c>
      <c r="L156" s="36">
        <v>145.0</v>
      </c>
      <c r="M156" s="36">
        <v>22.7</v>
      </c>
      <c r="N156" s="36">
        <v>0.34</v>
      </c>
      <c r="O156" s="36">
        <v>0.78</v>
      </c>
      <c r="P156" s="36">
        <v>1.52</v>
      </c>
      <c r="Q156" s="21">
        <f t="shared" si="3"/>
        <v>2300</v>
      </c>
      <c r="R156" s="21">
        <f t="shared" si="4"/>
        <v>400</v>
      </c>
    </row>
    <row r="157" ht="14.25" customHeight="1">
      <c r="A157" s="38">
        <v>0.3333333333333333</v>
      </c>
      <c r="B157" s="36">
        <v>3.0</v>
      </c>
      <c r="C157" s="36">
        <v>13.0</v>
      </c>
      <c r="D157" s="36">
        <v>20.7</v>
      </c>
      <c r="E157" s="36">
        <v>1470.0</v>
      </c>
      <c r="F157" s="36">
        <v>1633.0</v>
      </c>
      <c r="G157" s="36">
        <v>1.11</v>
      </c>
      <c r="H157" s="36">
        <v>26.0</v>
      </c>
      <c r="I157" s="36">
        <v>1395.0</v>
      </c>
      <c r="J157" s="36">
        <v>36.7</v>
      </c>
      <c r="K157" s="36">
        <v>81.7</v>
      </c>
      <c r="L157" s="36">
        <v>145.0</v>
      </c>
      <c r="M157" s="36">
        <v>22.5</v>
      </c>
      <c r="N157" s="36">
        <v>0.34</v>
      </c>
      <c r="O157" s="36">
        <v>0.77</v>
      </c>
      <c r="P157" s="36">
        <v>1.51</v>
      </c>
      <c r="Q157" s="21">
        <f t="shared" si="3"/>
        <v>2280</v>
      </c>
      <c r="R157" s="21">
        <f t="shared" si="4"/>
        <v>900</v>
      </c>
    </row>
    <row r="158" ht="14.25" customHeight="1">
      <c r="A158" s="38">
        <v>0.3347222222222222</v>
      </c>
      <c r="B158" s="36">
        <v>3.0</v>
      </c>
      <c r="C158" s="36">
        <v>13.1</v>
      </c>
      <c r="D158" s="36">
        <v>21.0</v>
      </c>
      <c r="E158" s="36">
        <v>1491.0</v>
      </c>
      <c r="F158" s="36">
        <v>1657.0</v>
      </c>
      <c r="G158" s="36">
        <v>1.11</v>
      </c>
      <c r="H158" s="36">
        <v>26.0</v>
      </c>
      <c r="I158" s="36">
        <v>1424.0</v>
      </c>
      <c r="J158" s="36">
        <v>37.0</v>
      </c>
      <c r="K158" s="36">
        <v>81.5</v>
      </c>
      <c r="L158" s="36">
        <v>145.0</v>
      </c>
      <c r="M158" s="36">
        <v>22.3</v>
      </c>
      <c r="N158" s="36">
        <v>0.35</v>
      </c>
      <c r="O158" s="36">
        <v>0.8</v>
      </c>
      <c r="P158" s="36">
        <v>1.51</v>
      </c>
      <c r="Q158" s="21">
        <f t="shared" si="3"/>
        <v>2310</v>
      </c>
      <c r="R158" s="21">
        <f t="shared" si="4"/>
        <v>400</v>
      </c>
    </row>
    <row r="159" ht="14.25" customHeight="1">
      <c r="A159" s="38">
        <v>0.33611111111111114</v>
      </c>
      <c r="B159" s="36">
        <v>3.0</v>
      </c>
      <c r="C159" s="36">
        <v>13.1</v>
      </c>
      <c r="D159" s="36">
        <v>21.2</v>
      </c>
      <c r="E159" s="36">
        <v>1503.0</v>
      </c>
      <c r="F159" s="36">
        <v>1669.0</v>
      </c>
      <c r="G159" s="36">
        <v>1.11</v>
      </c>
      <c r="H159" s="36">
        <v>26.0</v>
      </c>
      <c r="I159" s="36">
        <v>1454.0</v>
      </c>
      <c r="J159" s="36">
        <v>37.5</v>
      </c>
      <c r="K159" s="36">
        <v>81.3</v>
      </c>
      <c r="L159" s="36">
        <v>145.0</v>
      </c>
      <c r="M159" s="36">
        <v>22.1</v>
      </c>
      <c r="N159" s="36">
        <v>0.35</v>
      </c>
      <c r="O159" s="36">
        <v>0.82</v>
      </c>
      <c r="P159" s="36">
        <v>1.51</v>
      </c>
      <c r="Q159" s="21">
        <f t="shared" si="3"/>
        <v>2330</v>
      </c>
      <c r="R159" s="21">
        <f t="shared" si="4"/>
        <v>0</v>
      </c>
    </row>
    <row r="160" ht="14.25" customHeight="1">
      <c r="A160" s="38">
        <v>0.3375</v>
      </c>
      <c r="B160" s="36">
        <v>3.0</v>
      </c>
      <c r="C160" s="36">
        <v>13.3</v>
      </c>
      <c r="D160" s="36">
        <v>21.2</v>
      </c>
      <c r="E160" s="36">
        <v>1503.0</v>
      </c>
      <c r="F160" s="36">
        <v>1669.0</v>
      </c>
      <c r="G160" s="36">
        <v>1.11</v>
      </c>
      <c r="H160" s="36">
        <v>26.0</v>
      </c>
      <c r="I160" s="36">
        <v>1454.0</v>
      </c>
      <c r="J160" s="36">
        <v>37.5</v>
      </c>
      <c r="K160" s="36">
        <v>81.3</v>
      </c>
      <c r="L160" s="36">
        <v>145.0</v>
      </c>
      <c r="M160" s="36">
        <v>22.1</v>
      </c>
      <c r="N160" s="36">
        <v>0.35</v>
      </c>
      <c r="O160" s="36">
        <v>0.82</v>
      </c>
      <c r="P160" s="36">
        <v>1.51</v>
      </c>
      <c r="Q160" s="21">
        <f t="shared" si="3"/>
        <v>2330</v>
      </c>
      <c r="R160" s="21">
        <f t="shared" si="4"/>
        <v>14400</v>
      </c>
    </row>
    <row r="161" ht="14.25" customHeight="1">
      <c r="A161" s="38">
        <v>0.33958333333333335</v>
      </c>
      <c r="B161" s="36">
        <v>3.0</v>
      </c>
      <c r="C161" s="36">
        <v>13.4</v>
      </c>
      <c r="D161" s="36">
        <v>21.4</v>
      </c>
      <c r="E161" s="36">
        <v>1520.0</v>
      </c>
      <c r="F161" s="36">
        <v>1680.0</v>
      </c>
      <c r="G161" s="36">
        <v>1.11</v>
      </c>
      <c r="H161" s="36">
        <v>27.0</v>
      </c>
      <c r="I161" s="36">
        <v>1384.0</v>
      </c>
      <c r="J161" s="36">
        <v>37.6</v>
      </c>
      <c r="K161" s="36">
        <v>81.3</v>
      </c>
      <c r="L161" s="36">
        <v>145.0</v>
      </c>
      <c r="M161" s="36">
        <v>22.1</v>
      </c>
      <c r="N161" s="36">
        <v>0.34</v>
      </c>
      <c r="O161" s="36">
        <v>0.76</v>
      </c>
      <c r="P161" s="36">
        <v>1.45</v>
      </c>
      <c r="Q161" s="21">
        <f t="shared" si="3"/>
        <v>2210</v>
      </c>
      <c r="R161" s="21">
        <f t="shared" si="4"/>
        <v>0</v>
      </c>
    </row>
    <row r="162" ht="14.25" customHeight="1">
      <c r="A162" s="38">
        <v>0.34097222222222223</v>
      </c>
      <c r="B162" s="36">
        <v>3.0</v>
      </c>
      <c r="C162" s="36">
        <v>13.4</v>
      </c>
      <c r="D162" s="36">
        <v>20.8</v>
      </c>
      <c r="E162" s="36">
        <v>1473.0</v>
      </c>
      <c r="F162" s="36">
        <v>1621.0</v>
      </c>
      <c r="G162" s="36">
        <v>1.1</v>
      </c>
      <c r="H162" s="36">
        <v>27.0</v>
      </c>
      <c r="I162" s="36">
        <v>1339.0</v>
      </c>
      <c r="J162" s="36">
        <v>36.3</v>
      </c>
      <c r="K162" s="36">
        <v>81.9</v>
      </c>
      <c r="L162" s="36">
        <v>145.0</v>
      </c>
      <c r="M162" s="36">
        <v>22.5</v>
      </c>
      <c r="N162" s="36">
        <v>0.34</v>
      </c>
      <c r="O162" s="36">
        <v>0.75</v>
      </c>
      <c r="P162" s="36">
        <v>1.46</v>
      </c>
      <c r="Q162" s="21">
        <f t="shared" si="3"/>
        <v>2210</v>
      </c>
      <c r="R162" s="21">
        <f t="shared" si="4"/>
        <v>400</v>
      </c>
    </row>
    <row r="163" ht="14.25" customHeight="1">
      <c r="A163" s="38">
        <v>0.3423611111111111</v>
      </c>
      <c r="B163" s="36">
        <v>3.0</v>
      </c>
      <c r="C163" s="36">
        <v>13.6</v>
      </c>
      <c r="D163" s="36">
        <v>21.0</v>
      </c>
      <c r="E163" s="36">
        <v>1494.0</v>
      </c>
      <c r="F163" s="36">
        <v>1633.0</v>
      </c>
      <c r="G163" s="36">
        <v>1.09</v>
      </c>
      <c r="H163" s="36">
        <v>27.0</v>
      </c>
      <c r="I163" s="36">
        <v>1326.0</v>
      </c>
      <c r="J163" s="36">
        <v>36.3</v>
      </c>
      <c r="K163" s="36">
        <v>81.9</v>
      </c>
      <c r="L163" s="36">
        <v>145.0</v>
      </c>
      <c r="M163" s="36">
        <v>22.7</v>
      </c>
      <c r="N163" s="36">
        <v>0.34</v>
      </c>
      <c r="O163" s="36">
        <v>0.74</v>
      </c>
      <c r="P163" s="36">
        <v>1.45</v>
      </c>
      <c r="Q163" s="21">
        <f t="shared" si="3"/>
        <v>2190</v>
      </c>
      <c r="R163" s="21">
        <f t="shared" si="4"/>
        <v>900</v>
      </c>
    </row>
    <row r="164" ht="14.25" customHeight="1">
      <c r="A164" s="38">
        <v>0.34375</v>
      </c>
      <c r="B164" s="36">
        <v>3.0</v>
      </c>
      <c r="C164" s="36">
        <v>13.6</v>
      </c>
      <c r="D164" s="36">
        <v>21.6</v>
      </c>
      <c r="E164" s="36">
        <v>1533.0</v>
      </c>
      <c r="F164" s="36">
        <v>1676.0</v>
      </c>
      <c r="G164" s="36">
        <v>1.09</v>
      </c>
      <c r="H164" s="36">
        <v>28.0</v>
      </c>
      <c r="I164" s="36">
        <v>1342.0</v>
      </c>
      <c r="J164" s="36">
        <v>37.3</v>
      </c>
      <c r="K164" s="36">
        <v>81.4</v>
      </c>
      <c r="L164" s="36">
        <v>144.0</v>
      </c>
      <c r="M164" s="36">
        <v>22.9</v>
      </c>
      <c r="N164" s="36">
        <v>0.34</v>
      </c>
      <c r="O164" s="36">
        <v>0.74</v>
      </c>
      <c r="P164" s="36">
        <v>1.42</v>
      </c>
      <c r="Q164" s="21">
        <f t="shared" si="3"/>
        <v>2160</v>
      </c>
      <c r="R164" s="21">
        <f t="shared" si="4"/>
        <v>900</v>
      </c>
    </row>
    <row r="165" ht="14.25" customHeight="1">
      <c r="A165" s="38">
        <v>0.3451388888888889</v>
      </c>
      <c r="B165" s="36">
        <v>3.0</v>
      </c>
      <c r="C165" s="36">
        <v>13.7</v>
      </c>
      <c r="D165" s="36">
        <v>21.6</v>
      </c>
      <c r="E165" s="36">
        <v>1531.0</v>
      </c>
      <c r="F165" s="36">
        <v>1670.0</v>
      </c>
      <c r="G165" s="36">
        <v>1.09</v>
      </c>
      <c r="H165" s="36">
        <v>27.0</v>
      </c>
      <c r="I165" s="36">
        <v>1366.0</v>
      </c>
      <c r="J165" s="36">
        <v>37.4</v>
      </c>
      <c r="K165" s="36">
        <v>81.3</v>
      </c>
      <c r="L165" s="36">
        <v>144.0</v>
      </c>
      <c r="M165" s="36">
        <v>23.1</v>
      </c>
      <c r="N165" s="36">
        <v>0.34</v>
      </c>
      <c r="O165" s="36">
        <v>0.74</v>
      </c>
      <c r="P165" s="36">
        <v>1.45</v>
      </c>
      <c r="Q165" s="21">
        <f t="shared" si="3"/>
        <v>2190</v>
      </c>
      <c r="R165" s="21">
        <f t="shared" si="4"/>
        <v>100</v>
      </c>
    </row>
    <row r="166" ht="14.25" customHeight="1">
      <c r="A166" s="38">
        <v>0.3472222222222222</v>
      </c>
      <c r="B166" s="36">
        <v>3.0</v>
      </c>
      <c r="C166" s="36">
        <v>13.8</v>
      </c>
      <c r="D166" s="36">
        <v>21.4</v>
      </c>
      <c r="E166" s="36">
        <v>1521.0</v>
      </c>
      <c r="F166" s="36">
        <v>1659.0</v>
      </c>
      <c r="G166" s="36">
        <v>1.09</v>
      </c>
      <c r="H166" s="36">
        <v>27.0</v>
      </c>
      <c r="I166" s="36">
        <v>1372.0</v>
      </c>
      <c r="J166" s="36">
        <v>37.4</v>
      </c>
      <c r="K166" s="36">
        <v>81.3</v>
      </c>
      <c r="L166" s="36">
        <v>144.0</v>
      </c>
      <c r="M166" s="36">
        <v>23.1</v>
      </c>
      <c r="N166" s="36">
        <v>0.33</v>
      </c>
      <c r="O166" s="36">
        <v>0.73</v>
      </c>
      <c r="P166" s="36">
        <v>1.47</v>
      </c>
      <c r="Q166" s="21">
        <f t="shared" si="3"/>
        <v>2200</v>
      </c>
      <c r="R166" s="21">
        <f t="shared" si="4"/>
        <v>0</v>
      </c>
    </row>
    <row r="167" ht="14.25" customHeight="1">
      <c r="A167" s="38">
        <v>0.3486111111111111</v>
      </c>
      <c r="B167" s="36">
        <v>3.0</v>
      </c>
      <c r="C167" s="36">
        <v>14.0</v>
      </c>
      <c r="D167" s="36">
        <v>21.4</v>
      </c>
      <c r="E167" s="36">
        <v>1520.0</v>
      </c>
      <c r="F167" s="36">
        <v>1659.0</v>
      </c>
      <c r="G167" s="36">
        <v>1.09</v>
      </c>
      <c r="H167" s="36">
        <v>27.0</v>
      </c>
      <c r="I167" s="36">
        <v>1372.0</v>
      </c>
      <c r="J167" s="36">
        <v>37.4</v>
      </c>
      <c r="K167" s="36">
        <v>81.3</v>
      </c>
      <c r="L167" s="36">
        <v>144.0</v>
      </c>
      <c r="M167" s="36">
        <v>23.1</v>
      </c>
      <c r="N167" s="36">
        <v>0.33</v>
      </c>
      <c r="O167" s="36">
        <v>0.73</v>
      </c>
      <c r="P167" s="36">
        <v>1.47</v>
      </c>
      <c r="Q167" s="21">
        <f t="shared" si="3"/>
        <v>2200</v>
      </c>
      <c r="R167" s="21">
        <f t="shared" si="4"/>
        <v>1600</v>
      </c>
    </row>
    <row r="168" ht="14.25" customHeight="1">
      <c r="A168" s="38">
        <v>0.35</v>
      </c>
      <c r="B168" s="36">
        <v>3.0</v>
      </c>
      <c r="C168" s="36">
        <v>14.0</v>
      </c>
      <c r="D168" s="36">
        <v>22.1</v>
      </c>
      <c r="E168" s="36">
        <v>1572.0</v>
      </c>
      <c r="F168" s="36">
        <v>1717.0</v>
      </c>
      <c r="G168" s="36">
        <v>1.09</v>
      </c>
      <c r="H168" s="36">
        <v>28.0</v>
      </c>
      <c r="I168" s="36">
        <v>1397.0</v>
      </c>
      <c r="J168" s="36">
        <v>38.9</v>
      </c>
      <c r="K168" s="36">
        <v>80.6</v>
      </c>
      <c r="L168" s="36">
        <v>145.0</v>
      </c>
      <c r="M168" s="36">
        <v>22.7</v>
      </c>
      <c r="N168" s="36">
        <v>0.33</v>
      </c>
      <c r="O168" s="36">
        <v>0.72</v>
      </c>
      <c r="P168" s="36">
        <v>1.44</v>
      </c>
      <c r="Q168" s="21">
        <f t="shared" si="3"/>
        <v>2160</v>
      </c>
      <c r="R168" s="21">
        <f t="shared" si="4"/>
        <v>1600</v>
      </c>
    </row>
    <row r="169" ht="14.25" customHeight="1">
      <c r="A169" s="38">
        <v>0.35138888888888886</v>
      </c>
      <c r="B169" s="36">
        <v>3.0</v>
      </c>
      <c r="C169" s="36">
        <v>14.1</v>
      </c>
      <c r="D169" s="36">
        <v>22.4</v>
      </c>
      <c r="E169" s="36">
        <v>1590.0</v>
      </c>
      <c r="F169" s="36">
        <v>1733.0</v>
      </c>
      <c r="G169" s="36">
        <v>1.09</v>
      </c>
      <c r="H169" s="36">
        <v>28.0</v>
      </c>
      <c r="I169" s="36">
        <v>1395.0</v>
      </c>
      <c r="J169" s="36">
        <v>39.6</v>
      </c>
      <c r="K169" s="36">
        <v>80.2</v>
      </c>
      <c r="L169" s="36">
        <v>146.0</v>
      </c>
      <c r="M169" s="36">
        <v>22.1</v>
      </c>
      <c r="N169" s="36">
        <v>0.33</v>
      </c>
      <c r="O169" s="36">
        <v>0.71</v>
      </c>
      <c r="P169" s="36">
        <v>1.41</v>
      </c>
      <c r="Q169" s="21">
        <f t="shared" si="3"/>
        <v>2120</v>
      </c>
      <c r="R169" s="21">
        <f t="shared" si="4"/>
        <v>400</v>
      </c>
    </row>
    <row r="170" ht="14.25" customHeight="1">
      <c r="A170" s="38">
        <v>0.3527777777777778</v>
      </c>
      <c r="B170" s="36">
        <v>3.0</v>
      </c>
      <c r="C170" s="36">
        <v>14.3</v>
      </c>
      <c r="D170" s="36">
        <v>22.4</v>
      </c>
      <c r="E170" s="36">
        <v>1593.0</v>
      </c>
      <c r="F170" s="36">
        <v>1740.0</v>
      </c>
      <c r="G170" s="36">
        <v>1.09</v>
      </c>
      <c r="H170" s="36">
        <v>29.0</v>
      </c>
      <c r="I170" s="36">
        <v>1391.0</v>
      </c>
      <c r="J170" s="36">
        <v>39.9</v>
      </c>
      <c r="K170" s="36">
        <v>80.1</v>
      </c>
      <c r="L170" s="36">
        <v>147.0</v>
      </c>
      <c r="M170" s="36">
        <v>21.8</v>
      </c>
      <c r="N170" s="36">
        <v>0.34</v>
      </c>
      <c r="O170" s="36">
        <v>0.72</v>
      </c>
      <c r="P170" s="36">
        <v>1.38</v>
      </c>
      <c r="Q170" s="21">
        <f t="shared" si="3"/>
        <v>2100</v>
      </c>
      <c r="R170" s="21">
        <f t="shared" si="4"/>
        <v>0</v>
      </c>
    </row>
    <row r="171" ht="14.25" customHeight="1">
      <c r="A171" s="38">
        <v>0.3541666666666667</v>
      </c>
      <c r="B171" s="36">
        <v>3.0</v>
      </c>
      <c r="C171" s="36">
        <v>14.3</v>
      </c>
      <c r="D171" s="36">
        <v>22.1</v>
      </c>
      <c r="E171" s="36">
        <v>1567.0</v>
      </c>
      <c r="F171" s="36">
        <v>1709.0</v>
      </c>
      <c r="G171" s="36">
        <v>1.09</v>
      </c>
      <c r="H171" s="36">
        <v>29.0</v>
      </c>
      <c r="I171" s="36">
        <v>1366.0</v>
      </c>
      <c r="J171" s="36">
        <v>39.0</v>
      </c>
      <c r="K171" s="36">
        <v>80.5</v>
      </c>
      <c r="L171" s="36">
        <v>148.0</v>
      </c>
      <c r="M171" s="36">
        <v>20.6</v>
      </c>
      <c r="N171" s="36">
        <v>0.35</v>
      </c>
      <c r="O171" s="36">
        <v>0.73</v>
      </c>
      <c r="P171" s="36">
        <v>1.37</v>
      </c>
      <c r="Q171" s="21">
        <f t="shared" si="3"/>
        <v>2100</v>
      </c>
      <c r="R171" s="21">
        <f t="shared" si="4"/>
        <v>1600</v>
      </c>
    </row>
    <row r="172" ht="14.25" customHeight="1">
      <c r="A172" s="38">
        <v>0.35555555555555557</v>
      </c>
      <c r="B172" s="36">
        <v>3.0</v>
      </c>
      <c r="C172" s="36">
        <v>14.5</v>
      </c>
      <c r="D172" s="36">
        <v>21.9</v>
      </c>
      <c r="E172" s="36">
        <v>1554.0</v>
      </c>
      <c r="F172" s="36">
        <v>1689.0</v>
      </c>
      <c r="G172" s="36">
        <v>1.09</v>
      </c>
      <c r="H172" s="36">
        <v>29.0</v>
      </c>
      <c r="I172" s="36">
        <v>1318.0</v>
      </c>
      <c r="J172" s="36">
        <v>38.4</v>
      </c>
      <c r="K172" s="36">
        <v>80.8</v>
      </c>
      <c r="L172" s="36">
        <v>149.0</v>
      </c>
      <c r="M172" s="36">
        <v>20.6</v>
      </c>
      <c r="N172" s="36">
        <v>0.35</v>
      </c>
      <c r="O172" s="36">
        <v>0.71</v>
      </c>
      <c r="P172" s="36">
        <v>1.35</v>
      </c>
      <c r="Q172" s="21">
        <f t="shared" si="3"/>
        <v>2060</v>
      </c>
      <c r="R172" s="21">
        <f t="shared" si="4"/>
        <v>2500</v>
      </c>
    </row>
    <row r="173" ht="14.25" customHeight="1">
      <c r="A173" s="38">
        <v>0.35694444444444445</v>
      </c>
      <c r="B173" s="36">
        <v>3.0</v>
      </c>
      <c r="C173" s="36">
        <v>14.6</v>
      </c>
      <c r="D173" s="36">
        <v>22.5</v>
      </c>
      <c r="E173" s="36">
        <v>1597.0</v>
      </c>
      <c r="F173" s="36">
        <v>1737.0</v>
      </c>
      <c r="G173" s="36">
        <v>1.09</v>
      </c>
      <c r="H173" s="36">
        <v>30.0</v>
      </c>
      <c r="I173" s="36">
        <v>1318.0</v>
      </c>
      <c r="J173" s="36">
        <v>39.3</v>
      </c>
      <c r="K173" s="36">
        <v>80.4</v>
      </c>
      <c r="L173" s="36">
        <v>150.0</v>
      </c>
      <c r="M173" s="36">
        <v>20.0</v>
      </c>
      <c r="N173" s="36">
        <v>0.35</v>
      </c>
      <c r="O173" s="36">
        <v>0.7</v>
      </c>
      <c r="P173" s="36">
        <v>1.31</v>
      </c>
      <c r="Q173" s="21">
        <f t="shared" si="3"/>
        <v>2010</v>
      </c>
      <c r="R173" s="21">
        <f t="shared" si="4"/>
        <v>0</v>
      </c>
    </row>
    <row r="174" ht="14.25" customHeight="1">
      <c r="A174" s="38">
        <v>0.35833333333333334</v>
      </c>
      <c r="B174" s="36">
        <v>3.0</v>
      </c>
      <c r="C174" s="36">
        <v>14.6</v>
      </c>
      <c r="D174" s="36">
        <v>22.9</v>
      </c>
      <c r="E174" s="36">
        <v>1625.0</v>
      </c>
      <c r="F174" s="36">
        <v>1775.0</v>
      </c>
      <c r="G174" s="36">
        <v>1.09</v>
      </c>
      <c r="H174" s="36">
        <v>30.0</v>
      </c>
      <c r="I174" s="36">
        <v>1337.0</v>
      </c>
      <c r="J174" s="36">
        <v>40.0</v>
      </c>
      <c r="K174" s="36">
        <v>80.0</v>
      </c>
      <c r="L174" s="36">
        <v>150.0</v>
      </c>
      <c r="M174" s="36">
        <v>19.2</v>
      </c>
      <c r="N174" s="36">
        <v>0.35</v>
      </c>
      <c r="O174" s="36">
        <v>0.71</v>
      </c>
      <c r="P174" s="36">
        <v>1.3</v>
      </c>
      <c r="Q174" s="21">
        <f t="shared" si="3"/>
        <v>2010</v>
      </c>
      <c r="R174" s="21">
        <f t="shared" si="4"/>
        <v>0</v>
      </c>
    </row>
    <row r="175" ht="14.25" customHeight="1">
      <c r="A175" s="38">
        <v>0.3597222222222222</v>
      </c>
      <c r="B175" s="36">
        <v>3.0</v>
      </c>
      <c r="C175" s="36">
        <v>14.7</v>
      </c>
      <c r="D175" s="36">
        <v>22.9</v>
      </c>
      <c r="E175" s="36">
        <v>1625.0</v>
      </c>
      <c r="F175" s="36">
        <v>1775.0</v>
      </c>
      <c r="G175" s="36">
        <v>1.09</v>
      </c>
      <c r="H175" s="36">
        <v>30.0</v>
      </c>
      <c r="I175" s="36">
        <v>1337.0</v>
      </c>
      <c r="J175" s="36">
        <v>40.0</v>
      </c>
      <c r="K175" s="36">
        <v>80.0</v>
      </c>
      <c r="L175" s="36">
        <v>151.0</v>
      </c>
      <c r="M175" s="36">
        <v>19.2</v>
      </c>
      <c r="N175" s="36">
        <v>0.35</v>
      </c>
      <c r="O175" s="36">
        <v>0.71</v>
      </c>
      <c r="P175" s="36">
        <v>1.3</v>
      </c>
      <c r="Q175" s="21">
        <f t="shared" si="3"/>
        <v>2010</v>
      </c>
      <c r="R175" s="21">
        <f t="shared" si="4"/>
        <v>400</v>
      </c>
    </row>
    <row r="176" ht="14.25" customHeight="1">
      <c r="A176" s="38">
        <v>0.3611111111111111</v>
      </c>
      <c r="B176" s="36">
        <v>3.0</v>
      </c>
      <c r="C176" s="36">
        <v>14.8</v>
      </c>
      <c r="D176" s="36">
        <v>23.1</v>
      </c>
      <c r="E176" s="36">
        <v>1642.0</v>
      </c>
      <c r="F176" s="36">
        <v>1807.0</v>
      </c>
      <c r="G176" s="36">
        <v>1.1</v>
      </c>
      <c r="H176" s="36">
        <v>30.0</v>
      </c>
      <c r="I176" s="36">
        <v>1382.0</v>
      </c>
      <c r="J176" s="36">
        <v>40.8</v>
      </c>
      <c r="K176" s="36">
        <v>79.6</v>
      </c>
      <c r="L176" s="36">
        <v>152.0</v>
      </c>
      <c r="M176" s="36">
        <v>18.8</v>
      </c>
      <c r="N176" s="36">
        <v>0.36</v>
      </c>
      <c r="O176" s="36">
        <v>0.72</v>
      </c>
      <c r="P176" s="36">
        <v>1.31</v>
      </c>
      <c r="Q176" s="21">
        <f t="shared" si="3"/>
        <v>2030</v>
      </c>
      <c r="R176" s="21">
        <f t="shared" si="4"/>
        <v>100</v>
      </c>
    </row>
    <row r="177" ht="14.25" customHeight="1">
      <c r="A177" s="38">
        <v>0.3625</v>
      </c>
      <c r="B177" s="36">
        <v>3.0</v>
      </c>
      <c r="C177" s="36">
        <v>14.9</v>
      </c>
      <c r="D177" s="36">
        <v>23.4</v>
      </c>
      <c r="E177" s="36">
        <v>1659.0</v>
      </c>
      <c r="F177" s="36">
        <v>1838.0</v>
      </c>
      <c r="G177" s="36">
        <v>1.11</v>
      </c>
      <c r="H177" s="36">
        <v>30.0</v>
      </c>
      <c r="I177" s="36">
        <v>1399.0</v>
      </c>
      <c r="J177" s="36">
        <v>41.6</v>
      </c>
      <c r="K177" s="36">
        <v>79.2</v>
      </c>
      <c r="L177" s="36">
        <v>153.0</v>
      </c>
      <c r="M177" s="36">
        <v>18.1</v>
      </c>
      <c r="N177" s="36">
        <v>0.35</v>
      </c>
      <c r="O177" s="36">
        <v>0.7</v>
      </c>
      <c r="P177" s="36">
        <v>1.32</v>
      </c>
      <c r="Q177" s="21">
        <f t="shared" si="3"/>
        <v>2020</v>
      </c>
      <c r="R177" s="21">
        <f t="shared" si="4"/>
        <v>0</v>
      </c>
    </row>
    <row r="178" ht="14.25" customHeight="1">
      <c r="A178" s="38">
        <v>0.3638888888888889</v>
      </c>
      <c r="B178" s="36">
        <v>3.0</v>
      </c>
      <c r="C178" s="36">
        <v>15.0</v>
      </c>
      <c r="D178" s="36">
        <v>23.3</v>
      </c>
      <c r="E178" s="36">
        <v>1655.0</v>
      </c>
      <c r="F178" s="36">
        <v>1847.0</v>
      </c>
      <c r="G178" s="36">
        <v>1.12</v>
      </c>
      <c r="H178" s="36">
        <v>30.0</v>
      </c>
      <c r="I178" s="36">
        <v>1411.0</v>
      </c>
      <c r="J178" s="36">
        <v>41.8</v>
      </c>
      <c r="K178" s="36">
        <v>79.1</v>
      </c>
      <c r="L178" s="36">
        <v>154.0</v>
      </c>
      <c r="M178" s="36">
        <v>18.1</v>
      </c>
      <c r="N178" s="36">
        <v>0.34</v>
      </c>
      <c r="O178" s="36">
        <v>0.69</v>
      </c>
      <c r="P178" s="36">
        <v>1.33</v>
      </c>
      <c r="Q178" s="21">
        <f t="shared" si="3"/>
        <v>2020</v>
      </c>
      <c r="R178" s="21">
        <f t="shared" si="4"/>
        <v>100</v>
      </c>
    </row>
    <row r="179" ht="14.25" customHeight="1">
      <c r="A179" s="38">
        <v>0.36527777777777776</v>
      </c>
      <c r="B179" s="36">
        <v>3.0</v>
      </c>
      <c r="C179" s="36">
        <v>15.1</v>
      </c>
      <c r="D179" s="36">
        <v>23.6</v>
      </c>
      <c r="E179" s="36">
        <v>1678.0</v>
      </c>
      <c r="F179" s="36">
        <v>1875.0</v>
      </c>
      <c r="G179" s="36">
        <v>1.12</v>
      </c>
      <c r="H179" s="36">
        <v>30.0</v>
      </c>
      <c r="I179" s="36">
        <v>1434.0</v>
      </c>
      <c r="J179" s="36">
        <v>42.4</v>
      </c>
      <c r="K179" s="36">
        <v>78.8</v>
      </c>
      <c r="L179" s="36">
        <v>155.0</v>
      </c>
      <c r="M179" s="36">
        <v>17.3</v>
      </c>
      <c r="N179" s="36">
        <v>0.34</v>
      </c>
      <c r="O179" s="36">
        <v>0.69</v>
      </c>
      <c r="P179" s="36">
        <v>1.34</v>
      </c>
      <c r="Q179" s="21">
        <f t="shared" si="3"/>
        <v>2030</v>
      </c>
      <c r="R179" s="21">
        <f t="shared" si="4"/>
        <v>0</v>
      </c>
    </row>
    <row r="180" ht="14.25" customHeight="1">
      <c r="A180" s="38">
        <v>0.36666666666666664</v>
      </c>
      <c r="B180" s="36">
        <v>3.0</v>
      </c>
      <c r="C180" s="36">
        <v>15.1</v>
      </c>
      <c r="D180" s="36">
        <v>23.3</v>
      </c>
      <c r="E180" s="36">
        <v>1656.0</v>
      </c>
      <c r="F180" s="36">
        <v>1847.0</v>
      </c>
      <c r="G180" s="36">
        <v>1.12</v>
      </c>
      <c r="H180" s="36">
        <v>30.0</v>
      </c>
      <c r="I180" s="36">
        <v>1414.0</v>
      </c>
      <c r="J180" s="36">
        <v>41.8</v>
      </c>
      <c r="K180" s="36">
        <v>79.2</v>
      </c>
      <c r="L180" s="36">
        <v>155.0</v>
      </c>
      <c r="M180" s="36">
        <v>16.7</v>
      </c>
      <c r="N180" s="36">
        <v>0.34</v>
      </c>
      <c r="O180" s="36">
        <v>0.7</v>
      </c>
      <c r="P180" s="36">
        <v>1.33</v>
      </c>
      <c r="Q180" s="21">
        <f t="shared" si="3"/>
        <v>2030</v>
      </c>
      <c r="R180" s="21">
        <f t="shared" si="4"/>
        <v>100</v>
      </c>
    </row>
    <row r="181" ht="14.25" customHeight="1">
      <c r="A181" s="38">
        <v>0.3680555555555556</v>
      </c>
      <c r="B181" s="36">
        <v>3.0</v>
      </c>
      <c r="C181" s="36">
        <v>15.3</v>
      </c>
      <c r="D181" s="36">
        <v>23.6</v>
      </c>
      <c r="E181" s="36">
        <v>1678.0</v>
      </c>
      <c r="F181" s="36">
        <v>1889.0</v>
      </c>
      <c r="G181" s="36">
        <v>1.13</v>
      </c>
      <c r="H181" s="36">
        <v>30.0</v>
      </c>
      <c r="I181" s="36">
        <v>1438.0</v>
      </c>
      <c r="J181" s="36">
        <v>42.9</v>
      </c>
      <c r="K181" s="36">
        <v>78.6</v>
      </c>
      <c r="L181" s="36">
        <v>156.0</v>
      </c>
      <c r="M181" s="36">
        <v>16.2</v>
      </c>
      <c r="N181" s="36">
        <v>0.34</v>
      </c>
      <c r="O181" s="36">
        <v>0.68</v>
      </c>
      <c r="P181" s="36">
        <v>1.34</v>
      </c>
      <c r="Q181" s="21">
        <f t="shared" si="3"/>
        <v>2020</v>
      </c>
      <c r="R181" s="21">
        <f t="shared" si="4"/>
        <v>0</v>
      </c>
    </row>
    <row r="182" ht="14.25" customHeight="1">
      <c r="A182" s="38">
        <v>0.36944444444444446</v>
      </c>
      <c r="B182" s="36">
        <v>3.0</v>
      </c>
      <c r="C182" s="36">
        <v>15.3</v>
      </c>
      <c r="D182" s="36">
        <v>23.7</v>
      </c>
      <c r="E182" s="36">
        <v>1681.0</v>
      </c>
      <c r="F182" s="36">
        <v>1901.0</v>
      </c>
      <c r="G182" s="36">
        <v>1.13</v>
      </c>
      <c r="H182" s="36">
        <v>30.0</v>
      </c>
      <c r="I182" s="36">
        <v>1448.0</v>
      </c>
      <c r="J182" s="36">
        <v>43.0</v>
      </c>
      <c r="K182" s="36">
        <v>78.5</v>
      </c>
      <c r="L182" s="36">
        <v>157.0</v>
      </c>
      <c r="M182" s="36">
        <v>16.0</v>
      </c>
      <c r="N182" s="36">
        <v>0.34</v>
      </c>
      <c r="O182" s="36">
        <v>0.69</v>
      </c>
      <c r="P182" s="36">
        <v>1.33</v>
      </c>
      <c r="Q182" s="21">
        <f t="shared" si="3"/>
        <v>2020</v>
      </c>
      <c r="R182" s="21">
        <f t="shared" si="4"/>
        <v>100</v>
      </c>
    </row>
    <row r="183" ht="14.25" customHeight="1">
      <c r="A183" s="38">
        <v>0.37083333333333335</v>
      </c>
      <c r="B183" s="36">
        <v>3.0</v>
      </c>
      <c r="C183" s="36">
        <v>15.4</v>
      </c>
      <c r="D183" s="36">
        <v>23.4</v>
      </c>
      <c r="E183" s="36">
        <v>1659.0</v>
      </c>
      <c r="F183" s="36">
        <v>1881.0</v>
      </c>
      <c r="G183" s="36">
        <v>1.13</v>
      </c>
      <c r="H183" s="36">
        <v>30.0</v>
      </c>
      <c r="I183" s="36">
        <v>1446.0</v>
      </c>
      <c r="J183" s="36">
        <v>43.0</v>
      </c>
      <c r="K183" s="36">
        <v>78.6</v>
      </c>
      <c r="L183" s="36">
        <v>157.0</v>
      </c>
      <c r="M183" s="36">
        <v>15.8</v>
      </c>
      <c r="N183" s="36">
        <v>0.33</v>
      </c>
      <c r="O183" s="36">
        <v>0.66</v>
      </c>
      <c r="P183" s="36">
        <v>1.35</v>
      </c>
      <c r="Q183" s="21">
        <f t="shared" si="3"/>
        <v>2010</v>
      </c>
      <c r="R183" s="21">
        <f t="shared" si="4"/>
        <v>400</v>
      </c>
    </row>
    <row r="184" ht="14.25" customHeight="1">
      <c r="A184" s="38">
        <v>0.37222222222222223</v>
      </c>
      <c r="B184" s="36">
        <v>3.0</v>
      </c>
      <c r="C184" s="36">
        <v>15.5</v>
      </c>
      <c r="D184" s="36">
        <v>23.3</v>
      </c>
      <c r="E184" s="36">
        <v>1651.0</v>
      </c>
      <c r="F184" s="36">
        <v>1888.0</v>
      </c>
      <c r="G184" s="36">
        <v>1.14</v>
      </c>
      <c r="H184" s="36">
        <v>30.0</v>
      </c>
      <c r="I184" s="36">
        <v>1428.0</v>
      </c>
      <c r="J184" s="36">
        <v>43.0</v>
      </c>
      <c r="K184" s="36">
        <v>78.6</v>
      </c>
      <c r="L184" s="36">
        <v>158.0</v>
      </c>
      <c r="M184" s="36">
        <v>15.6</v>
      </c>
      <c r="N184" s="36">
        <v>0.34</v>
      </c>
      <c r="O184" s="36">
        <v>0.67</v>
      </c>
      <c r="P184" s="36">
        <v>1.32</v>
      </c>
      <c r="Q184" s="21">
        <f t="shared" si="3"/>
        <v>1990</v>
      </c>
      <c r="R184" s="21">
        <f t="shared" si="4"/>
        <v>100</v>
      </c>
    </row>
    <row r="185" ht="14.25" customHeight="1">
      <c r="A185" s="38">
        <v>0.3736111111111111</v>
      </c>
      <c r="B185" s="36">
        <v>3.0</v>
      </c>
      <c r="C185" s="36">
        <v>15.6</v>
      </c>
      <c r="D185" s="36">
        <v>23.2</v>
      </c>
      <c r="E185" s="36">
        <v>1650.0</v>
      </c>
      <c r="F185" s="36">
        <v>1877.0</v>
      </c>
      <c r="G185" s="36">
        <v>1.14</v>
      </c>
      <c r="H185" s="36">
        <v>30.0</v>
      </c>
      <c r="I185" s="36">
        <v>1405.0</v>
      </c>
      <c r="J185" s="36">
        <v>42.6</v>
      </c>
      <c r="K185" s="36">
        <v>78.7</v>
      </c>
      <c r="L185" s="36">
        <v>158.0</v>
      </c>
      <c r="M185" s="36">
        <v>15.6</v>
      </c>
      <c r="N185" s="36">
        <v>0.34</v>
      </c>
      <c r="O185" s="36">
        <v>0.67</v>
      </c>
      <c r="P185" s="36">
        <v>1.31</v>
      </c>
      <c r="Q185" s="21">
        <f t="shared" si="3"/>
        <v>1980</v>
      </c>
      <c r="R185" s="21">
        <f t="shared" si="4"/>
        <v>400</v>
      </c>
    </row>
    <row r="186" ht="14.25" customHeight="1">
      <c r="A186" s="38">
        <v>0.375</v>
      </c>
      <c r="B186" s="36">
        <v>3.0</v>
      </c>
      <c r="C186" s="36">
        <v>15.7</v>
      </c>
      <c r="D186" s="36">
        <v>23.4</v>
      </c>
      <c r="E186" s="36">
        <v>1661.0</v>
      </c>
      <c r="F186" s="36">
        <v>1884.0</v>
      </c>
      <c r="G186" s="36">
        <v>1.13</v>
      </c>
      <c r="H186" s="36">
        <v>30.0</v>
      </c>
      <c r="I186" s="36">
        <v>1418.0</v>
      </c>
      <c r="J186" s="36">
        <v>42.5</v>
      </c>
      <c r="K186" s="36">
        <v>78.8</v>
      </c>
      <c r="L186" s="36">
        <v>158.0</v>
      </c>
      <c r="M186" s="36">
        <v>15.6</v>
      </c>
      <c r="N186" s="36">
        <v>0.34</v>
      </c>
      <c r="O186" s="36">
        <v>0.68</v>
      </c>
      <c r="P186" s="36">
        <v>1.32</v>
      </c>
      <c r="Q186" s="21">
        <f t="shared" si="3"/>
        <v>2000</v>
      </c>
      <c r="R186" s="21">
        <f t="shared" si="4"/>
        <v>0</v>
      </c>
    </row>
    <row r="187" ht="14.25" customHeight="1">
      <c r="A187" s="38">
        <v>0.3763888888888889</v>
      </c>
      <c r="B187" s="36">
        <v>3.0</v>
      </c>
      <c r="C187" s="36">
        <v>15.8</v>
      </c>
      <c r="D187" s="36">
        <v>23.4</v>
      </c>
      <c r="E187" s="36">
        <v>1661.0</v>
      </c>
      <c r="F187" s="36">
        <v>1884.0</v>
      </c>
      <c r="G187" s="36">
        <v>1.13</v>
      </c>
      <c r="H187" s="36">
        <v>30.0</v>
      </c>
      <c r="I187" s="36">
        <v>1418.0</v>
      </c>
      <c r="J187" s="36">
        <v>42.5</v>
      </c>
      <c r="K187" s="36">
        <v>78.8</v>
      </c>
      <c r="L187" s="36">
        <v>158.0</v>
      </c>
      <c r="M187" s="36">
        <v>15.6</v>
      </c>
      <c r="N187" s="36">
        <v>0.34</v>
      </c>
      <c r="O187" s="36">
        <v>0.68</v>
      </c>
      <c r="P187" s="36">
        <v>1.32</v>
      </c>
      <c r="Q187" s="21">
        <f t="shared" si="3"/>
        <v>2000</v>
      </c>
      <c r="R187" s="21">
        <f t="shared" si="4"/>
        <v>0</v>
      </c>
    </row>
    <row r="188" ht="14.25" customHeight="1">
      <c r="A188" s="38">
        <v>0.37777777777777777</v>
      </c>
      <c r="B188" s="36">
        <v>3.0</v>
      </c>
      <c r="C188" s="36">
        <v>15.9</v>
      </c>
      <c r="D188" s="36">
        <v>23.4</v>
      </c>
      <c r="E188" s="36">
        <v>1661.0</v>
      </c>
      <c r="F188" s="36">
        <v>1884.0</v>
      </c>
      <c r="G188" s="36">
        <v>1.13</v>
      </c>
      <c r="H188" s="36">
        <v>30.0</v>
      </c>
      <c r="I188" s="36">
        <v>1418.0</v>
      </c>
      <c r="J188" s="36">
        <v>42.5</v>
      </c>
      <c r="K188" s="36">
        <v>78.8</v>
      </c>
      <c r="L188" s="36">
        <v>158.0</v>
      </c>
      <c r="M188" s="36">
        <v>15.3</v>
      </c>
      <c r="N188" s="36">
        <v>0.34</v>
      </c>
      <c r="O188" s="36">
        <v>0.68</v>
      </c>
      <c r="P188" s="36">
        <v>1.32</v>
      </c>
      <c r="Q188" s="21">
        <f t="shared" si="3"/>
        <v>2000</v>
      </c>
      <c r="R188" s="21">
        <f t="shared" si="4"/>
        <v>2500</v>
      </c>
    </row>
    <row r="189" ht="14.25" customHeight="1">
      <c r="A189" s="38">
        <v>0.3784722222222222</v>
      </c>
      <c r="B189" s="36">
        <v>3.0</v>
      </c>
      <c r="C189" s="36">
        <v>16.0</v>
      </c>
      <c r="D189" s="36">
        <v>23.6</v>
      </c>
      <c r="E189" s="36">
        <v>1679.0</v>
      </c>
      <c r="F189" s="36">
        <v>1908.0</v>
      </c>
      <c r="G189" s="36">
        <v>1.14</v>
      </c>
      <c r="H189" s="36">
        <v>31.0</v>
      </c>
      <c r="I189" s="36">
        <v>1402.0</v>
      </c>
      <c r="J189" s="36">
        <v>43.2</v>
      </c>
      <c r="K189" s="36">
        <v>78.4</v>
      </c>
      <c r="L189" s="36">
        <v>159.0</v>
      </c>
      <c r="M189" s="36">
        <v>15.1</v>
      </c>
      <c r="N189" s="36">
        <v>0.34</v>
      </c>
      <c r="O189" s="36">
        <v>0.66</v>
      </c>
      <c r="P189" s="36">
        <v>1.29</v>
      </c>
      <c r="Q189" s="21">
        <f t="shared" si="3"/>
        <v>1950</v>
      </c>
      <c r="R189" s="21">
        <f t="shared" si="4"/>
        <v>1600</v>
      </c>
    </row>
    <row r="190" ht="14.25" customHeight="1">
      <c r="A190" s="38">
        <v>0.3798611111111111</v>
      </c>
      <c r="B190" s="36">
        <v>3.0</v>
      </c>
      <c r="C190" s="36">
        <v>16.0</v>
      </c>
      <c r="D190" s="36">
        <v>24.1</v>
      </c>
      <c r="E190" s="36">
        <v>1708.0</v>
      </c>
      <c r="F190" s="36">
        <v>1946.0</v>
      </c>
      <c r="G190" s="36">
        <v>1.14</v>
      </c>
      <c r="H190" s="36">
        <v>31.0</v>
      </c>
      <c r="I190" s="36">
        <v>1390.0</v>
      </c>
      <c r="J190" s="36">
        <v>43.5</v>
      </c>
      <c r="K190" s="36">
        <v>78.3</v>
      </c>
      <c r="L190" s="36">
        <v>159.0</v>
      </c>
      <c r="M190" s="36">
        <v>14.9</v>
      </c>
      <c r="N190" s="36">
        <v>0.34</v>
      </c>
      <c r="O190" s="36">
        <v>0.65</v>
      </c>
      <c r="P190" s="36">
        <v>1.26</v>
      </c>
      <c r="Q190" s="21">
        <f t="shared" si="3"/>
        <v>1910</v>
      </c>
      <c r="R190" s="21">
        <f t="shared" si="4"/>
        <v>100</v>
      </c>
    </row>
    <row r="191" ht="14.25" customHeight="1">
      <c r="A191" s="38">
        <v>0.38125</v>
      </c>
      <c r="B191" s="36">
        <v>3.0</v>
      </c>
      <c r="C191" s="36">
        <v>16.1</v>
      </c>
      <c r="D191" s="36">
        <v>24.5</v>
      </c>
      <c r="E191" s="36">
        <v>1741.0</v>
      </c>
      <c r="F191" s="36">
        <v>1973.0</v>
      </c>
      <c r="G191" s="36">
        <v>1.13</v>
      </c>
      <c r="H191" s="36">
        <v>31.0</v>
      </c>
      <c r="I191" s="36">
        <v>1413.0</v>
      </c>
      <c r="J191" s="36">
        <v>44.5</v>
      </c>
      <c r="K191" s="36">
        <v>77.8</v>
      </c>
      <c r="L191" s="36">
        <v>159.0</v>
      </c>
      <c r="M191" s="36">
        <v>14.9</v>
      </c>
      <c r="N191" s="36">
        <v>0.34</v>
      </c>
      <c r="O191" s="36">
        <v>0.64</v>
      </c>
      <c r="P191" s="36">
        <v>1.26</v>
      </c>
      <c r="Q191" s="21">
        <f t="shared" si="3"/>
        <v>1900</v>
      </c>
      <c r="R191" s="21">
        <f t="shared" si="4"/>
        <v>900</v>
      </c>
    </row>
    <row r="192" ht="14.25" customHeight="1">
      <c r="A192" s="38">
        <v>0.38263888888888886</v>
      </c>
      <c r="B192" s="36">
        <v>3.0</v>
      </c>
      <c r="C192" s="36">
        <v>16.2</v>
      </c>
      <c r="D192" s="36">
        <v>25.2</v>
      </c>
      <c r="E192" s="36">
        <v>1787.0</v>
      </c>
      <c r="F192" s="36">
        <v>2039.0</v>
      </c>
      <c r="G192" s="36">
        <v>1.14</v>
      </c>
      <c r="H192" s="36">
        <v>32.0</v>
      </c>
      <c r="I192" s="36">
        <v>1439.0</v>
      </c>
      <c r="J192" s="36">
        <v>46.1</v>
      </c>
      <c r="K192" s="36">
        <v>77.0</v>
      </c>
      <c r="L192" s="36">
        <v>160.0</v>
      </c>
      <c r="M192" s="36">
        <v>14.4</v>
      </c>
      <c r="N192" s="36">
        <v>0.34</v>
      </c>
      <c r="O192" s="36">
        <v>0.63</v>
      </c>
      <c r="P192" s="36">
        <v>1.24</v>
      </c>
      <c r="Q192" s="21">
        <f t="shared" si="3"/>
        <v>1870</v>
      </c>
      <c r="R192" s="21">
        <f t="shared" si="4"/>
        <v>400</v>
      </c>
    </row>
    <row r="193" ht="14.25" customHeight="1">
      <c r="A193" s="38">
        <v>0.3840277777777778</v>
      </c>
      <c r="B193" s="36">
        <v>3.0</v>
      </c>
      <c r="C193" s="36">
        <v>16.3</v>
      </c>
      <c r="D193" s="36">
        <v>25.2</v>
      </c>
      <c r="E193" s="36">
        <v>1790.0</v>
      </c>
      <c r="F193" s="36">
        <v>2055.0</v>
      </c>
      <c r="G193" s="36">
        <v>1.15</v>
      </c>
      <c r="H193" s="36">
        <v>32.0</v>
      </c>
      <c r="I193" s="36">
        <v>1440.0</v>
      </c>
      <c r="J193" s="36">
        <v>46.7</v>
      </c>
      <c r="K193" s="36">
        <v>76.7</v>
      </c>
      <c r="L193" s="36">
        <v>160.0</v>
      </c>
      <c r="M193" s="36">
        <v>14.4</v>
      </c>
      <c r="N193" s="36">
        <v>0.33</v>
      </c>
      <c r="O193" s="36">
        <v>0.62</v>
      </c>
      <c r="P193" s="36">
        <v>1.23</v>
      </c>
      <c r="Q193" s="21">
        <f t="shared" si="3"/>
        <v>1850</v>
      </c>
      <c r="R193" s="21">
        <f t="shared" si="4"/>
        <v>0</v>
      </c>
    </row>
    <row r="194" ht="14.25" customHeight="1">
      <c r="A194" s="38">
        <v>0.3854166666666667</v>
      </c>
      <c r="B194" s="36">
        <v>3.0</v>
      </c>
      <c r="C194" s="36">
        <v>16.4</v>
      </c>
      <c r="D194" s="36">
        <v>25.2</v>
      </c>
      <c r="E194" s="36">
        <v>1790.0</v>
      </c>
      <c r="F194" s="36">
        <v>2055.0</v>
      </c>
      <c r="G194" s="36">
        <v>1.15</v>
      </c>
      <c r="H194" s="36">
        <v>32.0</v>
      </c>
      <c r="I194" s="36">
        <v>1440.0</v>
      </c>
      <c r="J194" s="36">
        <v>46.7</v>
      </c>
      <c r="K194" s="36">
        <v>76.7</v>
      </c>
      <c r="L194" s="36">
        <v>160.0</v>
      </c>
      <c r="M194" s="36">
        <v>14.4</v>
      </c>
      <c r="N194" s="36">
        <v>0.33</v>
      </c>
      <c r="O194" s="36">
        <v>0.62</v>
      </c>
      <c r="P194" s="36">
        <v>1.23</v>
      </c>
      <c r="Q194" s="21">
        <f t="shared" si="3"/>
        <v>1850</v>
      </c>
      <c r="R194" s="21">
        <f t="shared" si="4"/>
        <v>3600</v>
      </c>
    </row>
    <row r="195" ht="14.25" customHeight="1">
      <c r="A195" s="38">
        <v>0.38680555555555557</v>
      </c>
      <c r="B195" s="36">
        <v>3.0</v>
      </c>
      <c r="C195" s="36">
        <v>16.5</v>
      </c>
      <c r="D195" s="36">
        <v>25.0</v>
      </c>
      <c r="E195" s="36">
        <v>1777.0</v>
      </c>
      <c r="F195" s="36">
        <v>2060.0</v>
      </c>
      <c r="G195" s="36">
        <v>1.16</v>
      </c>
      <c r="H195" s="36">
        <v>31.0</v>
      </c>
      <c r="I195" s="36">
        <v>1479.0</v>
      </c>
      <c r="J195" s="36">
        <v>46.4</v>
      </c>
      <c r="K195" s="36">
        <v>76.8</v>
      </c>
      <c r="L195" s="36">
        <v>160.0</v>
      </c>
      <c r="M195" s="36">
        <v>14.4</v>
      </c>
      <c r="N195" s="36">
        <v>0.33</v>
      </c>
      <c r="O195" s="36">
        <v>0.63</v>
      </c>
      <c r="P195" s="36">
        <v>1.28</v>
      </c>
      <c r="Q195" s="21">
        <f t="shared" si="3"/>
        <v>1910</v>
      </c>
      <c r="R195" s="8">
        <v>0.0</v>
      </c>
    </row>
    <row r="196" ht="14.25" customHeight="1">
      <c r="A196" s="36" t="s">
        <v>81</v>
      </c>
    </row>
    <row r="197" ht="14.25" customHeight="1">
      <c r="A197" s="38">
        <v>0.3888888888888889</v>
      </c>
      <c r="B197" s="36">
        <v>3.0</v>
      </c>
      <c r="C197" s="36">
        <v>16.6</v>
      </c>
      <c r="D197" s="36">
        <v>24.0</v>
      </c>
      <c r="E197" s="36">
        <v>1702.0</v>
      </c>
      <c r="F197" s="36">
        <v>1993.0</v>
      </c>
      <c r="G197" s="36">
        <v>1.17</v>
      </c>
      <c r="H197" s="36">
        <v>31.0</v>
      </c>
      <c r="I197" s="36">
        <v>1459.0</v>
      </c>
      <c r="J197" s="36">
        <v>45.1</v>
      </c>
      <c r="K197" s="36">
        <v>77.5</v>
      </c>
      <c r="L197" s="36">
        <v>160.0</v>
      </c>
      <c r="M197" s="36">
        <v>14.4</v>
      </c>
      <c r="N197" s="36">
        <v>0.32</v>
      </c>
      <c r="O197" s="36">
        <v>0.63</v>
      </c>
      <c r="P197" s="36">
        <v>1.31</v>
      </c>
      <c r="Q197" s="21">
        <f t="shared" ref="Q197:Q203" si="5">(O197+P197)*1000</f>
        <v>1940</v>
      </c>
      <c r="R197" s="21">
        <f t="shared" ref="R197:R202" si="6">(Q197-Q198)^2</f>
        <v>400</v>
      </c>
    </row>
    <row r="198" ht="14.25" customHeight="1">
      <c r="A198" s="38">
        <v>0.3902777777777778</v>
      </c>
      <c r="B198" s="36">
        <v>3.0</v>
      </c>
      <c r="C198" s="36">
        <v>16.7</v>
      </c>
      <c r="D198" s="36">
        <v>24.3</v>
      </c>
      <c r="E198" s="36">
        <v>1725.0</v>
      </c>
      <c r="F198" s="36">
        <v>2018.0</v>
      </c>
      <c r="G198" s="36">
        <v>1.17</v>
      </c>
      <c r="H198" s="36">
        <v>31.0</v>
      </c>
      <c r="I198" s="36">
        <v>1476.0</v>
      </c>
      <c r="J198" s="36">
        <v>46.1</v>
      </c>
      <c r="K198" s="36">
        <v>77.0</v>
      </c>
      <c r="L198" s="36">
        <v>160.0</v>
      </c>
      <c r="M198" s="36">
        <v>14.4</v>
      </c>
      <c r="N198" s="36">
        <v>0.33</v>
      </c>
      <c r="O198" s="36">
        <v>0.63</v>
      </c>
      <c r="P198" s="36">
        <v>1.29</v>
      </c>
      <c r="Q198" s="21">
        <f t="shared" si="5"/>
        <v>1920</v>
      </c>
      <c r="R198" s="21">
        <f t="shared" si="6"/>
        <v>0</v>
      </c>
    </row>
    <row r="199" ht="14.25" customHeight="1">
      <c r="A199" s="38">
        <v>0.39166666666666666</v>
      </c>
      <c r="B199" s="36">
        <v>3.0</v>
      </c>
      <c r="C199" s="36">
        <v>16.8</v>
      </c>
      <c r="D199" s="36">
        <v>24.6</v>
      </c>
      <c r="E199" s="36">
        <v>1749.0</v>
      </c>
      <c r="F199" s="36">
        <v>2048.0</v>
      </c>
      <c r="G199" s="36">
        <v>1.17</v>
      </c>
      <c r="H199" s="36">
        <v>31.0</v>
      </c>
      <c r="I199" s="36">
        <v>1482.0</v>
      </c>
      <c r="J199" s="36">
        <v>46.3</v>
      </c>
      <c r="K199" s="36">
        <v>76.9</v>
      </c>
      <c r="L199" s="36">
        <v>160.0</v>
      </c>
      <c r="M199" s="36">
        <v>14.4</v>
      </c>
      <c r="N199" s="36">
        <v>0.32</v>
      </c>
      <c r="O199" s="36">
        <v>0.62</v>
      </c>
      <c r="P199" s="36">
        <v>1.3</v>
      </c>
      <c r="Q199" s="21">
        <f t="shared" si="5"/>
        <v>1920</v>
      </c>
      <c r="R199" s="21">
        <f t="shared" si="6"/>
        <v>2500</v>
      </c>
    </row>
    <row r="200" ht="14.25" customHeight="1">
      <c r="A200" s="38">
        <v>0.39305555555555555</v>
      </c>
      <c r="B200" s="36">
        <v>3.0</v>
      </c>
      <c r="C200" s="36">
        <v>16.9</v>
      </c>
      <c r="D200" s="36">
        <v>24.1</v>
      </c>
      <c r="E200" s="36">
        <v>1713.0</v>
      </c>
      <c r="F200" s="36">
        <v>2011.0</v>
      </c>
      <c r="G200" s="36">
        <v>1.17</v>
      </c>
      <c r="H200" s="36">
        <v>30.0</v>
      </c>
      <c r="I200" s="36">
        <v>1495.0</v>
      </c>
      <c r="J200" s="36">
        <v>45.4</v>
      </c>
      <c r="K200" s="36">
        <v>77.3</v>
      </c>
      <c r="L200" s="36">
        <v>161.0</v>
      </c>
      <c r="M200" s="36">
        <v>14.0</v>
      </c>
      <c r="N200" s="36">
        <v>0.32</v>
      </c>
      <c r="O200" s="36">
        <v>0.64</v>
      </c>
      <c r="P200" s="36">
        <v>1.33</v>
      </c>
      <c r="Q200" s="21">
        <f t="shared" si="5"/>
        <v>1970</v>
      </c>
      <c r="R200" s="21">
        <f t="shared" si="6"/>
        <v>100</v>
      </c>
    </row>
    <row r="201" ht="14.25" customHeight="1">
      <c r="A201" s="38">
        <v>0.39444444444444443</v>
      </c>
      <c r="B201" s="36">
        <v>3.0</v>
      </c>
      <c r="C201" s="36">
        <v>16.9</v>
      </c>
      <c r="D201" s="36">
        <v>24.5</v>
      </c>
      <c r="E201" s="36">
        <v>1738.0</v>
      </c>
      <c r="F201" s="36">
        <v>2041.0</v>
      </c>
      <c r="G201" s="36">
        <v>1.17</v>
      </c>
      <c r="H201" s="36">
        <v>30.0</v>
      </c>
      <c r="I201" s="36">
        <v>1522.0</v>
      </c>
      <c r="J201" s="36">
        <v>46.1</v>
      </c>
      <c r="K201" s="36">
        <v>77.0</v>
      </c>
      <c r="L201" s="36">
        <v>161.0</v>
      </c>
      <c r="M201" s="36">
        <v>13.8</v>
      </c>
      <c r="N201" s="36">
        <v>0.33</v>
      </c>
      <c r="O201" s="36">
        <v>0.65</v>
      </c>
      <c r="P201" s="36">
        <v>1.33</v>
      </c>
      <c r="Q201" s="21">
        <f t="shared" si="5"/>
        <v>1980</v>
      </c>
      <c r="R201" s="21">
        <f t="shared" si="6"/>
        <v>0</v>
      </c>
    </row>
    <row r="202" ht="14.25" customHeight="1">
      <c r="A202" s="38">
        <v>0.3958333333333333</v>
      </c>
      <c r="B202" s="36">
        <v>3.0</v>
      </c>
      <c r="C202" s="36">
        <v>17.0</v>
      </c>
      <c r="D202" s="36">
        <v>25.4</v>
      </c>
      <c r="E202" s="36">
        <v>1804.0</v>
      </c>
      <c r="F202" s="36">
        <v>2124.0</v>
      </c>
      <c r="G202" s="36">
        <v>1.18</v>
      </c>
      <c r="H202" s="36">
        <v>30.0</v>
      </c>
      <c r="I202" s="36">
        <v>1567.0</v>
      </c>
      <c r="J202" s="36">
        <v>47.5</v>
      </c>
      <c r="K202" s="36">
        <v>76.3</v>
      </c>
      <c r="L202" s="36">
        <v>161.0</v>
      </c>
      <c r="M202" s="36">
        <v>14.0</v>
      </c>
      <c r="N202" s="36">
        <v>0.34</v>
      </c>
      <c r="O202" s="36">
        <v>0.67</v>
      </c>
      <c r="P202" s="36">
        <v>1.31</v>
      </c>
      <c r="Q202" s="21">
        <f t="shared" si="5"/>
        <v>1980</v>
      </c>
      <c r="R202" s="21">
        <f t="shared" si="6"/>
        <v>400</v>
      </c>
    </row>
    <row r="203" ht="14.25" customHeight="1">
      <c r="A203" s="38">
        <v>0.3972222222222222</v>
      </c>
      <c r="B203" s="36">
        <v>3.0</v>
      </c>
      <c r="C203" s="36">
        <v>17.1</v>
      </c>
      <c r="D203" s="36">
        <v>25.3</v>
      </c>
      <c r="E203" s="36">
        <v>1797.0</v>
      </c>
      <c r="F203" s="36">
        <v>2120.0</v>
      </c>
      <c r="G203" s="36">
        <v>1.18</v>
      </c>
      <c r="H203" s="36">
        <v>31.0</v>
      </c>
      <c r="I203" s="36">
        <v>1558.0</v>
      </c>
      <c r="J203" s="36">
        <v>47.7</v>
      </c>
      <c r="K203" s="36">
        <v>76.2</v>
      </c>
      <c r="L203" s="36">
        <v>161.0</v>
      </c>
      <c r="M203" s="36">
        <v>13.8</v>
      </c>
      <c r="N203" s="36">
        <v>0.35</v>
      </c>
      <c r="O203" s="36">
        <v>0.68</v>
      </c>
      <c r="P203" s="36">
        <v>1.28</v>
      </c>
      <c r="Q203" s="21">
        <f t="shared" si="5"/>
        <v>1960</v>
      </c>
      <c r="R203" s="8">
        <v>0.0</v>
      </c>
    </row>
    <row r="204" ht="14.25" customHeight="1">
      <c r="A204" s="36" t="s">
        <v>82</v>
      </c>
    </row>
    <row r="205" ht="14.25" customHeight="1">
      <c r="A205" s="38">
        <v>0.39861111111111114</v>
      </c>
      <c r="B205" s="36">
        <v>3.0</v>
      </c>
      <c r="C205" s="36">
        <v>17.2</v>
      </c>
      <c r="D205" s="36">
        <v>26.0</v>
      </c>
      <c r="E205" s="36">
        <v>1845.0</v>
      </c>
      <c r="F205" s="36">
        <v>2192.0</v>
      </c>
      <c r="G205" s="36">
        <v>1.19</v>
      </c>
      <c r="H205" s="36">
        <v>31.0</v>
      </c>
      <c r="I205" s="36">
        <v>1581.0</v>
      </c>
      <c r="J205" s="36">
        <v>49.5</v>
      </c>
      <c r="K205" s="36">
        <v>75.3</v>
      </c>
      <c r="L205" s="36">
        <v>162.0</v>
      </c>
      <c r="M205" s="36">
        <v>13.5</v>
      </c>
      <c r="N205" s="36">
        <v>0.35</v>
      </c>
      <c r="O205" s="36">
        <v>0.67</v>
      </c>
      <c r="P205" s="36">
        <v>1.25</v>
      </c>
      <c r="Q205" s="21">
        <f t="shared" ref="Q205:Q226" si="7">(O205+P205)*1000</f>
        <v>1920</v>
      </c>
      <c r="R205" s="21">
        <f t="shared" ref="R205:R225" si="8">(Q205-Q206)^2</f>
        <v>100</v>
      </c>
      <c r="S205" s="8">
        <f>SQRT(AVERAGE(R205:R349))</f>
        <v>28.36451048</v>
      </c>
    </row>
    <row r="206" ht="14.25" customHeight="1">
      <c r="A206" s="38">
        <v>0.4</v>
      </c>
      <c r="B206" s="36">
        <v>3.0</v>
      </c>
      <c r="C206" s="36">
        <v>17.3</v>
      </c>
      <c r="D206" s="36">
        <v>25.6</v>
      </c>
      <c r="E206" s="36">
        <v>1820.0</v>
      </c>
      <c r="F206" s="36">
        <v>2184.0</v>
      </c>
      <c r="G206" s="36">
        <v>1.2</v>
      </c>
      <c r="H206" s="36">
        <v>31.0</v>
      </c>
      <c r="I206" s="36">
        <v>1599.0</v>
      </c>
      <c r="J206" s="36">
        <v>49.8</v>
      </c>
      <c r="K206" s="36">
        <v>75.2</v>
      </c>
      <c r="L206" s="36">
        <v>162.0</v>
      </c>
      <c r="M206" s="36">
        <v>13.3</v>
      </c>
      <c r="N206" s="36">
        <v>0.35</v>
      </c>
      <c r="O206" s="36">
        <v>0.67</v>
      </c>
      <c r="P206" s="36">
        <v>1.26</v>
      </c>
      <c r="Q206" s="21">
        <f t="shared" si="7"/>
        <v>1930</v>
      </c>
      <c r="R206" s="21">
        <f t="shared" si="8"/>
        <v>400</v>
      </c>
    </row>
    <row r="207" ht="14.25" customHeight="1">
      <c r="A207" s="38">
        <v>0.40069444444444446</v>
      </c>
      <c r="B207" s="36">
        <v>3.0</v>
      </c>
      <c r="C207" s="36">
        <v>17.4</v>
      </c>
      <c r="D207" s="36">
        <v>25.5</v>
      </c>
      <c r="E207" s="36">
        <v>1808.0</v>
      </c>
      <c r="F207" s="36">
        <v>2187.0</v>
      </c>
      <c r="G207" s="36">
        <v>1.21</v>
      </c>
      <c r="H207" s="36">
        <v>31.0</v>
      </c>
      <c r="I207" s="36">
        <v>1583.0</v>
      </c>
      <c r="J207" s="36">
        <v>49.7</v>
      </c>
      <c r="K207" s="36">
        <v>75.2</v>
      </c>
      <c r="L207" s="36">
        <v>162.0</v>
      </c>
      <c r="M207" s="36">
        <v>13.1</v>
      </c>
      <c r="N207" s="36">
        <v>0.35</v>
      </c>
      <c r="O207" s="36">
        <v>0.68</v>
      </c>
      <c r="P207" s="36">
        <v>1.23</v>
      </c>
      <c r="Q207" s="21">
        <f t="shared" si="7"/>
        <v>1910</v>
      </c>
      <c r="R207" s="21">
        <f t="shared" si="8"/>
        <v>0</v>
      </c>
    </row>
    <row r="208" ht="14.25" customHeight="1">
      <c r="A208" s="38">
        <v>0.40208333333333335</v>
      </c>
      <c r="B208" s="36">
        <v>3.0</v>
      </c>
      <c r="C208" s="36">
        <v>17.4</v>
      </c>
      <c r="D208" s="36">
        <v>25.5</v>
      </c>
      <c r="E208" s="36">
        <v>1808.0</v>
      </c>
      <c r="F208" s="36">
        <v>2187.0</v>
      </c>
      <c r="G208" s="36">
        <v>1.21</v>
      </c>
      <c r="H208" s="36">
        <v>31.0</v>
      </c>
      <c r="I208" s="36">
        <v>1583.0</v>
      </c>
      <c r="J208" s="36">
        <v>49.7</v>
      </c>
      <c r="K208" s="36">
        <v>75.2</v>
      </c>
      <c r="L208" s="36">
        <v>162.0</v>
      </c>
      <c r="M208" s="36">
        <v>13.3</v>
      </c>
      <c r="N208" s="36">
        <v>0.35</v>
      </c>
      <c r="O208" s="36">
        <v>0.68</v>
      </c>
      <c r="P208" s="36">
        <v>1.23</v>
      </c>
      <c r="Q208" s="21">
        <f t="shared" si="7"/>
        <v>1910</v>
      </c>
      <c r="R208" s="21">
        <f t="shared" si="8"/>
        <v>900</v>
      </c>
    </row>
    <row r="209" ht="14.25" customHeight="1">
      <c r="A209" s="38">
        <v>0.40347222222222223</v>
      </c>
      <c r="B209" s="36">
        <v>3.0</v>
      </c>
      <c r="C209" s="36">
        <v>17.6</v>
      </c>
      <c r="D209" s="36">
        <v>24.9</v>
      </c>
      <c r="E209" s="36">
        <v>1770.0</v>
      </c>
      <c r="F209" s="36">
        <v>2149.0</v>
      </c>
      <c r="G209" s="36">
        <v>1.21</v>
      </c>
      <c r="H209" s="36">
        <v>31.0</v>
      </c>
      <c r="I209" s="36">
        <v>1580.0</v>
      </c>
      <c r="J209" s="36">
        <v>48.9</v>
      </c>
      <c r="K209" s="36">
        <v>75.6</v>
      </c>
      <c r="L209" s="36">
        <v>162.0</v>
      </c>
      <c r="M209" s="36">
        <v>13.3</v>
      </c>
      <c r="N209" s="36">
        <v>0.36</v>
      </c>
      <c r="O209" s="36">
        <v>0.7</v>
      </c>
      <c r="P209" s="36">
        <v>1.24</v>
      </c>
      <c r="Q209" s="21">
        <f t="shared" si="7"/>
        <v>1940</v>
      </c>
      <c r="R209" s="21">
        <f t="shared" si="8"/>
        <v>0</v>
      </c>
    </row>
    <row r="210" ht="14.25" customHeight="1">
      <c r="A210" s="38">
        <v>0.4048611111111111</v>
      </c>
      <c r="B210" s="36">
        <v>3.0</v>
      </c>
      <c r="C210" s="36">
        <v>17.7</v>
      </c>
      <c r="D210" s="36">
        <v>24.7</v>
      </c>
      <c r="E210" s="36">
        <v>1757.0</v>
      </c>
      <c r="F210" s="36">
        <v>2131.0</v>
      </c>
      <c r="G210" s="36">
        <v>1.21</v>
      </c>
      <c r="H210" s="36">
        <v>31.0</v>
      </c>
      <c r="I210" s="36">
        <v>1571.0</v>
      </c>
      <c r="J210" s="36">
        <v>48.7</v>
      </c>
      <c r="K210" s="36">
        <v>75.7</v>
      </c>
      <c r="L210" s="36">
        <v>163.0</v>
      </c>
      <c r="M210" s="36">
        <v>13.3</v>
      </c>
      <c r="N210" s="36">
        <v>0.36</v>
      </c>
      <c r="O210" s="36">
        <v>0.69</v>
      </c>
      <c r="P210" s="36">
        <v>1.25</v>
      </c>
      <c r="Q210" s="21">
        <f t="shared" si="7"/>
        <v>1940</v>
      </c>
      <c r="R210" s="21">
        <f t="shared" si="8"/>
        <v>900</v>
      </c>
    </row>
    <row r="211" ht="14.25" customHeight="1">
      <c r="A211" s="38">
        <v>0.40625</v>
      </c>
      <c r="B211" s="36">
        <v>3.0</v>
      </c>
      <c r="C211" s="36">
        <v>17.7</v>
      </c>
      <c r="D211" s="36">
        <v>24.7</v>
      </c>
      <c r="E211" s="36">
        <v>1750.0</v>
      </c>
      <c r="F211" s="36">
        <v>2124.0</v>
      </c>
      <c r="G211" s="36">
        <v>1.21</v>
      </c>
      <c r="H211" s="36">
        <v>31.0</v>
      </c>
      <c r="I211" s="36">
        <v>1565.0</v>
      </c>
      <c r="J211" s="36">
        <v>49.0</v>
      </c>
      <c r="K211" s="36">
        <v>75.6</v>
      </c>
      <c r="L211" s="36">
        <v>163.0</v>
      </c>
      <c r="M211" s="36">
        <v>12.8</v>
      </c>
      <c r="N211" s="36">
        <v>0.35</v>
      </c>
      <c r="O211" s="36">
        <v>0.67</v>
      </c>
      <c r="P211" s="36">
        <v>1.24</v>
      </c>
      <c r="Q211" s="21">
        <f t="shared" si="7"/>
        <v>1910</v>
      </c>
      <c r="R211" s="21">
        <f t="shared" si="8"/>
        <v>100</v>
      </c>
    </row>
    <row r="212" ht="14.25" customHeight="1">
      <c r="A212" s="38">
        <v>0.4076388888888889</v>
      </c>
      <c r="B212" s="36">
        <v>3.0</v>
      </c>
      <c r="C212" s="36">
        <v>17.9</v>
      </c>
      <c r="D212" s="36">
        <v>24.3</v>
      </c>
      <c r="E212" s="36">
        <v>1727.0</v>
      </c>
      <c r="F212" s="36">
        <v>2094.0</v>
      </c>
      <c r="G212" s="36">
        <v>1.21</v>
      </c>
      <c r="H212" s="36">
        <v>31.0</v>
      </c>
      <c r="I212" s="36">
        <v>1557.0</v>
      </c>
      <c r="J212" s="36">
        <v>48.6</v>
      </c>
      <c r="K212" s="36">
        <v>75.7</v>
      </c>
      <c r="L212" s="36">
        <v>163.0</v>
      </c>
      <c r="M212" s="36">
        <v>12.6</v>
      </c>
      <c r="N212" s="36">
        <v>0.35</v>
      </c>
      <c r="O212" s="36">
        <v>0.67</v>
      </c>
      <c r="P212" s="36">
        <v>1.25</v>
      </c>
      <c r="Q212" s="21">
        <f t="shared" si="7"/>
        <v>1920</v>
      </c>
      <c r="R212" s="21">
        <f t="shared" si="8"/>
        <v>100</v>
      </c>
    </row>
    <row r="213" ht="14.25" customHeight="1">
      <c r="A213" s="38">
        <v>0.40902777777777777</v>
      </c>
      <c r="B213" s="36">
        <v>3.0</v>
      </c>
      <c r="C213" s="36">
        <v>17.9</v>
      </c>
      <c r="D213" s="36">
        <v>24.2</v>
      </c>
      <c r="E213" s="36">
        <v>1718.0</v>
      </c>
      <c r="F213" s="36">
        <v>2092.0</v>
      </c>
      <c r="G213" s="36">
        <v>1.22</v>
      </c>
      <c r="H213" s="36">
        <v>31.0</v>
      </c>
      <c r="I213" s="36">
        <v>1530.0</v>
      </c>
      <c r="J213" s="36">
        <v>48.0</v>
      </c>
      <c r="K213" s="36">
        <v>76.1</v>
      </c>
      <c r="L213" s="36">
        <v>164.0</v>
      </c>
      <c r="M213" s="36">
        <v>12.4</v>
      </c>
      <c r="N213" s="36">
        <v>0.35</v>
      </c>
      <c r="O213" s="36">
        <v>0.67</v>
      </c>
      <c r="P213" s="36">
        <v>1.24</v>
      </c>
      <c r="Q213" s="21">
        <f t="shared" si="7"/>
        <v>1910</v>
      </c>
      <c r="R213" s="21">
        <f t="shared" si="8"/>
        <v>100</v>
      </c>
    </row>
    <row r="214" ht="14.25" customHeight="1">
      <c r="A214" s="38">
        <v>0.41041666666666665</v>
      </c>
      <c r="B214" s="36">
        <v>3.0</v>
      </c>
      <c r="C214" s="36">
        <v>18.0</v>
      </c>
      <c r="D214" s="36">
        <v>23.8</v>
      </c>
      <c r="E214" s="36">
        <v>1689.0</v>
      </c>
      <c r="F214" s="36">
        <v>2057.0</v>
      </c>
      <c r="G214" s="36">
        <v>1.22</v>
      </c>
      <c r="H214" s="36">
        <v>31.0</v>
      </c>
      <c r="I214" s="36">
        <v>1523.0</v>
      </c>
      <c r="J214" s="36">
        <v>47.7</v>
      </c>
      <c r="K214" s="36">
        <v>76.2</v>
      </c>
      <c r="L214" s="36">
        <v>164.0</v>
      </c>
      <c r="M214" s="36">
        <v>12.6</v>
      </c>
      <c r="N214" s="36">
        <v>0.35</v>
      </c>
      <c r="O214" s="36">
        <v>0.67</v>
      </c>
      <c r="P214" s="36">
        <v>1.25</v>
      </c>
      <c r="Q214" s="21">
        <f t="shared" si="7"/>
        <v>1920</v>
      </c>
      <c r="R214" s="21">
        <f t="shared" si="8"/>
        <v>900</v>
      </c>
    </row>
    <row r="215" ht="14.25" customHeight="1">
      <c r="A215" s="38">
        <v>0.41180555555555554</v>
      </c>
      <c r="B215" s="36">
        <v>3.0</v>
      </c>
      <c r="C215" s="36">
        <v>18.1</v>
      </c>
      <c r="D215" s="36">
        <v>23.8</v>
      </c>
      <c r="E215" s="36">
        <v>1693.0</v>
      </c>
      <c r="F215" s="36">
        <v>2065.0</v>
      </c>
      <c r="G215" s="36">
        <v>1.22</v>
      </c>
      <c r="H215" s="36">
        <v>32.0</v>
      </c>
      <c r="I215" s="36">
        <v>1509.0</v>
      </c>
      <c r="J215" s="36">
        <v>47.8</v>
      </c>
      <c r="K215" s="36">
        <v>76.2</v>
      </c>
      <c r="L215" s="36">
        <v>164.0</v>
      </c>
      <c r="M215" s="36">
        <v>11.9</v>
      </c>
      <c r="N215" s="36">
        <v>0.34</v>
      </c>
      <c r="O215" s="36">
        <v>0.65</v>
      </c>
      <c r="P215" s="36">
        <v>1.24</v>
      </c>
      <c r="Q215" s="21">
        <f t="shared" si="7"/>
        <v>1890</v>
      </c>
      <c r="R215" s="21">
        <f t="shared" si="8"/>
        <v>400</v>
      </c>
    </row>
    <row r="216" ht="14.25" customHeight="1">
      <c r="A216" s="38">
        <v>0.4131944444444444</v>
      </c>
      <c r="B216" s="36">
        <v>3.0</v>
      </c>
      <c r="C216" s="36">
        <v>18.2</v>
      </c>
      <c r="D216" s="36">
        <v>23.9</v>
      </c>
      <c r="E216" s="36">
        <v>1699.0</v>
      </c>
      <c r="F216" s="36">
        <v>2057.0</v>
      </c>
      <c r="G216" s="36">
        <v>1.21</v>
      </c>
      <c r="H216" s="36">
        <v>32.0</v>
      </c>
      <c r="I216" s="36">
        <v>1482.0</v>
      </c>
      <c r="J216" s="36">
        <v>47.6</v>
      </c>
      <c r="K216" s="36">
        <v>76.3</v>
      </c>
      <c r="L216" s="36">
        <v>164.0</v>
      </c>
      <c r="M216" s="36">
        <v>12.1</v>
      </c>
      <c r="N216" s="36">
        <v>0.34</v>
      </c>
      <c r="O216" s="36">
        <v>0.63</v>
      </c>
      <c r="P216" s="36">
        <v>1.24</v>
      </c>
      <c r="Q216" s="21">
        <f t="shared" si="7"/>
        <v>1870</v>
      </c>
      <c r="R216" s="21">
        <f t="shared" si="8"/>
        <v>400</v>
      </c>
    </row>
    <row r="217" ht="14.25" customHeight="1">
      <c r="A217" s="38">
        <v>0.41388888888888886</v>
      </c>
      <c r="B217" s="36">
        <v>3.0</v>
      </c>
      <c r="C217" s="36">
        <v>18.3</v>
      </c>
      <c r="D217" s="36">
        <v>24.1</v>
      </c>
      <c r="E217" s="36">
        <v>1712.0</v>
      </c>
      <c r="F217" s="36">
        <v>2079.0</v>
      </c>
      <c r="G217" s="36">
        <v>1.21</v>
      </c>
      <c r="H217" s="36">
        <v>32.0</v>
      </c>
      <c r="I217" s="36">
        <v>1463.0</v>
      </c>
      <c r="J217" s="36">
        <v>47.4</v>
      </c>
      <c r="K217" s="36">
        <v>76.3</v>
      </c>
      <c r="L217" s="36">
        <v>164.0</v>
      </c>
      <c r="M217" s="36">
        <v>12.1</v>
      </c>
      <c r="N217" s="36">
        <v>0.34</v>
      </c>
      <c r="O217" s="36">
        <v>0.62</v>
      </c>
      <c r="P217" s="36">
        <v>1.23</v>
      </c>
      <c r="Q217" s="21">
        <f t="shared" si="7"/>
        <v>1850</v>
      </c>
      <c r="R217" s="21">
        <f t="shared" si="8"/>
        <v>100</v>
      </c>
    </row>
    <row r="218" ht="14.25" customHeight="1">
      <c r="A218" s="38">
        <v>0.4152777777777778</v>
      </c>
      <c r="B218" s="36">
        <v>3.0</v>
      </c>
      <c r="C218" s="36">
        <v>18.4</v>
      </c>
      <c r="D218" s="36">
        <v>24.3</v>
      </c>
      <c r="E218" s="36">
        <v>1726.0</v>
      </c>
      <c r="F218" s="36">
        <v>2095.0</v>
      </c>
      <c r="G218" s="36">
        <v>1.21</v>
      </c>
      <c r="H218" s="36">
        <v>32.0</v>
      </c>
      <c r="I218" s="36">
        <v>1488.0</v>
      </c>
      <c r="J218" s="36">
        <v>47.9</v>
      </c>
      <c r="K218" s="36">
        <v>76.1</v>
      </c>
      <c r="L218" s="36">
        <v>165.0</v>
      </c>
      <c r="M218" s="36">
        <v>12.1</v>
      </c>
      <c r="N218" s="36">
        <v>0.34</v>
      </c>
      <c r="O218" s="36">
        <v>0.63</v>
      </c>
      <c r="P218" s="36">
        <v>1.23</v>
      </c>
      <c r="Q218" s="21">
        <f t="shared" si="7"/>
        <v>1860</v>
      </c>
      <c r="R218" s="21">
        <f t="shared" si="8"/>
        <v>1600</v>
      </c>
    </row>
    <row r="219" ht="14.25" customHeight="1">
      <c r="A219" s="38">
        <v>0.41805555555555557</v>
      </c>
      <c r="B219" s="36">
        <v>3.0</v>
      </c>
      <c r="C219" s="36">
        <v>18.5</v>
      </c>
      <c r="D219" s="36">
        <v>23.6</v>
      </c>
      <c r="E219" s="36">
        <v>1674.0</v>
      </c>
      <c r="F219" s="36">
        <v>2069.0</v>
      </c>
      <c r="G219" s="36">
        <v>1.24</v>
      </c>
      <c r="H219" s="36">
        <v>32.0</v>
      </c>
      <c r="I219" s="36">
        <v>1477.0</v>
      </c>
      <c r="J219" s="36">
        <v>46.6</v>
      </c>
      <c r="K219" s="36">
        <v>76.7</v>
      </c>
      <c r="L219" s="36">
        <v>165.0</v>
      </c>
      <c r="M219" s="36">
        <v>11.9</v>
      </c>
      <c r="N219" s="36">
        <v>0.34</v>
      </c>
      <c r="O219" s="36">
        <v>0.65</v>
      </c>
      <c r="P219" s="36">
        <v>1.25</v>
      </c>
      <c r="Q219" s="21">
        <f t="shared" si="7"/>
        <v>1900</v>
      </c>
      <c r="R219" s="21">
        <f t="shared" si="8"/>
        <v>4900</v>
      </c>
    </row>
    <row r="220" ht="14.25" customHeight="1">
      <c r="A220" s="38">
        <v>0.41944444444444445</v>
      </c>
      <c r="B220" s="36">
        <v>3.0</v>
      </c>
      <c r="C220" s="36">
        <v>18.6</v>
      </c>
      <c r="D220" s="36">
        <v>23.0</v>
      </c>
      <c r="E220" s="36">
        <v>1635.0</v>
      </c>
      <c r="F220" s="36">
        <v>2009.0</v>
      </c>
      <c r="G220" s="36">
        <v>1.23</v>
      </c>
      <c r="H220" s="36">
        <v>30.0</v>
      </c>
      <c r="I220" s="36">
        <v>1492.0</v>
      </c>
      <c r="J220" s="36">
        <v>45.3</v>
      </c>
      <c r="K220" s="36">
        <v>77.4</v>
      </c>
      <c r="L220" s="36">
        <v>165.0</v>
      </c>
      <c r="M220" s="36">
        <v>11.9</v>
      </c>
      <c r="N220" s="36">
        <v>0.33</v>
      </c>
      <c r="O220" s="36">
        <v>0.65</v>
      </c>
      <c r="P220" s="36">
        <v>1.32</v>
      </c>
      <c r="Q220" s="21">
        <f t="shared" si="7"/>
        <v>1970</v>
      </c>
      <c r="R220" s="21">
        <f t="shared" si="8"/>
        <v>0</v>
      </c>
    </row>
    <row r="221" ht="14.25" customHeight="1">
      <c r="A221" s="38">
        <v>0.42083333333333334</v>
      </c>
      <c r="B221" s="36">
        <v>3.0</v>
      </c>
      <c r="C221" s="36">
        <v>18.7</v>
      </c>
      <c r="D221" s="36">
        <v>23.5</v>
      </c>
      <c r="E221" s="36">
        <v>1672.0</v>
      </c>
      <c r="F221" s="36">
        <v>2006.0</v>
      </c>
      <c r="G221" s="36">
        <v>1.2</v>
      </c>
      <c r="H221" s="36">
        <v>30.0</v>
      </c>
      <c r="I221" s="36">
        <v>1498.0</v>
      </c>
      <c r="J221" s="36">
        <v>45.6</v>
      </c>
      <c r="K221" s="36">
        <v>77.3</v>
      </c>
      <c r="L221" s="36">
        <v>165.0</v>
      </c>
      <c r="M221" s="36">
        <v>11.9</v>
      </c>
      <c r="N221" s="36">
        <v>0.33</v>
      </c>
      <c r="O221" s="36">
        <v>0.64</v>
      </c>
      <c r="P221" s="36">
        <v>1.33</v>
      </c>
      <c r="Q221" s="21">
        <f t="shared" si="7"/>
        <v>1970</v>
      </c>
      <c r="R221" s="21">
        <f t="shared" si="8"/>
        <v>900</v>
      </c>
    </row>
    <row r="222" ht="14.25" customHeight="1">
      <c r="A222" s="38">
        <v>0.4222222222222222</v>
      </c>
      <c r="B222" s="36">
        <v>3.0</v>
      </c>
      <c r="C222" s="36">
        <v>18.7</v>
      </c>
      <c r="D222" s="36">
        <v>23.5</v>
      </c>
      <c r="E222" s="36">
        <v>1667.0</v>
      </c>
      <c r="F222" s="36">
        <v>2014.0</v>
      </c>
      <c r="G222" s="36">
        <v>1.21</v>
      </c>
      <c r="H222" s="36">
        <v>30.0</v>
      </c>
      <c r="I222" s="36">
        <v>1544.0</v>
      </c>
      <c r="J222" s="36">
        <v>46.4</v>
      </c>
      <c r="K222" s="36">
        <v>76.8</v>
      </c>
      <c r="L222" s="36">
        <v>165.0</v>
      </c>
      <c r="M222" s="36">
        <v>11.6</v>
      </c>
      <c r="N222" s="36">
        <v>0.33</v>
      </c>
      <c r="O222" s="36">
        <v>0.66</v>
      </c>
      <c r="P222" s="36">
        <v>1.34</v>
      </c>
      <c r="Q222" s="21">
        <f t="shared" si="7"/>
        <v>2000</v>
      </c>
      <c r="R222" s="21">
        <f t="shared" si="8"/>
        <v>0</v>
      </c>
    </row>
    <row r="223" ht="14.25" customHeight="1">
      <c r="A223" s="38">
        <v>0.4236111111111111</v>
      </c>
      <c r="B223" s="36">
        <v>3.0</v>
      </c>
      <c r="C223" s="36">
        <v>18.8</v>
      </c>
      <c r="D223" s="36">
        <v>23.7</v>
      </c>
      <c r="E223" s="36">
        <v>1683.0</v>
      </c>
      <c r="F223" s="36">
        <v>2034.0</v>
      </c>
      <c r="G223" s="36">
        <v>1.21</v>
      </c>
      <c r="H223" s="36">
        <v>30.0</v>
      </c>
      <c r="I223" s="36">
        <v>1578.0</v>
      </c>
      <c r="J223" s="36">
        <v>47.4</v>
      </c>
      <c r="K223" s="36">
        <v>76.4</v>
      </c>
      <c r="L223" s="36">
        <v>165.0</v>
      </c>
      <c r="M223" s="36">
        <v>11.6</v>
      </c>
      <c r="N223" s="36">
        <v>0.33</v>
      </c>
      <c r="O223" s="36">
        <v>0.66</v>
      </c>
      <c r="P223" s="36">
        <v>1.34</v>
      </c>
      <c r="Q223" s="21">
        <f t="shared" si="7"/>
        <v>2000</v>
      </c>
      <c r="R223" s="21">
        <f t="shared" si="8"/>
        <v>100</v>
      </c>
    </row>
    <row r="224" ht="14.25" customHeight="1">
      <c r="A224" s="38">
        <v>0.42430555555555555</v>
      </c>
      <c r="B224" s="36">
        <v>3.0</v>
      </c>
      <c r="C224" s="36">
        <v>18.9</v>
      </c>
      <c r="D224" s="36">
        <v>23.6</v>
      </c>
      <c r="E224" s="36">
        <v>1675.0</v>
      </c>
      <c r="F224" s="36">
        <v>2017.0</v>
      </c>
      <c r="G224" s="36">
        <v>1.2</v>
      </c>
      <c r="H224" s="36">
        <v>30.0</v>
      </c>
      <c r="I224" s="36">
        <v>1567.0</v>
      </c>
      <c r="J224" s="36">
        <v>47.2</v>
      </c>
      <c r="K224" s="36">
        <v>76.4</v>
      </c>
      <c r="L224" s="36">
        <v>165.0</v>
      </c>
      <c r="M224" s="36">
        <v>11.6</v>
      </c>
      <c r="N224" s="36">
        <v>0.33</v>
      </c>
      <c r="O224" s="36">
        <v>0.66</v>
      </c>
      <c r="P224" s="36">
        <v>1.33</v>
      </c>
      <c r="Q224" s="21">
        <f t="shared" si="7"/>
        <v>1990</v>
      </c>
      <c r="R224" s="21">
        <f t="shared" si="8"/>
        <v>900</v>
      </c>
    </row>
    <row r="225" ht="14.25" customHeight="1">
      <c r="A225" s="38">
        <v>0.4263888888888889</v>
      </c>
      <c r="B225" s="36">
        <v>3.0</v>
      </c>
      <c r="C225" s="36">
        <v>19.0</v>
      </c>
      <c r="D225" s="36">
        <v>23.3</v>
      </c>
      <c r="E225" s="36">
        <v>1656.0</v>
      </c>
      <c r="F225" s="36">
        <v>1997.0</v>
      </c>
      <c r="G225" s="36">
        <v>1.21</v>
      </c>
      <c r="H225" s="36">
        <v>30.0</v>
      </c>
      <c r="I225" s="36">
        <v>1549.0</v>
      </c>
      <c r="J225" s="36">
        <v>45.8</v>
      </c>
      <c r="K225" s="36">
        <v>77.1</v>
      </c>
      <c r="L225" s="36">
        <v>165.0</v>
      </c>
      <c r="M225" s="36">
        <v>11.9</v>
      </c>
      <c r="N225" s="36">
        <v>0.33</v>
      </c>
      <c r="O225" s="36">
        <v>0.67</v>
      </c>
      <c r="P225" s="36">
        <v>1.35</v>
      </c>
      <c r="Q225" s="21">
        <f t="shared" si="7"/>
        <v>2020</v>
      </c>
      <c r="R225" s="21">
        <f t="shared" si="8"/>
        <v>4900</v>
      </c>
    </row>
    <row r="226" ht="14.25" customHeight="1">
      <c r="A226" s="38">
        <v>0.4270833333333333</v>
      </c>
      <c r="B226" s="36">
        <v>3.0</v>
      </c>
      <c r="C226" s="36">
        <v>19.1</v>
      </c>
      <c r="D226" s="36">
        <v>23.8</v>
      </c>
      <c r="E226" s="36">
        <v>1690.0</v>
      </c>
      <c r="F226" s="36">
        <v>2037.0</v>
      </c>
      <c r="G226" s="36">
        <v>1.21</v>
      </c>
      <c r="H226" s="36">
        <v>31.0</v>
      </c>
      <c r="I226" s="36">
        <v>1561.0</v>
      </c>
      <c r="J226" s="36">
        <v>48.0</v>
      </c>
      <c r="K226" s="36">
        <v>76.0</v>
      </c>
      <c r="L226" s="36">
        <v>165.0</v>
      </c>
      <c r="M226" s="36">
        <v>12.1</v>
      </c>
      <c r="N226" s="36">
        <v>0.34</v>
      </c>
      <c r="O226" s="36">
        <v>0.67</v>
      </c>
      <c r="P226" s="36">
        <v>1.28</v>
      </c>
      <c r="Q226" s="21">
        <f t="shared" si="7"/>
        <v>1950</v>
      </c>
      <c r="R226" s="8">
        <v>0.0</v>
      </c>
    </row>
    <row r="227" ht="14.25" customHeight="1">
      <c r="A227" s="36" t="s">
        <v>88</v>
      </c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38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8" t="s">
        <v>92</v>
      </c>
      <c r="V4" s="8" t="s">
        <v>85</v>
      </c>
      <c r="W4" s="8" t="s">
        <v>52</v>
      </c>
    </row>
    <row r="5" ht="14.25" customHeight="1">
      <c r="A5" s="36" t="s">
        <v>87</v>
      </c>
    </row>
    <row r="6" ht="14.25" customHeight="1">
      <c r="A6" s="38">
        <v>0.12777777777777777</v>
      </c>
      <c r="B6" s="36">
        <v>0.0</v>
      </c>
      <c r="C6" s="36">
        <v>5.5</v>
      </c>
      <c r="D6" s="36">
        <v>412.0</v>
      </c>
      <c r="E6" s="36">
        <v>389.0</v>
      </c>
      <c r="F6" s="36">
        <v>0.94</v>
      </c>
      <c r="G6" s="36">
        <v>21.0</v>
      </c>
      <c r="H6" s="36">
        <v>0.54</v>
      </c>
      <c r="I6" s="36">
        <v>11.5</v>
      </c>
      <c r="J6" s="36">
        <v>94.3</v>
      </c>
      <c r="K6" s="36">
        <v>82.0</v>
      </c>
      <c r="L6" s="36">
        <v>57.3</v>
      </c>
      <c r="M6" s="36">
        <v>102.0</v>
      </c>
      <c r="N6" s="36">
        <v>48.0</v>
      </c>
      <c r="O6" s="36">
        <v>21.0</v>
      </c>
      <c r="P6" s="36">
        <v>14.0</v>
      </c>
      <c r="Q6" s="36">
        <v>0.3</v>
      </c>
      <c r="R6" s="36">
        <v>0.86</v>
      </c>
      <c r="S6" s="36">
        <v>1.98</v>
      </c>
      <c r="T6" s="36">
        <v>2.84</v>
      </c>
      <c r="U6" s="21">
        <f t="shared" ref="U6:U122" si="1">T6*1000</f>
        <v>2840</v>
      </c>
      <c r="V6" s="21">
        <f t="shared" ref="V6:V121" si="2">(U6-U7)^2</f>
        <v>1600</v>
      </c>
      <c r="W6" s="8">
        <f>SQRT(AVERAGE(V6:V150))</f>
        <v>192.8964172</v>
      </c>
    </row>
    <row r="7" ht="14.25" customHeight="1">
      <c r="A7" s="38">
        <v>0.12986111111111112</v>
      </c>
      <c r="B7" s="36">
        <v>0.0</v>
      </c>
      <c r="C7" s="36">
        <v>5.8</v>
      </c>
      <c r="D7" s="36">
        <v>434.0</v>
      </c>
      <c r="E7" s="36">
        <v>407.0</v>
      </c>
      <c r="F7" s="36">
        <v>0.94</v>
      </c>
      <c r="G7" s="36">
        <v>21.0</v>
      </c>
      <c r="H7" s="36">
        <v>0.55</v>
      </c>
      <c r="I7" s="36">
        <v>11.8</v>
      </c>
      <c r="J7" s="36">
        <v>94.1</v>
      </c>
      <c r="K7" s="36">
        <v>84.0</v>
      </c>
      <c r="L7" s="36">
        <v>56.1</v>
      </c>
      <c r="M7" s="36">
        <v>102.0</v>
      </c>
      <c r="N7" s="36">
        <v>48.0</v>
      </c>
      <c r="O7" s="36">
        <v>21.0</v>
      </c>
      <c r="P7" s="36">
        <v>15.0</v>
      </c>
      <c r="Q7" s="36">
        <v>0.33</v>
      </c>
      <c r="R7" s="36">
        <v>0.92</v>
      </c>
      <c r="S7" s="36">
        <v>1.89</v>
      </c>
      <c r="T7" s="36">
        <v>2.8</v>
      </c>
      <c r="U7" s="21">
        <f t="shared" si="1"/>
        <v>2800</v>
      </c>
      <c r="V7" s="21">
        <f t="shared" si="2"/>
        <v>2500</v>
      </c>
    </row>
    <row r="8" ht="14.25" customHeight="1">
      <c r="A8" s="38">
        <v>0.13194444444444445</v>
      </c>
      <c r="B8" s="36">
        <v>2.0</v>
      </c>
      <c r="C8" s="36">
        <v>6.0</v>
      </c>
      <c r="D8" s="36">
        <v>452.0</v>
      </c>
      <c r="E8" s="36">
        <v>426.0</v>
      </c>
      <c r="F8" s="36">
        <v>0.94</v>
      </c>
      <c r="G8" s="36">
        <v>21.0</v>
      </c>
      <c r="H8" s="36">
        <v>0.57</v>
      </c>
      <c r="I8" s="36">
        <v>12.1</v>
      </c>
      <c r="J8" s="36">
        <v>94.0</v>
      </c>
      <c r="K8" s="36">
        <v>89.0</v>
      </c>
      <c r="L8" s="36">
        <v>53.6</v>
      </c>
      <c r="M8" s="36">
        <v>103.0</v>
      </c>
      <c r="N8" s="36">
        <v>48.0</v>
      </c>
      <c r="O8" s="36">
        <v>21.0</v>
      </c>
      <c r="P8" s="36">
        <v>15.0</v>
      </c>
      <c r="Q8" s="36">
        <v>0.31</v>
      </c>
      <c r="R8" s="36">
        <v>0.89</v>
      </c>
      <c r="S8" s="36">
        <v>1.96</v>
      </c>
      <c r="T8" s="36">
        <v>2.85</v>
      </c>
      <c r="U8" s="21">
        <f t="shared" si="1"/>
        <v>2850</v>
      </c>
      <c r="V8" s="21">
        <f t="shared" si="2"/>
        <v>4900</v>
      </c>
    </row>
    <row r="9" ht="14.25" customHeight="1">
      <c r="A9" s="38">
        <v>0.13402777777777777</v>
      </c>
      <c r="B9" s="36">
        <v>3.0</v>
      </c>
      <c r="C9" s="36">
        <v>5.9</v>
      </c>
      <c r="D9" s="36">
        <v>441.0</v>
      </c>
      <c r="E9" s="36">
        <v>419.0</v>
      </c>
      <c r="F9" s="36">
        <v>0.95</v>
      </c>
      <c r="G9" s="36">
        <v>21.0</v>
      </c>
      <c r="H9" s="36">
        <v>0.58</v>
      </c>
      <c r="I9" s="36">
        <v>12.0</v>
      </c>
      <c r="J9" s="36">
        <v>94.0</v>
      </c>
      <c r="K9" s="36">
        <v>93.0</v>
      </c>
      <c r="L9" s="36">
        <v>51.2</v>
      </c>
      <c r="M9" s="36">
        <v>103.0</v>
      </c>
      <c r="N9" s="36">
        <v>47.0</v>
      </c>
      <c r="O9" s="36">
        <v>21.0</v>
      </c>
      <c r="P9" s="36">
        <v>15.0</v>
      </c>
      <c r="Q9" s="36">
        <v>0.32</v>
      </c>
      <c r="R9" s="36">
        <v>0.92</v>
      </c>
      <c r="S9" s="36">
        <v>2.0</v>
      </c>
      <c r="T9" s="36">
        <v>2.92</v>
      </c>
      <c r="U9" s="21">
        <f t="shared" si="1"/>
        <v>2920</v>
      </c>
      <c r="V9" s="21">
        <f t="shared" si="2"/>
        <v>0</v>
      </c>
    </row>
    <row r="10" ht="14.25" customHeight="1">
      <c r="A10" s="38">
        <v>0.1361111111111111</v>
      </c>
      <c r="B10" s="36">
        <v>5.0</v>
      </c>
      <c r="C10" s="36">
        <v>5.8</v>
      </c>
      <c r="D10" s="36">
        <v>436.0</v>
      </c>
      <c r="E10" s="36">
        <v>417.0</v>
      </c>
      <c r="F10" s="36">
        <v>0.96</v>
      </c>
      <c r="G10" s="36">
        <v>21.0</v>
      </c>
      <c r="H10" s="36">
        <v>0.59</v>
      </c>
      <c r="I10" s="36">
        <v>12.1</v>
      </c>
      <c r="J10" s="36">
        <v>94.0</v>
      </c>
      <c r="K10" s="36">
        <v>98.0</v>
      </c>
      <c r="L10" s="36">
        <v>48.9</v>
      </c>
      <c r="M10" s="36">
        <v>102.0</v>
      </c>
      <c r="N10" s="36">
        <v>48.0</v>
      </c>
      <c r="O10" s="36">
        <v>21.0</v>
      </c>
      <c r="P10" s="36">
        <v>15.0</v>
      </c>
      <c r="Q10" s="36">
        <v>0.31</v>
      </c>
      <c r="R10" s="36">
        <v>0.89</v>
      </c>
      <c r="S10" s="36">
        <v>2.03</v>
      </c>
      <c r="T10" s="36">
        <v>2.92</v>
      </c>
      <c r="U10" s="21">
        <f t="shared" si="1"/>
        <v>2920</v>
      </c>
      <c r="V10" s="21">
        <f t="shared" si="2"/>
        <v>3600</v>
      </c>
    </row>
    <row r="11" ht="14.25" customHeight="1">
      <c r="A11" s="38">
        <v>0.1375</v>
      </c>
      <c r="B11" s="36">
        <v>6.0</v>
      </c>
      <c r="C11" s="36">
        <v>5.6</v>
      </c>
      <c r="D11" s="36">
        <v>423.0</v>
      </c>
      <c r="E11" s="36">
        <v>407.0</v>
      </c>
      <c r="F11" s="36">
        <v>0.96</v>
      </c>
      <c r="G11" s="36">
        <v>20.0</v>
      </c>
      <c r="H11" s="36">
        <v>0.6</v>
      </c>
      <c r="I11" s="36">
        <v>12.0</v>
      </c>
      <c r="J11" s="36">
        <v>94.0</v>
      </c>
      <c r="K11" s="36">
        <v>102.0</v>
      </c>
      <c r="L11" s="36">
        <v>46.8</v>
      </c>
      <c r="M11" s="36">
        <v>102.0</v>
      </c>
      <c r="N11" s="36">
        <v>48.0</v>
      </c>
      <c r="O11" s="36">
        <v>20.0</v>
      </c>
      <c r="P11" s="36">
        <v>14.0</v>
      </c>
      <c r="Q11" s="36">
        <v>0.3</v>
      </c>
      <c r="R11" s="36">
        <v>0.91</v>
      </c>
      <c r="S11" s="36">
        <v>2.07</v>
      </c>
      <c r="T11" s="36">
        <v>2.98</v>
      </c>
      <c r="U11" s="21">
        <f t="shared" si="1"/>
        <v>2980</v>
      </c>
      <c r="V11" s="21">
        <f t="shared" si="2"/>
        <v>1600</v>
      </c>
    </row>
    <row r="12" ht="14.25" customHeight="1">
      <c r="A12" s="38">
        <v>0.1388888888888889</v>
      </c>
      <c r="B12" s="36">
        <v>7.0</v>
      </c>
      <c r="C12" s="36">
        <v>6.1</v>
      </c>
      <c r="D12" s="36">
        <v>458.0</v>
      </c>
      <c r="E12" s="36">
        <v>442.0</v>
      </c>
      <c r="F12" s="36">
        <v>0.97</v>
      </c>
      <c r="G12" s="36">
        <v>20.0</v>
      </c>
      <c r="H12" s="36">
        <v>0.63</v>
      </c>
      <c r="I12" s="36">
        <v>12.7</v>
      </c>
      <c r="J12" s="36">
        <v>93.7</v>
      </c>
      <c r="K12" s="36">
        <v>104.0</v>
      </c>
      <c r="L12" s="36">
        <v>45.3</v>
      </c>
      <c r="M12" s="36">
        <v>103.0</v>
      </c>
      <c r="N12" s="36">
        <v>47.0</v>
      </c>
      <c r="O12" s="36">
        <v>20.0</v>
      </c>
      <c r="P12" s="36">
        <v>15.0</v>
      </c>
      <c r="Q12" s="36">
        <v>0.3</v>
      </c>
      <c r="R12" s="36">
        <v>0.88</v>
      </c>
      <c r="S12" s="36">
        <v>2.06</v>
      </c>
      <c r="T12" s="36">
        <v>2.94</v>
      </c>
      <c r="U12" s="21">
        <f t="shared" si="1"/>
        <v>2940</v>
      </c>
      <c r="V12" s="21">
        <f t="shared" si="2"/>
        <v>40000</v>
      </c>
    </row>
    <row r="13" ht="14.25" customHeight="1">
      <c r="A13" s="38">
        <v>0.14097222222222222</v>
      </c>
      <c r="B13" s="36">
        <v>8.0</v>
      </c>
      <c r="C13" s="36">
        <v>6.6</v>
      </c>
      <c r="D13" s="36">
        <v>492.0</v>
      </c>
      <c r="E13" s="36">
        <v>472.0</v>
      </c>
      <c r="F13" s="36">
        <v>0.96</v>
      </c>
      <c r="G13" s="36">
        <v>22.0</v>
      </c>
      <c r="H13" s="36">
        <v>0.62</v>
      </c>
      <c r="I13" s="36">
        <v>13.6</v>
      </c>
      <c r="J13" s="36">
        <v>93.2</v>
      </c>
      <c r="K13" s="36">
        <v>106.0</v>
      </c>
      <c r="L13" s="36">
        <v>44.5</v>
      </c>
      <c r="M13" s="36">
        <v>103.0</v>
      </c>
      <c r="N13" s="36">
        <v>48.0</v>
      </c>
      <c r="O13" s="36">
        <v>22.0</v>
      </c>
      <c r="P13" s="36">
        <v>16.0</v>
      </c>
      <c r="Q13" s="36">
        <v>0.32</v>
      </c>
      <c r="R13" s="36">
        <v>0.87</v>
      </c>
      <c r="S13" s="36">
        <v>1.87</v>
      </c>
      <c r="T13" s="36">
        <v>2.74</v>
      </c>
      <c r="U13" s="21">
        <f t="shared" si="1"/>
        <v>2740</v>
      </c>
      <c r="V13" s="21">
        <f t="shared" si="2"/>
        <v>4900</v>
      </c>
    </row>
    <row r="14" ht="14.25" customHeight="1">
      <c r="A14" s="38">
        <v>0.1423611111111111</v>
      </c>
      <c r="B14" s="36">
        <v>9.0</v>
      </c>
      <c r="C14" s="36">
        <v>6.8</v>
      </c>
      <c r="D14" s="36">
        <v>511.0</v>
      </c>
      <c r="E14" s="36">
        <v>486.0</v>
      </c>
      <c r="F14" s="36">
        <v>0.95</v>
      </c>
      <c r="G14" s="36">
        <v>22.0</v>
      </c>
      <c r="H14" s="36">
        <v>0.62</v>
      </c>
      <c r="I14" s="36">
        <v>13.8</v>
      </c>
      <c r="J14" s="36">
        <v>93.2</v>
      </c>
      <c r="K14" s="36">
        <v>107.0</v>
      </c>
      <c r="L14" s="36">
        <v>44.2</v>
      </c>
      <c r="M14" s="36">
        <v>102.0</v>
      </c>
      <c r="N14" s="36">
        <v>48.0</v>
      </c>
      <c r="O14" s="36">
        <v>22.0</v>
      </c>
      <c r="P14" s="36">
        <v>17.0</v>
      </c>
      <c r="Q14" s="36">
        <v>0.33</v>
      </c>
      <c r="R14" s="36">
        <v>0.87</v>
      </c>
      <c r="S14" s="36">
        <v>1.8</v>
      </c>
      <c r="T14" s="36">
        <v>2.67</v>
      </c>
      <c r="U14" s="21">
        <f t="shared" si="1"/>
        <v>2670</v>
      </c>
      <c r="V14" s="21">
        <f t="shared" si="2"/>
        <v>14400</v>
      </c>
    </row>
    <row r="15" ht="14.25" customHeight="1">
      <c r="A15" s="38">
        <v>0.14375</v>
      </c>
      <c r="B15" s="36">
        <v>11.0</v>
      </c>
      <c r="C15" s="36">
        <v>7.4</v>
      </c>
      <c r="D15" s="36">
        <v>558.0</v>
      </c>
      <c r="E15" s="36">
        <v>526.0</v>
      </c>
      <c r="F15" s="36">
        <v>0.94</v>
      </c>
      <c r="G15" s="36">
        <v>24.0</v>
      </c>
      <c r="H15" s="36">
        <v>0.62</v>
      </c>
      <c r="I15" s="36">
        <v>14.6</v>
      </c>
      <c r="J15" s="36">
        <v>92.8</v>
      </c>
      <c r="K15" s="36">
        <v>107.0</v>
      </c>
      <c r="L15" s="36">
        <v>44.0</v>
      </c>
      <c r="M15" s="36">
        <v>102.0</v>
      </c>
      <c r="N15" s="36">
        <v>48.0</v>
      </c>
      <c r="O15" s="36">
        <v>24.0</v>
      </c>
      <c r="P15" s="36">
        <v>19.0</v>
      </c>
      <c r="Q15" s="36">
        <v>0.35</v>
      </c>
      <c r="R15" s="36">
        <v>0.88</v>
      </c>
      <c r="S15" s="36">
        <v>1.67</v>
      </c>
      <c r="T15" s="36">
        <v>2.55</v>
      </c>
      <c r="U15" s="21">
        <f t="shared" si="1"/>
        <v>2550</v>
      </c>
      <c r="V15" s="21">
        <f t="shared" si="2"/>
        <v>10000</v>
      </c>
    </row>
    <row r="16" ht="14.25" customHeight="1">
      <c r="A16" s="38">
        <v>0.14583333333333334</v>
      </c>
      <c r="B16" s="36">
        <v>11.0</v>
      </c>
      <c r="C16" s="36">
        <v>8.4</v>
      </c>
      <c r="D16" s="36">
        <v>630.0</v>
      </c>
      <c r="E16" s="36">
        <v>594.0</v>
      </c>
      <c r="F16" s="36">
        <v>0.94</v>
      </c>
      <c r="G16" s="36">
        <v>24.0</v>
      </c>
      <c r="H16" s="36">
        <v>0.66</v>
      </c>
      <c r="I16" s="36">
        <v>16.2</v>
      </c>
      <c r="J16" s="36">
        <v>92.0</v>
      </c>
      <c r="K16" s="36">
        <v>107.0</v>
      </c>
      <c r="L16" s="36">
        <v>44.0</v>
      </c>
      <c r="M16" s="36">
        <v>102.0</v>
      </c>
      <c r="N16" s="36">
        <v>48.0</v>
      </c>
      <c r="O16" s="36">
        <v>24.0</v>
      </c>
      <c r="P16" s="36">
        <v>21.0</v>
      </c>
      <c r="Q16" s="36">
        <v>0.36</v>
      </c>
      <c r="R16" s="36">
        <v>0.88</v>
      </c>
      <c r="S16" s="36">
        <v>1.58</v>
      </c>
      <c r="T16" s="36">
        <v>2.45</v>
      </c>
      <c r="U16" s="21">
        <f t="shared" si="1"/>
        <v>2450</v>
      </c>
      <c r="V16" s="21">
        <f t="shared" si="2"/>
        <v>2500</v>
      </c>
    </row>
    <row r="17" ht="14.25" customHeight="1">
      <c r="A17" s="38">
        <v>0.14722222222222223</v>
      </c>
      <c r="B17" s="36">
        <v>13.0</v>
      </c>
      <c r="C17" s="36">
        <v>8.9</v>
      </c>
      <c r="D17" s="36">
        <v>666.0</v>
      </c>
      <c r="E17" s="36">
        <v>631.0</v>
      </c>
      <c r="F17" s="36">
        <v>0.95</v>
      </c>
      <c r="G17" s="36">
        <v>25.0</v>
      </c>
      <c r="H17" s="36">
        <v>0.68</v>
      </c>
      <c r="I17" s="36">
        <v>16.9</v>
      </c>
      <c r="J17" s="36">
        <v>91.6</v>
      </c>
      <c r="K17" s="36">
        <v>107.0</v>
      </c>
      <c r="L17" s="36">
        <v>44.2</v>
      </c>
      <c r="M17" s="36">
        <v>103.0</v>
      </c>
      <c r="N17" s="36">
        <v>47.0</v>
      </c>
      <c r="O17" s="36">
        <v>25.0</v>
      </c>
      <c r="P17" s="36">
        <v>22.0</v>
      </c>
      <c r="Q17" s="36">
        <v>0.37</v>
      </c>
      <c r="R17" s="36">
        <v>0.89</v>
      </c>
      <c r="S17" s="36">
        <v>1.51</v>
      </c>
      <c r="T17" s="36">
        <v>2.4</v>
      </c>
      <c r="U17" s="21">
        <f t="shared" si="1"/>
        <v>2400</v>
      </c>
      <c r="V17" s="21">
        <f t="shared" si="2"/>
        <v>900</v>
      </c>
    </row>
    <row r="18" ht="14.25" customHeight="1">
      <c r="A18" s="38">
        <v>0.14930555555555555</v>
      </c>
      <c r="B18" s="36">
        <v>14.0</v>
      </c>
      <c r="C18" s="36">
        <v>8.9</v>
      </c>
      <c r="D18" s="36">
        <v>670.0</v>
      </c>
      <c r="E18" s="36">
        <v>637.0</v>
      </c>
      <c r="F18" s="36">
        <v>0.95</v>
      </c>
      <c r="G18" s="36">
        <v>25.0</v>
      </c>
      <c r="H18" s="36">
        <v>0.69</v>
      </c>
      <c r="I18" s="36">
        <v>17.0</v>
      </c>
      <c r="J18" s="36">
        <v>91.6</v>
      </c>
      <c r="K18" s="36">
        <v>107.0</v>
      </c>
      <c r="L18" s="36">
        <v>44.0</v>
      </c>
      <c r="M18" s="36">
        <v>103.0</v>
      </c>
      <c r="N18" s="36">
        <v>48.0</v>
      </c>
      <c r="O18" s="36">
        <v>25.0</v>
      </c>
      <c r="P18" s="36">
        <v>22.0</v>
      </c>
      <c r="Q18" s="36">
        <v>0.36</v>
      </c>
      <c r="R18" s="36">
        <v>0.88</v>
      </c>
      <c r="S18" s="36">
        <v>1.55</v>
      </c>
      <c r="T18" s="36">
        <v>2.43</v>
      </c>
      <c r="U18" s="21">
        <f t="shared" si="1"/>
        <v>2430</v>
      </c>
      <c r="V18" s="21">
        <f t="shared" si="2"/>
        <v>100</v>
      </c>
    </row>
    <row r="19" ht="14.25" customHeight="1">
      <c r="A19" s="38">
        <v>0.15069444444444444</v>
      </c>
      <c r="B19" s="36">
        <v>15.0</v>
      </c>
      <c r="C19" s="36">
        <v>8.5</v>
      </c>
      <c r="D19" s="36">
        <v>637.0</v>
      </c>
      <c r="E19" s="36">
        <v>610.0</v>
      </c>
      <c r="F19" s="36">
        <v>0.96</v>
      </c>
      <c r="G19" s="36">
        <v>25.0</v>
      </c>
      <c r="H19" s="36">
        <v>0.66</v>
      </c>
      <c r="I19" s="36">
        <v>16.4</v>
      </c>
      <c r="J19" s="36">
        <v>91.9</v>
      </c>
      <c r="K19" s="36">
        <v>106.0</v>
      </c>
      <c r="L19" s="36">
        <v>44.6</v>
      </c>
      <c r="M19" s="36">
        <v>103.0</v>
      </c>
      <c r="N19" s="36">
        <v>48.0</v>
      </c>
      <c r="O19" s="36">
        <v>25.0</v>
      </c>
      <c r="P19" s="36">
        <v>21.0</v>
      </c>
      <c r="Q19" s="36">
        <v>0.36</v>
      </c>
      <c r="R19" s="36">
        <v>0.88</v>
      </c>
      <c r="S19" s="36">
        <v>1.55</v>
      </c>
      <c r="T19" s="36">
        <v>2.42</v>
      </c>
      <c r="U19" s="21">
        <f t="shared" si="1"/>
        <v>2420</v>
      </c>
      <c r="V19" s="21">
        <f t="shared" si="2"/>
        <v>3600</v>
      </c>
    </row>
    <row r="20" ht="14.25" customHeight="1">
      <c r="A20" s="38">
        <v>0.1527777777777778</v>
      </c>
      <c r="B20" s="36">
        <v>17.0</v>
      </c>
      <c r="C20" s="36">
        <v>8.4</v>
      </c>
      <c r="D20" s="36">
        <v>633.0</v>
      </c>
      <c r="E20" s="36">
        <v>620.0</v>
      </c>
      <c r="F20" s="36">
        <v>0.98</v>
      </c>
      <c r="G20" s="36">
        <v>24.0</v>
      </c>
      <c r="H20" s="36">
        <v>0.68</v>
      </c>
      <c r="I20" s="36">
        <v>16.5</v>
      </c>
      <c r="J20" s="36">
        <v>91.8</v>
      </c>
      <c r="K20" s="36">
        <v>105.0</v>
      </c>
      <c r="L20" s="36">
        <v>44.8</v>
      </c>
      <c r="M20" s="36">
        <v>104.0</v>
      </c>
      <c r="N20" s="36">
        <v>47.0</v>
      </c>
      <c r="O20" s="36">
        <v>24.0</v>
      </c>
      <c r="P20" s="36">
        <v>21.0</v>
      </c>
      <c r="Q20" s="36">
        <v>0.34</v>
      </c>
      <c r="R20" s="36">
        <v>0.85</v>
      </c>
      <c r="S20" s="36">
        <v>1.63</v>
      </c>
      <c r="T20" s="36">
        <v>2.48</v>
      </c>
      <c r="U20" s="21">
        <f t="shared" si="1"/>
        <v>2480</v>
      </c>
      <c r="V20" s="21">
        <f t="shared" si="2"/>
        <v>400</v>
      </c>
    </row>
    <row r="21" ht="14.25" customHeight="1">
      <c r="A21" s="38">
        <v>0.15486111111111112</v>
      </c>
      <c r="B21" s="36">
        <v>18.0</v>
      </c>
      <c r="C21" s="36">
        <v>8.3</v>
      </c>
      <c r="D21" s="36">
        <v>624.0</v>
      </c>
      <c r="E21" s="36">
        <v>616.0</v>
      </c>
      <c r="F21" s="36">
        <v>0.99</v>
      </c>
      <c r="G21" s="36">
        <v>24.0</v>
      </c>
      <c r="H21" s="36">
        <v>0.68</v>
      </c>
      <c r="I21" s="36">
        <v>16.5</v>
      </c>
      <c r="J21" s="36">
        <v>91.8</v>
      </c>
      <c r="K21" s="36">
        <v>105.0</v>
      </c>
      <c r="L21" s="36">
        <v>45.0</v>
      </c>
      <c r="M21" s="36">
        <v>105.0</v>
      </c>
      <c r="N21" s="36">
        <v>47.0</v>
      </c>
      <c r="O21" s="36">
        <v>24.0</v>
      </c>
      <c r="P21" s="36">
        <v>21.0</v>
      </c>
      <c r="Q21" s="36">
        <v>0.35</v>
      </c>
      <c r="R21" s="36">
        <v>0.85</v>
      </c>
      <c r="S21" s="36">
        <v>1.61</v>
      </c>
      <c r="T21" s="36">
        <v>2.46</v>
      </c>
      <c r="U21" s="21">
        <f t="shared" si="1"/>
        <v>2460</v>
      </c>
      <c r="V21" s="21">
        <f t="shared" si="2"/>
        <v>100</v>
      </c>
    </row>
    <row r="22" ht="14.25" customHeight="1">
      <c r="A22" s="38">
        <v>0.15625</v>
      </c>
      <c r="B22" s="36">
        <v>19.0</v>
      </c>
      <c r="C22" s="36">
        <v>8.3</v>
      </c>
      <c r="D22" s="36">
        <v>621.0</v>
      </c>
      <c r="E22" s="36">
        <v>623.0</v>
      </c>
      <c r="F22" s="36">
        <v>1.0</v>
      </c>
      <c r="G22" s="36">
        <v>25.0</v>
      </c>
      <c r="H22" s="36">
        <v>0.68</v>
      </c>
      <c r="I22" s="36">
        <v>16.7</v>
      </c>
      <c r="J22" s="36">
        <v>91.7</v>
      </c>
      <c r="K22" s="36">
        <v>105.0</v>
      </c>
      <c r="L22" s="36">
        <v>45.3</v>
      </c>
      <c r="M22" s="36">
        <v>105.0</v>
      </c>
      <c r="N22" s="36">
        <v>47.0</v>
      </c>
      <c r="O22" s="36">
        <v>25.0</v>
      </c>
      <c r="P22" s="36">
        <v>21.0</v>
      </c>
      <c r="Q22" s="36">
        <v>0.34</v>
      </c>
      <c r="R22" s="36">
        <v>0.83</v>
      </c>
      <c r="S22" s="36">
        <v>1.62</v>
      </c>
      <c r="T22" s="36">
        <v>2.45</v>
      </c>
      <c r="U22" s="21">
        <f t="shared" si="1"/>
        <v>2450</v>
      </c>
      <c r="V22" s="21">
        <f t="shared" si="2"/>
        <v>400</v>
      </c>
    </row>
    <row r="23" ht="14.25" customHeight="1">
      <c r="A23" s="38">
        <v>0.15833333333333333</v>
      </c>
      <c r="B23" s="36">
        <v>20.0</v>
      </c>
      <c r="C23" s="36">
        <v>8.0</v>
      </c>
      <c r="D23" s="36">
        <v>600.0</v>
      </c>
      <c r="E23" s="36">
        <v>602.0</v>
      </c>
      <c r="F23" s="36">
        <v>1.0</v>
      </c>
      <c r="G23" s="36">
        <v>25.0</v>
      </c>
      <c r="H23" s="36">
        <v>0.66</v>
      </c>
      <c r="I23" s="36">
        <v>16.3</v>
      </c>
      <c r="J23" s="36">
        <v>91.9</v>
      </c>
      <c r="K23" s="36">
        <v>105.0</v>
      </c>
      <c r="L23" s="36">
        <v>45.3</v>
      </c>
      <c r="M23" s="36">
        <v>105.0</v>
      </c>
      <c r="N23" s="36">
        <v>47.0</v>
      </c>
      <c r="O23" s="36">
        <v>25.0</v>
      </c>
      <c r="P23" s="36">
        <v>20.0</v>
      </c>
      <c r="Q23" s="36">
        <v>0.34</v>
      </c>
      <c r="R23" s="36">
        <v>0.83</v>
      </c>
      <c r="S23" s="36">
        <v>1.6</v>
      </c>
      <c r="T23" s="36">
        <v>2.43</v>
      </c>
      <c r="U23" s="21">
        <f t="shared" si="1"/>
        <v>2430</v>
      </c>
      <c r="V23" s="21">
        <f t="shared" si="2"/>
        <v>3600</v>
      </c>
    </row>
    <row r="24" ht="14.25" customHeight="1">
      <c r="A24" s="38">
        <v>0.1597222222222222</v>
      </c>
      <c r="B24" s="36">
        <v>22.0</v>
      </c>
      <c r="C24" s="36">
        <v>8.0</v>
      </c>
      <c r="D24" s="36">
        <v>602.0</v>
      </c>
      <c r="E24" s="36">
        <v>610.0</v>
      </c>
      <c r="F24" s="36">
        <v>1.01</v>
      </c>
      <c r="G24" s="36">
        <v>24.0</v>
      </c>
      <c r="H24" s="36">
        <v>0.68</v>
      </c>
      <c r="I24" s="36">
        <v>16.4</v>
      </c>
      <c r="J24" s="36">
        <v>91.9</v>
      </c>
      <c r="K24" s="36">
        <v>104.0</v>
      </c>
      <c r="L24" s="36">
        <v>45.6</v>
      </c>
      <c r="M24" s="36">
        <v>105.0</v>
      </c>
      <c r="N24" s="36">
        <v>47.0</v>
      </c>
      <c r="O24" s="36">
        <v>24.0</v>
      </c>
      <c r="P24" s="36">
        <v>20.0</v>
      </c>
      <c r="Q24" s="36">
        <v>0.33</v>
      </c>
      <c r="R24" s="36">
        <v>0.82</v>
      </c>
      <c r="S24" s="36">
        <v>1.67</v>
      </c>
      <c r="T24" s="36">
        <v>2.49</v>
      </c>
      <c r="U24" s="21">
        <f t="shared" si="1"/>
        <v>2490</v>
      </c>
      <c r="V24" s="21">
        <f t="shared" si="2"/>
        <v>900</v>
      </c>
    </row>
    <row r="25" ht="14.25" customHeight="1">
      <c r="A25" s="38">
        <v>0.16180555555555556</v>
      </c>
      <c r="B25" s="36">
        <v>23.0</v>
      </c>
      <c r="C25" s="36">
        <v>8.0</v>
      </c>
      <c r="D25" s="36">
        <v>597.0</v>
      </c>
      <c r="E25" s="36">
        <v>611.0</v>
      </c>
      <c r="F25" s="36">
        <v>1.02</v>
      </c>
      <c r="G25" s="36">
        <v>24.0</v>
      </c>
      <c r="H25" s="36">
        <v>0.69</v>
      </c>
      <c r="I25" s="36">
        <v>16.4</v>
      </c>
      <c r="J25" s="36">
        <v>91.9</v>
      </c>
      <c r="K25" s="36">
        <v>104.0</v>
      </c>
      <c r="L25" s="36">
        <v>45.6</v>
      </c>
      <c r="M25" s="36">
        <v>106.0</v>
      </c>
      <c r="N25" s="36">
        <v>47.0</v>
      </c>
      <c r="O25" s="36">
        <v>24.0</v>
      </c>
      <c r="P25" s="36">
        <v>20.0</v>
      </c>
      <c r="Q25" s="36">
        <v>0.34</v>
      </c>
      <c r="R25" s="36">
        <v>0.84</v>
      </c>
      <c r="S25" s="36">
        <v>1.67</v>
      </c>
      <c r="T25" s="36">
        <v>2.52</v>
      </c>
      <c r="U25" s="21">
        <f t="shared" si="1"/>
        <v>2520</v>
      </c>
      <c r="V25" s="21">
        <f t="shared" si="2"/>
        <v>1600</v>
      </c>
    </row>
    <row r="26" ht="14.25" customHeight="1">
      <c r="A26" s="38">
        <v>0.16319444444444445</v>
      </c>
      <c r="B26" s="36">
        <v>24.0</v>
      </c>
      <c r="C26" s="36">
        <v>7.7</v>
      </c>
      <c r="D26" s="36">
        <v>579.0</v>
      </c>
      <c r="E26" s="36">
        <v>599.0</v>
      </c>
      <c r="F26" s="36">
        <v>1.03</v>
      </c>
      <c r="G26" s="36">
        <v>23.0</v>
      </c>
      <c r="H26" s="36">
        <v>0.69</v>
      </c>
      <c r="I26" s="36">
        <v>16.2</v>
      </c>
      <c r="J26" s="36">
        <v>92.0</v>
      </c>
      <c r="K26" s="36">
        <v>105.0</v>
      </c>
      <c r="L26" s="36">
        <v>45.1</v>
      </c>
      <c r="M26" s="36">
        <v>106.0</v>
      </c>
      <c r="N26" s="36">
        <v>47.0</v>
      </c>
      <c r="O26" s="36">
        <v>23.0</v>
      </c>
      <c r="P26" s="36">
        <v>19.0</v>
      </c>
      <c r="Q26" s="36">
        <v>0.34</v>
      </c>
      <c r="R26" s="36">
        <v>0.87</v>
      </c>
      <c r="S26" s="36">
        <v>1.7</v>
      </c>
      <c r="T26" s="36">
        <v>2.56</v>
      </c>
      <c r="U26" s="21">
        <f t="shared" si="1"/>
        <v>2560</v>
      </c>
      <c r="V26" s="21">
        <f t="shared" si="2"/>
        <v>2500</v>
      </c>
    </row>
    <row r="27" ht="14.25" customHeight="1">
      <c r="A27" s="38">
        <v>0.16527777777777777</v>
      </c>
      <c r="B27" s="36">
        <v>25.0</v>
      </c>
      <c r="C27" s="36">
        <v>7.5</v>
      </c>
      <c r="D27" s="36">
        <v>562.0</v>
      </c>
      <c r="E27" s="36">
        <v>587.0</v>
      </c>
      <c r="F27" s="36">
        <v>1.04</v>
      </c>
      <c r="G27" s="36">
        <v>23.0</v>
      </c>
      <c r="H27" s="36">
        <v>0.69</v>
      </c>
      <c r="I27" s="36">
        <v>15.9</v>
      </c>
      <c r="J27" s="36">
        <v>92.1</v>
      </c>
      <c r="K27" s="36">
        <v>100.0</v>
      </c>
      <c r="L27" s="36">
        <v>47.9</v>
      </c>
      <c r="M27" s="36">
        <v>106.0</v>
      </c>
      <c r="N27" s="36">
        <v>47.0</v>
      </c>
      <c r="O27" s="36">
        <v>23.0</v>
      </c>
      <c r="P27" s="36">
        <v>19.0</v>
      </c>
      <c r="Q27" s="36">
        <v>0.34</v>
      </c>
      <c r="R27" s="36">
        <v>0.89</v>
      </c>
      <c r="S27" s="36">
        <v>1.73</v>
      </c>
      <c r="T27" s="36">
        <v>2.61</v>
      </c>
      <c r="U27" s="21">
        <f t="shared" si="1"/>
        <v>2610</v>
      </c>
      <c r="V27" s="21">
        <f t="shared" si="2"/>
        <v>0</v>
      </c>
    </row>
    <row r="28" ht="14.25" customHeight="1">
      <c r="A28" s="38">
        <v>0.1673611111111111</v>
      </c>
      <c r="B28" s="36">
        <v>27.0</v>
      </c>
      <c r="C28" s="36">
        <v>7.5</v>
      </c>
      <c r="D28" s="36">
        <v>562.0</v>
      </c>
      <c r="E28" s="36">
        <v>587.0</v>
      </c>
      <c r="F28" s="36">
        <v>1.04</v>
      </c>
      <c r="G28" s="36">
        <v>23.0</v>
      </c>
      <c r="H28" s="36">
        <v>0.69</v>
      </c>
      <c r="I28" s="36">
        <v>15.9</v>
      </c>
      <c r="J28" s="36">
        <v>92.1</v>
      </c>
      <c r="K28" s="36">
        <v>98.0</v>
      </c>
      <c r="L28" s="36">
        <v>48.7</v>
      </c>
      <c r="M28" s="36">
        <v>106.0</v>
      </c>
      <c r="N28" s="36">
        <v>47.0</v>
      </c>
      <c r="O28" s="36">
        <v>23.0</v>
      </c>
      <c r="P28" s="36">
        <v>19.0</v>
      </c>
      <c r="Q28" s="36">
        <v>0.34</v>
      </c>
      <c r="R28" s="36">
        <v>0.89</v>
      </c>
      <c r="S28" s="36">
        <v>1.73</v>
      </c>
      <c r="T28" s="36">
        <v>2.61</v>
      </c>
      <c r="U28" s="21">
        <f t="shared" si="1"/>
        <v>2610</v>
      </c>
      <c r="V28" s="21">
        <f t="shared" si="2"/>
        <v>3600</v>
      </c>
    </row>
    <row r="29" ht="14.25" customHeight="1">
      <c r="A29" s="38">
        <v>0.16944444444444445</v>
      </c>
      <c r="B29" s="36">
        <v>28.0</v>
      </c>
      <c r="C29" s="36">
        <v>7.0</v>
      </c>
      <c r="D29" s="36">
        <v>527.0</v>
      </c>
      <c r="E29" s="36">
        <v>555.0</v>
      </c>
      <c r="F29" s="36">
        <v>1.05</v>
      </c>
      <c r="G29" s="36">
        <v>22.0</v>
      </c>
      <c r="H29" s="36">
        <v>0.67</v>
      </c>
      <c r="I29" s="36">
        <v>15.1</v>
      </c>
      <c r="J29" s="36">
        <v>92.5</v>
      </c>
      <c r="K29" s="36">
        <v>97.0</v>
      </c>
      <c r="L29" s="36">
        <v>49.0</v>
      </c>
      <c r="M29" s="36">
        <v>106.0</v>
      </c>
      <c r="N29" s="36">
        <v>47.0</v>
      </c>
      <c r="O29" s="36">
        <v>22.0</v>
      </c>
      <c r="P29" s="36">
        <v>18.0</v>
      </c>
      <c r="Q29" s="36">
        <v>0.34</v>
      </c>
      <c r="R29" s="36">
        <v>0.91</v>
      </c>
      <c r="S29" s="36">
        <v>1.76</v>
      </c>
      <c r="T29" s="36">
        <v>2.67</v>
      </c>
      <c r="U29" s="21">
        <f t="shared" si="1"/>
        <v>2670</v>
      </c>
      <c r="V29" s="21">
        <f t="shared" si="2"/>
        <v>2500</v>
      </c>
    </row>
    <row r="30" ht="14.25" customHeight="1">
      <c r="A30" s="38">
        <v>0.17152777777777778</v>
      </c>
      <c r="B30" s="36">
        <v>30.0</v>
      </c>
      <c r="C30" s="36">
        <v>6.8</v>
      </c>
      <c r="D30" s="36">
        <v>511.0</v>
      </c>
      <c r="E30" s="36">
        <v>541.0</v>
      </c>
      <c r="F30" s="36">
        <v>1.06</v>
      </c>
      <c r="G30" s="36">
        <v>22.0</v>
      </c>
      <c r="H30" s="36">
        <v>0.67</v>
      </c>
      <c r="I30" s="36">
        <v>14.8</v>
      </c>
      <c r="J30" s="36">
        <v>92.7</v>
      </c>
      <c r="K30" s="36">
        <v>95.0</v>
      </c>
      <c r="L30" s="36">
        <v>50.2</v>
      </c>
      <c r="M30" s="36">
        <v>107.0</v>
      </c>
      <c r="N30" s="36">
        <v>47.0</v>
      </c>
      <c r="O30" s="36">
        <v>22.0</v>
      </c>
      <c r="P30" s="36">
        <v>17.0</v>
      </c>
      <c r="Q30" s="36">
        <v>0.34</v>
      </c>
      <c r="R30" s="36">
        <v>0.93</v>
      </c>
      <c r="S30" s="36">
        <v>1.8</v>
      </c>
      <c r="T30" s="36">
        <v>2.72</v>
      </c>
      <c r="U30" s="21">
        <f t="shared" si="1"/>
        <v>2720</v>
      </c>
      <c r="V30" s="21">
        <f t="shared" si="2"/>
        <v>6400</v>
      </c>
    </row>
    <row r="31" ht="14.25" customHeight="1">
      <c r="A31" s="38">
        <v>0.1736111111111111</v>
      </c>
      <c r="B31" s="36">
        <v>31.0</v>
      </c>
      <c r="C31" s="36">
        <v>6.4</v>
      </c>
      <c r="D31" s="36">
        <v>479.0</v>
      </c>
      <c r="E31" s="36">
        <v>508.0</v>
      </c>
      <c r="F31" s="36">
        <v>1.06</v>
      </c>
      <c r="G31" s="36">
        <v>21.0</v>
      </c>
      <c r="H31" s="36">
        <v>0.65</v>
      </c>
      <c r="I31" s="36">
        <v>14.0</v>
      </c>
      <c r="J31" s="36">
        <v>93.1</v>
      </c>
      <c r="K31" s="36">
        <v>92.0</v>
      </c>
      <c r="L31" s="36">
        <v>51.7</v>
      </c>
      <c r="M31" s="36">
        <v>107.0</v>
      </c>
      <c r="N31" s="36">
        <v>47.0</v>
      </c>
      <c r="O31" s="36">
        <v>21.0</v>
      </c>
      <c r="P31" s="36">
        <v>16.0</v>
      </c>
      <c r="Q31" s="36">
        <v>0.33</v>
      </c>
      <c r="R31" s="36">
        <v>0.92</v>
      </c>
      <c r="S31" s="36">
        <v>1.87</v>
      </c>
      <c r="T31" s="36">
        <v>2.8</v>
      </c>
      <c r="U31" s="21">
        <f t="shared" si="1"/>
        <v>2800</v>
      </c>
      <c r="V31" s="21">
        <f t="shared" si="2"/>
        <v>0</v>
      </c>
    </row>
    <row r="32" ht="14.25" customHeight="1">
      <c r="A32" s="38">
        <v>0.17569444444444443</v>
      </c>
      <c r="B32" s="36">
        <v>33.0</v>
      </c>
      <c r="C32" s="36">
        <v>6.0</v>
      </c>
      <c r="D32" s="36">
        <v>450.0</v>
      </c>
      <c r="E32" s="36">
        <v>479.0</v>
      </c>
      <c r="F32" s="36">
        <v>1.06</v>
      </c>
      <c r="G32" s="36">
        <v>21.0</v>
      </c>
      <c r="H32" s="36">
        <v>0.62</v>
      </c>
      <c r="I32" s="36">
        <v>13.4</v>
      </c>
      <c r="J32" s="36">
        <v>93.4</v>
      </c>
      <c r="K32" s="36">
        <v>91.0</v>
      </c>
      <c r="L32" s="36">
        <v>52.2</v>
      </c>
      <c r="M32" s="36">
        <v>107.0</v>
      </c>
      <c r="N32" s="36">
        <v>47.0</v>
      </c>
      <c r="O32" s="36">
        <v>21.0</v>
      </c>
      <c r="P32" s="36">
        <v>15.0</v>
      </c>
      <c r="Q32" s="36">
        <v>0.33</v>
      </c>
      <c r="R32" s="36">
        <v>0.93</v>
      </c>
      <c r="S32" s="36">
        <v>1.88</v>
      </c>
      <c r="T32" s="36">
        <v>2.8</v>
      </c>
      <c r="U32" s="21">
        <f t="shared" si="1"/>
        <v>2800</v>
      </c>
      <c r="V32" s="21">
        <f t="shared" si="2"/>
        <v>2500</v>
      </c>
    </row>
    <row r="33" ht="14.25" customHeight="1">
      <c r="A33" s="38">
        <v>0.17708333333333334</v>
      </c>
      <c r="B33" s="36">
        <v>35.0</v>
      </c>
      <c r="C33" s="36">
        <v>5.8</v>
      </c>
      <c r="D33" s="36">
        <v>434.0</v>
      </c>
      <c r="E33" s="36">
        <v>459.0</v>
      </c>
      <c r="F33" s="36">
        <v>1.06</v>
      </c>
      <c r="G33" s="36">
        <v>21.0</v>
      </c>
      <c r="H33" s="36">
        <v>0.6</v>
      </c>
      <c r="I33" s="36">
        <v>12.7</v>
      </c>
      <c r="J33" s="36">
        <v>93.7</v>
      </c>
      <c r="K33" s="36">
        <v>92.0</v>
      </c>
      <c r="L33" s="36">
        <v>52.1</v>
      </c>
      <c r="M33" s="36">
        <v>106.0</v>
      </c>
      <c r="N33" s="36">
        <v>48.0</v>
      </c>
      <c r="O33" s="36">
        <v>21.0</v>
      </c>
      <c r="P33" s="36">
        <v>14.0</v>
      </c>
      <c r="Q33" s="36">
        <v>0.32</v>
      </c>
      <c r="R33" s="36">
        <v>0.91</v>
      </c>
      <c r="S33" s="36">
        <v>1.94</v>
      </c>
      <c r="T33" s="36">
        <v>2.85</v>
      </c>
      <c r="U33" s="21">
        <f t="shared" si="1"/>
        <v>2850</v>
      </c>
      <c r="V33" s="21">
        <f t="shared" si="2"/>
        <v>900</v>
      </c>
    </row>
    <row r="34" ht="14.25" customHeight="1">
      <c r="A34" s="38">
        <v>0.1798611111111111</v>
      </c>
      <c r="B34" s="36">
        <v>36.0</v>
      </c>
      <c r="C34" s="36">
        <v>5.6</v>
      </c>
      <c r="D34" s="36">
        <v>421.0</v>
      </c>
      <c r="E34" s="36">
        <v>444.0</v>
      </c>
      <c r="F34" s="36">
        <v>1.05</v>
      </c>
      <c r="G34" s="36">
        <v>21.0</v>
      </c>
      <c r="H34" s="36">
        <v>0.59</v>
      </c>
      <c r="I34" s="36">
        <v>12.3</v>
      </c>
      <c r="J34" s="36">
        <v>93.9</v>
      </c>
      <c r="K34" s="36">
        <v>93.0</v>
      </c>
      <c r="L34" s="36">
        <v>51.4</v>
      </c>
      <c r="M34" s="36">
        <v>106.0</v>
      </c>
      <c r="N34" s="36">
        <v>48.0</v>
      </c>
      <c r="O34" s="36">
        <v>21.0</v>
      </c>
      <c r="P34" s="36">
        <v>14.0</v>
      </c>
      <c r="Q34" s="36">
        <v>0.31</v>
      </c>
      <c r="R34" s="36">
        <v>0.9</v>
      </c>
      <c r="S34" s="36">
        <v>1.98</v>
      </c>
      <c r="T34" s="36">
        <v>2.88</v>
      </c>
      <c r="U34" s="21">
        <f t="shared" si="1"/>
        <v>2880</v>
      </c>
      <c r="V34" s="21">
        <f t="shared" si="2"/>
        <v>100</v>
      </c>
    </row>
    <row r="35" ht="14.25" customHeight="1">
      <c r="A35" s="38">
        <v>0.18194444444444444</v>
      </c>
      <c r="B35" s="36">
        <v>38.0</v>
      </c>
      <c r="C35" s="36">
        <v>5.8</v>
      </c>
      <c r="D35" s="36">
        <v>434.0</v>
      </c>
      <c r="E35" s="36">
        <v>456.0</v>
      </c>
      <c r="F35" s="36">
        <v>1.05</v>
      </c>
      <c r="G35" s="36">
        <v>21.0</v>
      </c>
      <c r="H35" s="36">
        <v>0.6</v>
      </c>
      <c r="I35" s="36">
        <v>12.5</v>
      </c>
      <c r="J35" s="36">
        <v>93.8</v>
      </c>
      <c r="K35" s="36">
        <v>94.0</v>
      </c>
      <c r="L35" s="36">
        <v>50.8</v>
      </c>
      <c r="M35" s="36">
        <v>106.0</v>
      </c>
      <c r="N35" s="36">
        <v>48.0</v>
      </c>
      <c r="O35" s="36">
        <v>21.0</v>
      </c>
      <c r="P35" s="36">
        <v>14.0</v>
      </c>
      <c r="Q35" s="36">
        <v>0.32</v>
      </c>
      <c r="R35" s="36">
        <v>0.91</v>
      </c>
      <c r="S35" s="36">
        <v>1.98</v>
      </c>
      <c r="T35" s="36">
        <v>2.89</v>
      </c>
      <c r="U35" s="21">
        <f t="shared" si="1"/>
        <v>2890</v>
      </c>
      <c r="V35" s="21">
        <f t="shared" si="2"/>
        <v>2500</v>
      </c>
    </row>
    <row r="36" ht="14.25" customHeight="1">
      <c r="A36" s="38">
        <v>0.1840277777777778</v>
      </c>
      <c r="B36" s="36">
        <v>39.0</v>
      </c>
      <c r="C36" s="36">
        <v>6.0</v>
      </c>
      <c r="D36" s="36">
        <v>449.0</v>
      </c>
      <c r="E36" s="36">
        <v>463.0</v>
      </c>
      <c r="F36" s="36">
        <v>1.03</v>
      </c>
      <c r="G36" s="36">
        <v>21.0</v>
      </c>
      <c r="H36" s="36">
        <v>0.6</v>
      </c>
      <c r="I36" s="36">
        <v>12.8</v>
      </c>
      <c r="J36" s="36">
        <v>93.7</v>
      </c>
      <c r="K36" s="36">
        <v>94.0</v>
      </c>
      <c r="L36" s="36">
        <v>51.0</v>
      </c>
      <c r="M36" s="36">
        <v>105.0</v>
      </c>
      <c r="N36" s="36">
        <v>48.0</v>
      </c>
      <c r="O36" s="36">
        <v>21.0</v>
      </c>
      <c r="P36" s="36">
        <v>15.0</v>
      </c>
      <c r="Q36" s="36">
        <v>0.32</v>
      </c>
      <c r="R36" s="36">
        <v>0.92</v>
      </c>
      <c r="S36" s="36">
        <v>1.92</v>
      </c>
      <c r="T36" s="36">
        <v>2.84</v>
      </c>
      <c r="U36" s="21">
        <f t="shared" si="1"/>
        <v>2840</v>
      </c>
      <c r="V36" s="21">
        <f t="shared" si="2"/>
        <v>0</v>
      </c>
    </row>
    <row r="37" ht="14.25" customHeight="1">
      <c r="A37" s="38">
        <v>0.18541666666666667</v>
      </c>
      <c r="B37" s="36">
        <v>41.0</v>
      </c>
      <c r="C37" s="36">
        <v>6.0</v>
      </c>
      <c r="D37" s="36">
        <v>452.0</v>
      </c>
      <c r="E37" s="36">
        <v>460.0</v>
      </c>
      <c r="F37" s="36">
        <v>1.02</v>
      </c>
      <c r="G37" s="36">
        <v>21.0</v>
      </c>
      <c r="H37" s="36">
        <v>0.6</v>
      </c>
      <c r="I37" s="36">
        <v>12.7</v>
      </c>
      <c r="J37" s="36">
        <v>93.7</v>
      </c>
      <c r="K37" s="36">
        <v>94.0</v>
      </c>
      <c r="L37" s="36">
        <v>50.6</v>
      </c>
      <c r="M37" s="36">
        <v>105.0</v>
      </c>
      <c r="N37" s="36">
        <v>48.0</v>
      </c>
      <c r="O37" s="36">
        <v>21.0</v>
      </c>
      <c r="P37" s="36">
        <v>15.0</v>
      </c>
      <c r="Q37" s="36">
        <v>0.32</v>
      </c>
      <c r="R37" s="36">
        <v>0.92</v>
      </c>
      <c r="S37" s="36">
        <v>1.92</v>
      </c>
      <c r="T37" s="36">
        <v>2.84</v>
      </c>
      <c r="U37" s="21">
        <f t="shared" si="1"/>
        <v>2840</v>
      </c>
      <c r="V37" s="21">
        <f t="shared" si="2"/>
        <v>16900</v>
      </c>
    </row>
    <row r="38" ht="14.25" customHeight="1">
      <c r="A38" s="38">
        <v>0.1875</v>
      </c>
      <c r="B38" s="36">
        <v>41.0</v>
      </c>
      <c r="C38" s="36">
        <v>6.3</v>
      </c>
      <c r="D38" s="36">
        <v>472.0</v>
      </c>
      <c r="E38" s="36">
        <v>474.0</v>
      </c>
      <c r="F38" s="36">
        <v>1.01</v>
      </c>
      <c r="G38" s="36">
        <v>22.0</v>
      </c>
      <c r="H38" s="36">
        <v>0.59</v>
      </c>
      <c r="I38" s="36">
        <v>13.1</v>
      </c>
      <c r="J38" s="36">
        <v>93.5</v>
      </c>
      <c r="K38" s="36">
        <v>95.0</v>
      </c>
      <c r="L38" s="36">
        <v>50.3</v>
      </c>
      <c r="M38" s="36">
        <v>104.0</v>
      </c>
      <c r="N38" s="36">
        <v>48.0</v>
      </c>
      <c r="O38" s="36">
        <v>22.0</v>
      </c>
      <c r="P38" s="36">
        <v>16.0</v>
      </c>
      <c r="Q38" s="36">
        <v>0.34</v>
      </c>
      <c r="R38" s="36">
        <v>0.91</v>
      </c>
      <c r="S38" s="36">
        <v>1.8</v>
      </c>
      <c r="T38" s="36">
        <v>2.71</v>
      </c>
      <c r="U38" s="21">
        <f t="shared" si="1"/>
        <v>2710</v>
      </c>
      <c r="V38" s="21">
        <f t="shared" si="2"/>
        <v>3600</v>
      </c>
    </row>
    <row r="39" ht="14.25" customHeight="1">
      <c r="A39" s="38">
        <v>0.18958333333333333</v>
      </c>
      <c r="B39" s="36">
        <v>43.0</v>
      </c>
      <c r="C39" s="36">
        <v>6.7</v>
      </c>
      <c r="D39" s="36">
        <v>501.0</v>
      </c>
      <c r="E39" s="36">
        <v>504.0</v>
      </c>
      <c r="F39" s="36">
        <v>1.01</v>
      </c>
      <c r="G39" s="36">
        <v>23.0</v>
      </c>
      <c r="H39" s="36">
        <v>0.61</v>
      </c>
      <c r="I39" s="36">
        <v>13.9</v>
      </c>
      <c r="J39" s="36">
        <v>93.1</v>
      </c>
      <c r="K39" s="36">
        <v>96.0</v>
      </c>
      <c r="L39" s="36">
        <v>49.6</v>
      </c>
      <c r="M39" s="36">
        <v>105.0</v>
      </c>
      <c r="N39" s="36">
        <v>47.0</v>
      </c>
      <c r="O39" s="36">
        <v>23.0</v>
      </c>
      <c r="P39" s="36">
        <v>17.0</v>
      </c>
      <c r="Q39" s="36">
        <v>0.34</v>
      </c>
      <c r="R39" s="36">
        <v>0.91</v>
      </c>
      <c r="S39" s="36">
        <v>1.74</v>
      </c>
      <c r="T39" s="36">
        <v>2.65</v>
      </c>
      <c r="U39" s="21">
        <f t="shared" si="1"/>
        <v>2650</v>
      </c>
      <c r="V39" s="21">
        <f t="shared" si="2"/>
        <v>1600</v>
      </c>
    </row>
    <row r="40" ht="14.25" customHeight="1">
      <c r="A40" s="38">
        <v>0.1909722222222222</v>
      </c>
      <c r="B40" s="36">
        <v>44.0</v>
      </c>
      <c r="C40" s="36">
        <v>6.9</v>
      </c>
      <c r="D40" s="36">
        <v>518.0</v>
      </c>
      <c r="E40" s="36">
        <v>522.0</v>
      </c>
      <c r="F40" s="36">
        <v>1.01</v>
      </c>
      <c r="G40" s="36">
        <v>23.0</v>
      </c>
      <c r="H40" s="36">
        <v>0.63</v>
      </c>
      <c r="I40" s="36">
        <v>14.4</v>
      </c>
      <c r="J40" s="36">
        <v>92.8</v>
      </c>
      <c r="K40" s="36">
        <v>97.0</v>
      </c>
      <c r="L40" s="36">
        <v>49.0</v>
      </c>
      <c r="M40" s="36">
        <v>105.0</v>
      </c>
      <c r="N40" s="36">
        <v>47.0</v>
      </c>
      <c r="O40" s="36">
        <v>23.0</v>
      </c>
      <c r="P40" s="36">
        <v>17.0</v>
      </c>
      <c r="Q40" s="36">
        <v>0.35</v>
      </c>
      <c r="R40" s="36">
        <v>0.92</v>
      </c>
      <c r="S40" s="36">
        <v>1.69</v>
      </c>
      <c r="T40" s="36">
        <v>2.61</v>
      </c>
      <c r="U40" s="21">
        <f t="shared" si="1"/>
        <v>2610</v>
      </c>
      <c r="V40" s="21">
        <f t="shared" si="2"/>
        <v>0</v>
      </c>
    </row>
    <row r="41" ht="14.25" customHeight="1">
      <c r="A41" s="38">
        <v>0.19305555555555556</v>
      </c>
      <c r="B41" s="36">
        <v>46.0</v>
      </c>
      <c r="C41" s="36">
        <v>6.9</v>
      </c>
      <c r="D41" s="36">
        <v>519.0</v>
      </c>
      <c r="E41" s="36">
        <v>523.0</v>
      </c>
      <c r="F41" s="36">
        <v>1.01</v>
      </c>
      <c r="G41" s="36">
        <v>23.0</v>
      </c>
      <c r="H41" s="36">
        <v>0.63</v>
      </c>
      <c r="I41" s="36">
        <v>14.4</v>
      </c>
      <c r="J41" s="36">
        <v>92.8</v>
      </c>
      <c r="K41" s="36">
        <v>97.0</v>
      </c>
      <c r="L41" s="36">
        <v>49.3</v>
      </c>
      <c r="M41" s="36">
        <v>105.0</v>
      </c>
      <c r="N41" s="36">
        <v>47.0</v>
      </c>
      <c r="O41" s="36">
        <v>23.0</v>
      </c>
      <c r="P41" s="36">
        <v>17.0</v>
      </c>
      <c r="Q41" s="36">
        <v>0.35</v>
      </c>
      <c r="R41" s="36">
        <v>0.92</v>
      </c>
      <c r="S41" s="36">
        <v>1.69</v>
      </c>
      <c r="T41" s="36">
        <v>2.61</v>
      </c>
      <c r="U41" s="21">
        <f t="shared" si="1"/>
        <v>2610</v>
      </c>
      <c r="V41" s="21">
        <f t="shared" si="2"/>
        <v>900</v>
      </c>
    </row>
    <row r="42" ht="14.25" customHeight="1">
      <c r="A42" s="38">
        <v>0.1951388888888889</v>
      </c>
      <c r="B42" s="36">
        <v>47.0</v>
      </c>
      <c r="C42" s="36">
        <v>6.8</v>
      </c>
      <c r="D42" s="36">
        <v>507.0</v>
      </c>
      <c r="E42" s="36">
        <v>508.0</v>
      </c>
      <c r="F42" s="36">
        <v>1.0</v>
      </c>
      <c r="G42" s="36">
        <v>23.0</v>
      </c>
      <c r="H42" s="36">
        <v>0.62</v>
      </c>
      <c r="I42" s="36">
        <v>14.1</v>
      </c>
      <c r="J42" s="36">
        <v>93.0</v>
      </c>
      <c r="K42" s="36">
        <v>97.0</v>
      </c>
      <c r="L42" s="36">
        <v>49.0</v>
      </c>
      <c r="M42" s="36">
        <v>105.0</v>
      </c>
      <c r="N42" s="36">
        <v>47.0</v>
      </c>
      <c r="O42" s="36">
        <v>23.0</v>
      </c>
      <c r="P42" s="36">
        <v>17.0</v>
      </c>
      <c r="Q42" s="36">
        <v>0.35</v>
      </c>
      <c r="R42" s="36">
        <v>0.92</v>
      </c>
      <c r="S42" s="36">
        <v>1.72</v>
      </c>
      <c r="T42" s="36">
        <v>2.64</v>
      </c>
      <c r="U42" s="21">
        <f t="shared" si="1"/>
        <v>2640</v>
      </c>
      <c r="V42" s="21">
        <f t="shared" si="2"/>
        <v>3600</v>
      </c>
    </row>
    <row r="43" ht="14.25" customHeight="1">
      <c r="A43" s="38">
        <v>0.19722222222222222</v>
      </c>
      <c r="B43" s="36">
        <v>49.0</v>
      </c>
      <c r="C43" s="36">
        <v>6.9</v>
      </c>
      <c r="D43" s="36">
        <v>514.0</v>
      </c>
      <c r="E43" s="36">
        <v>517.0</v>
      </c>
      <c r="F43" s="36">
        <v>1.01</v>
      </c>
      <c r="G43" s="36">
        <v>22.0</v>
      </c>
      <c r="H43" s="36">
        <v>0.64</v>
      </c>
      <c r="I43" s="36">
        <v>14.1</v>
      </c>
      <c r="J43" s="36">
        <v>93.0</v>
      </c>
      <c r="K43" s="36">
        <v>97.0</v>
      </c>
      <c r="L43" s="36">
        <v>49.0</v>
      </c>
      <c r="M43" s="36">
        <v>105.0</v>
      </c>
      <c r="N43" s="36">
        <v>47.0</v>
      </c>
      <c r="O43" s="36">
        <v>22.0</v>
      </c>
      <c r="P43" s="36">
        <v>17.0</v>
      </c>
      <c r="Q43" s="36">
        <v>0.34</v>
      </c>
      <c r="R43" s="36">
        <v>0.92</v>
      </c>
      <c r="S43" s="36">
        <v>1.78</v>
      </c>
      <c r="T43" s="36">
        <v>2.7</v>
      </c>
      <c r="U43" s="21">
        <f t="shared" si="1"/>
        <v>2700</v>
      </c>
      <c r="V43" s="21">
        <f t="shared" si="2"/>
        <v>900</v>
      </c>
    </row>
    <row r="44" ht="14.25" customHeight="1">
      <c r="A44" s="38">
        <v>0.19930555555555557</v>
      </c>
      <c r="B44" s="36">
        <v>50.0</v>
      </c>
      <c r="C44" s="36">
        <v>6.7</v>
      </c>
      <c r="D44" s="36">
        <v>500.0</v>
      </c>
      <c r="E44" s="36">
        <v>506.0</v>
      </c>
      <c r="F44" s="36">
        <v>1.01</v>
      </c>
      <c r="G44" s="36">
        <v>22.0</v>
      </c>
      <c r="H44" s="36">
        <v>0.63</v>
      </c>
      <c r="I44" s="36">
        <v>13.9</v>
      </c>
      <c r="J44" s="36">
        <v>93.1</v>
      </c>
      <c r="K44" s="36">
        <v>97.0</v>
      </c>
      <c r="L44" s="36">
        <v>49.0</v>
      </c>
      <c r="M44" s="36">
        <v>105.0</v>
      </c>
      <c r="N44" s="36">
        <v>47.0</v>
      </c>
      <c r="O44" s="36">
        <v>22.0</v>
      </c>
      <c r="P44" s="36">
        <v>17.0</v>
      </c>
      <c r="Q44" s="36">
        <v>0.34</v>
      </c>
      <c r="R44" s="36">
        <v>0.92</v>
      </c>
      <c r="S44" s="36">
        <v>1.81</v>
      </c>
      <c r="T44" s="36">
        <v>2.73</v>
      </c>
      <c r="U44" s="21">
        <f t="shared" si="1"/>
        <v>2730</v>
      </c>
      <c r="V44" s="21">
        <f t="shared" si="2"/>
        <v>1600</v>
      </c>
    </row>
    <row r="45" ht="14.25" customHeight="1">
      <c r="A45" s="38">
        <v>0.20069444444444445</v>
      </c>
      <c r="B45" s="36">
        <v>51.0</v>
      </c>
      <c r="C45" s="36">
        <v>6.7</v>
      </c>
      <c r="D45" s="36">
        <v>502.0</v>
      </c>
      <c r="E45" s="36">
        <v>508.0</v>
      </c>
      <c r="F45" s="36">
        <v>1.01</v>
      </c>
      <c r="G45" s="36">
        <v>22.0</v>
      </c>
      <c r="H45" s="36">
        <v>0.64</v>
      </c>
      <c r="I45" s="36">
        <v>13.9</v>
      </c>
      <c r="J45" s="36">
        <v>93.1</v>
      </c>
      <c r="K45" s="36">
        <v>98.0</v>
      </c>
      <c r="L45" s="36">
        <v>48.9</v>
      </c>
      <c r="M45" s="36">
        <v>105.0</v>
      </c>
      <c r="N45" s="36">
        <v>47.0</v>
      </c>
      <c r="O45" s="36">
        <v>22.0</v>
      </c>
      <c r="P45" s="36">
        <v>17.0</v>
      </c>
      <c r="Q45" s="36">
        <v>0.34</v>
      </c>
      <c r="R45" s="36">
        <v>0.94</v>
      </c>
      <c r="S45" s="36">
        <v>1.83</v>
      </c>
      <c r="T45" s="36">
        <v>2.77</v>
      </c>
      <c r="U45" s="21">
        <f t="shared" si="1"/>
        <v>2770</v>
      </c>
      <c r="V45" s="21">
        <f t="shared" si="2"/>
        <v>400</v>
      </c>
    </row>
    <row r="46" ht="14.25" customHeight="1">
      <c r="A46" s="38">
        <v>0.20347222222222222</v>
      </c>
      <c r="B46" s="36">
        <v>53.0</v>
      </c>
      <c r="C46" s="36">
        <v>6.3</v>
      </c>
      <c r="D46" s="36">
        <v>471.0</v>
      </c>
      <c r="E46" s="36">
        <v>475.0</v>
      </c>
      <c r="F46" s="36">
        <v>1.01</v>
      </c>
      <c r="G46" s="36">
        <v>22.0</v>
      </c>
      <c r="H46" s="36">
        <v>0.6</v>
      </c>
      <c r="I46" s="36">
        <v>13.2</v>
      </c>
      <c r="J46" s="36">
        <v>93.5</v>
      </c>
      <c r="K46" s="36">
        <v>98.0</v>
      </c>
      <c r="L46" s="36">
        <v>48.8</v>
      </c>
      <c r="M46" s="36">
        <v>105.0</v>
      </c>
      <c r="N46" s="36">
        <v>47.0</v>
      </c>
      <c r="O46" s="36">
        <v>22.0</v>
      </c>
      <c r="P46" s="36">
        <v>16.0</v>
      </c>
      <c r="Q46" s="36">
        <v>0.34</v>
      </c>
      <c r="R46" s="36">
        <v>0.94</v>
      </c>
      <c r="S46" s="36">
        <v>1.81</v>
      </c>
      <c r="T46" s="36">
        <v>2.75</v>
      </c>
      <c r="U46" s="21">
        <f t="shared" si="1"/>
        <v>2750</v>
      </c>
      <c r="V46" s="21">
        <f t="shared" si="2"/>
        <v>2500</v>
      </c>
    </row>
    <row r="47" ht="14.25" customHeight="1">
      <c r="A47" s="38">
        <v>0.2048611111111111</v>
      </c>
      <c r="B47" s="36">
        <v>54.0</v>
      </c>
      <c r="C47" s="36">
        <v>6.3</v>
      </c>
      <c r="D47" s="36">
        <v>473.0</v>
      </c>
      <c r="E47" s="36">
        <v>471.0</v>
      </c>
      <c r="F47" s="36">
        <v>0.99</v>
      </c>
      <c r="G47" s="36">
        <v>22.0</v>
      </c>
      <c r="H47" s="36">
        <v>0.59</v>
      </c>
      <c r="I47" s="36">
        <v>13.0</v>
      </c>
      <c r="J47" s="36">
        <v>93.6</v>
      </c>
      <c r="K47" s="36">
        <v>98.0</v>
      </c>
      <c r="L47" s="36">
        <v>48.9</v>
      </c>
      <c r="M47" s="36">
        <v>104.0</v>
      </c>
      <c r="N47" s="36">
        <v>48.0</v>
      </c>
      <c r="O47" s="36">
        <v>22.0</v>
      </c>
      <c r="P47" s="36">
        <v>16.0</v>
      </c>
      <c r="Q47" s="36">
        <v>0.32</v>
      </c>
      <c r="R47" s="36">
        <v>0.85</v>
      </c>
      <c r="S47" s="36">
        <v>1.85</v>
      </c>
      <c r="T47" s="36">
        <v>2.7</v>
      </c>
      <c r="U47" s="21">
        <f t="shared" si="1"/>
        <v>2700</v>
      </c>
      <c r="V47" s="21">
        <f t="shared" si="2"/>
        <v>100</v>
      </c>
    </row>
    <row r="48" ht="14.25" customHeight="1">
      <c r="A48" s="38">
        <v>0.20694444444444443</v>
      </c>
      <c r="B48" s="36">
        <v>55.0</v>
      </c>
      <c r="C48" s="36">
        <v>6.5</v>
      </c>
      <c r="D48" s="36">
        <v>486.0</v>
      </c>
      <c r="E48" s="36">
        <v>475.0</v>
      </c>
      <c r="F48" s="36">
        <v>0.98</v>
      </c>
      <c r="G48" s="36">
        <v>22.0</v>
      </c>
      <c r="H48" s="36">
        <v>0.58</v>
      </c>
      <c r="I48" s="36">
        <v>13.0</v>
      </c>
      <c r="J48" s="36">
        <v>93.5</v>
      </c>
      <c r="K48" s="36">
        <v>98.0</v>
      </c>
      <c r="L48" s="36">
        <v>48.9</v>
      </c>
      <c r="M48" s="36">
        <v>103.0</v>
      </c>
      <c r="N48" s="36">
        <v>48.0</v>
      </c>
      <c r="O48" s="36">
        <v>22.0</v>
      </c>
      <c r="P48" s="36">
        <v>16.0</v>
      </c>
      <c r="Q48" s="36">
        <v>0.31</v>
      </c>
      <c r="R48" s="36">
        <v>0.84</v>
      </c>
      <c r="S48" s="36">
        <v>1.84</v>
      </c>
      <c r="T48" s="36">
        <v>2.69</v>
      </c>
      <c r="U48" s="21">
        <f t="shared" si="1"/>
        <v>2690</v>
      </c>
      <c r="V48" s="21">
        <f t="shared" si="2"/>
        <v>1600</v>
      </c>
    </row>
    <row r="49" ht="14.25" customHeight="1">
      <c r="A49" s="38">
        <v>0.20902777777777778</v>
      </c>
      <c r="B49" s="36">
        <v>57.0</v>
      </c>
      <c r="C49" s="36">
        <v>6.7</v>
      </c>
      <c r="D49" s="36">
        <v>499.0</v>
      </c>
      <c r="E49" s="36">
        <v>480.0</v>
      </c>
      <c r="F49" s="36">
        <v>0.96</v>
      </c>
      <c r="G49" s="36">
        <v>23.0</v>
      </c>
      <c r="H49" s="36">
        <v>0.58</v>
      </c>
      <c r="I49" s="36">
        <v>13.1</v>
      </c>
      <c r="J49" s="36">
        <v>93.5</v>
      </c>
      <c r="K49" s="36">
        <v>98.0</v>
      </c>
      <c r="L49" s="36">
        <v>48.9</v>
      </c>
      <c r="M49" s="36">
        <v>102.0</v>
      </c>
      <c r="N49" s="36">
        <v>48.0</v>
      </c>
      <c r="O49" s="36">
        <v>23.0</v>
      </c>
      <c r="P49" s="36">
        <v>17.0</v>
      </c>
      <c r="Q49" s="36">
        <v>0.32</v>
      </c>
      <c r="R49" s="36">
        <v>0.85</v>
      </c>
      <c r="S49" s="36">
        <v>1.8</v>
      </c>
      <c r="T49" s="36">
        <v>2.65</v>
      </c>
      <c r="U49" s="21">
        <f t="shared" si="1"/>
        <v>2650</v>
      </c>
      <c r="V49" s="21">
        <f t="shared" si="2"/>
        <v>1600</v>
      </c>
    </row>
    <row r="50" ht="14.25" customHeight="1">
      <c r="A50" s="38">
        <v>0.21041666666666667</v>
      </c>
      <c r="B50" s="36">
        <v>58.0</v>
      </c>
      <c r="C50" s="36">
        <v>6.5</v>
      </c>
      <c r="D50" s="36">
        <v>485.0</v>
      </c>
      <c r="E50" s="36">
        <v>461.0</v>
      </c>
      <c r="F50" s="36">
        <v>0.95</v>
      </c>
      <c r="G50" s="36">
        <v>22.0</v>
      </c>
      <c r="H50" s="36">
        <v>0.57</v>
      </c>
      <c r="I50" s="36">
        <v>12.6</v>
      </c>
      <c r="J50" s="36">
        <v>93.7</v>
      </c>
      <c r="K50" s="36">
        <v>97.0</v>
      </c>
      <c r="L50" s="36">
        <v>49.2</v>
      </c>
      <c r="M50" s="36">
        <v>102.0</v>
      </c>
      <c r="N50" s="36">
        <v>48.0</v>
      </c>
      <c r="O50" s="36">
        <v>22.0</v>
      </c>
      <c r="P50" s="36">
        <v>16.0</v>
      </c>
      <c r="Q50" s="36">
        <v>0.33</v>
      </c>
      <c r="R50" s="36">
        <v>0.88</v>
      </c>
      <c r="S50" s="36">
        <v>1.81</v>
      </c>
      <c r="T50" s="36">
        <v>2.69</v>
      </c>
      <c r="U50" s="21">
        <f t="shared" si="1"/>
        <v>2690</v>
      </c>
      <c r="V50" s="21">
        <f t="shared" si="2"/>
        <v>3600</v>
      </c>
    </row>
    <row r="51" ht="14.25" customHeight="1">
      <c r="A51" s="38">
        <v>0.21180555555555555</v>
      </c>
      <c r="B51" s="36">
        <v>59.0</v>
      </c>
      <c r="C51" s="36">
        <v>6.9</v>
      </c>
      <c r="D51" s="36">
        <v>514.0</v>
      </c>
      <c r="E51" s="36">
        <v>490.0</v>
      </c>
      <c r="F51" s="36">
        <v>0.95</v>
      </c>
      <c r="G51" s="36">
        <v>23.0</v>
      </c>
      <c r="H51" s="36">
        <v>0.59</v>
      </c>
      <c r="I51" s="36">
        <v>13.4</v>
      </c>
      <c r="J51" s="36">
        <v>93.4</v>
      </c>
      <c r="K51" s="36">
        <v>97.0</v>
      </c>
      <c r="L51" s="36">
        <v>49.3</v>
      </c>
      <c r="M51" s="36">
        <v>102.0</v>
      </c>
      <c r="N51" s="36">
        <v>48.0</v>
      </c>
      <c r="O51" s="36">
        <v>23.0</v>
      </c>
      <c r="P51" s="36">
        <v>17.0</v>
      </c>
      <c r="Q51" s="36">
        <v>0.33</v>
      </c>
      <c r="R51" s="36">
        <v>0.86</v>
      </c>
      <c r="S51" s="36">
        <v>1.77</v>
      </c>
      <c r="T51" s="36">
        <v>2.63</v>
      </c>
      <c r="U51" s="21">
        <f t="shared" si="1"/>
        <v>2630</v>
      </c>
      <c r="V51" s="21">
        <f t="shared" si="2"/>
        <v>0</v>
      </c>
    </row>
    <row r="52" ht="14.25" customHeight="1">
      <c r="A52" s="38">
        <v>0.21388888888888888</v>
      </c>
      <c r="B52" s="36">
        <v>61.0</v>
      </c>
      <c r="C52" s="36">
        <v>7.1</v>
      </c>
      <c r="D52" s="36">
        <v>530.0</v>
      </c>
      <c r="E52" s="36">
        <v>499.0</v>
      </c>
      <c r="F52" s="36">
        <v>0.94</v>
      </c>
      <c r="G52" s="36">
        <v>23.0</v>
      </c>
      <c r="H52" s="36">
        <v>0.6</v>
      </c>
      <c r="I52" s="36">
        <v>13.7</v>
      </c>
      <c r="J52" s="36">
        <v>93.2</v>
      </c>
      <c r="K52" s="36">
        <v>97.0</v>
      </c>
      <c r="L52" s="36">
        <v>49.4</v>
      </c>
      <c r="M52" s="36">
        <v>102.0</v>
      </c>
      <c r="N52" s="36">
        <v>48.0</v>
      </c>
      <c r="O52" s="36">
        <v>23.0</v>
      </c>
      <c r="P52" s="36">
        <v>18.0</v>
      </c>
      <c r="Q52" s="36">
        <v>0.32</v>
      </c>
      <c r="R52" s="36">
        <v>0.84</v>
      </c>
      <c r="S52" s="36">
        <v>1.79</v>
      </c>
      <c r="T52" s="36">
        <v>2.63</v>
      </c>
      <c r="U52" s="21">
        <f t="shared" si="1"/>
        <v>2630</v>
      </c>
      <c r="V52" s="21">
        <f t="shared" si="2"/>
        <v>2500</v>
      </c>
    </row>
    <row r="53" ht="14.25" customHeight="1">
      <c r="A53" s="38">
        <v>0.21597222222222223</v>
      </c>
      <c r="B53" s="36">
        <v>61.0</v>
      </c>
      <c r="C53" s="36">
        <v>7.9</v>
      </c>
      <c r="D53" s="36">
        <v>589.0</v>
      </c>
      <c r="E53" s="36">
        <v>556.0</v>
      </c>
      <c r="F53" s="36">
        <v>0.94</v>
      </c>
      <c r="G53" s="36">
        <v>23.0</v>
      </c>
      <c r="H53" s="36">
        <v>0.65</v>
      </c>
      <c r="I53" s="36">
        <v>15.1</v>
      </c>
      <c r="J53" s="36">
        <v>92.5</v>
      </c>
      <c r="K53" s="36">
        <v>97.0</v>
      </c>
      <c r="L53" s="36">
        <v>49.4</v>
      </c>
      <c r="M53" s="36">
        <v>102.0</v>
      </c>
      <c r="N53" s="36">
        <v>48.0</v>
      </c>
      <c r="O53" s="36">
        <v>23.0</v>
      </c>
      <c r="P53" s="36">
        <v>20.0</v>
      </c>
      <c r="Q53" s="36">
        <v>0.32</v>
      </c>
      <c r="R53" s="36">
        <v>0.83</v>
      </c>
      <c r="S53" s="36">
        <v>1.76</v>
      </c>
      <c r="T53" s="36">
        <v>2.58</v>
      </c>
      <c r="U53" s="21">
        <f t="shared" si="1"/>
        <v>2580</v>
      </c>
      <c r="V53" s="21">
        <f t="shared" si="2"/>
        <v>1600</v>
      </c>
    </row>
    <row r="54" ht="14.25" customHeight="1">
      <c r="A54" s="38">
        <v>0.21736111111111112</v>
      </c>
      <c r="B54" s="36">
        <v>63.0</v>
      </c>
      <c r="C54" s="36">
        <v>8.2</v>
      </c>
      <c r="D54" s="36">
        <v>612.0</v>
      </c>
      <c r="E54" s="36">
        <v>581.0</v>
      </c>
      <c r="F54" s="36">
        <v>0.95</v>
      </c>
      <c r="G54" s="36">
        <v>23.0</v>
      </c>
      <c r="H54" s="36">
        <v>0.69</v>
      </c>
      <c r="I54" s="36">
        <v>15.8</v>
      </c>
      <c r="J54" s="36">
        <v>92.2</v>
      </c>
      <c r="K54" s="36">
        <v>97.0</v>
      </c>
      <c r="L54" s="36">
        <v>49.2</v>
      </c>
      <c r="M54" s="36">
        <v>103.0</v>
      </c>
      <c r="N54" s="36">
        <v>47.0</v>
      </c>
      <c r="O54" s="36">
        <v>23.0</v>
      </c>
      <c r="P54" s="36">
        <v>20.0</v>
      </c>
      <c r="Q54" s="36">
        <v>0.34</v>
      </c>
      <c r="R54" s="36">
        <v>0.9</v>
      </c>
      <c r="S54" s="36">
        <v>1.72</v>
      </c>
      <c r="T54" s="36">
        <v>2.62</v>
      </c>
      <c r="U54" s="21">
        <f t="shared" si="1"/>
        <v>2620</v>
      </c>
      <c r="V54" s="21">
        <f t="shared" si="2"/>
        <v>1600</v>
      </c>
    </row>
    <row r="55" ht="14.25" customHeight="1">
      <c r="A55" s="38">
        <v>0.21944444444444444</v>
      </c>
      <c r="B55" s="36">
        <v>64.0</v>
      </c>
      <c r="C55" s="36">
        <v>8.5</v>
      </c>
      <c r="D55" s="36">
        <v>640.0</v>
      </c>
      <c r="E55" s="36">
        <v>613.0</v>
      </c>
      <c r="F55" s="36">
        <v>0.96</v>
      </c>
      <c r="G55" s="36">
        <v>23.0</v>
      </c>
      <c r="H55" s="36">
        <v>0.71</v>
      </c>
      <c r="I55" s="36">
        <v>16.6</v>
      </c>
      <c r="J55" s="36">
        <v>91.8</v>
      </c>
      <c r="K55" s="36">
        <v>98.0</v>
      </c>
      <c r="L55" s="36">
        <v>48.8</v>
      </c>
      <c r="M55" s="36">
        <v>104.0</v>
      </c>
      <c r="N55" s="36">
        <v>47.0</v>
      </c>
      <c r="O55" s="36">
        <v>23.0</v>
      </c>
      <c r="P55" s="36">
        <v>21.0</v>
      </c>
      <c r="Q55" s="36">
        <v>0.34</v>
      </c>
      <c r="R55" s="36">
        <v>0.89</v>
      </c>
      <c r="S55" s="36">
        <v>1.7</v>
      </c>
      <c r="T55" s="36">
        <v>2.58</v>
      </c>
      <c r="U55" s="21">
        <f t="shared" si="1"/>
        <v>2580</v>
      </c>
      <c r="V55" s="21">
        <f t="shared" si="2"/>
        <v>900</v>
      </c>
    </row>
    <row r="56" ht="14.25" customHeight="1">
      <c r="A56" s="38">
        <v>0.22083333333333333</v>
      </c>
      <c r="B56" s="36">
        <v>66.0</v>
      </c>
      <c r="C56" s="36">
        <v>8.5</v>
      </c>
      <c r="D56" s="36">
        <v>636.0</v>
      </c>
      <c r="E56" s="36">
        <v>616.0</v>
      </c>
      <c r="F56" s="36">
        <v>0.97</v>
      </c>
      <c r="G56" s="36">
        <v>23.0</v>
      </c>
      <c r="H56" s="36">
        <v>0.73</v>
      </c>
      <c r="I56" s="36">
        <v>16.7</v>
      </c>
      <c r="J56" s="36">
        <v>91.7</v>
      </c>
      <c r="K56" s="36">
        <v>99.0</v>
      </c>
      <c r="L56" s="36">
        <v>48.1</v>
      </c>
      <c r="M56" s="36">
        <v>105.0</v>
      </c>
      <c r="N56" s="36">
        <v>47.0</v>
      </c>
      <c r="O56" s="36">
        <v>23.0</v>
      </c>
      <c r="P56" s="36">
        <v>21.0</v>
      </c>
      <c r="Q56" s="36">
        <v>0.33</v>
      </c>
      <c r="R56" s="36">
        <v>0.87</v>
      </c>
      <c r="S56" s="36">
        <v>1.74</v>
      </c>
      <c r="T56" s="36">
        <v>2.61</v>
      </c>
      <c r="U56" s="21">
        <f t="shared" si="1"/>
        <v>2610</v>
      </c>
      <c r="V56" s="21">
        <f t="shared" si="2"/>
        <v>0</v>
      </c>
    </row>
    <row r="57" ht="14.25" customHeight="1">
      <c r="A57" s="38">
        <v>0.22361111111111112</v>
      </c>
      <c r="B57" s="36">
        <v>67.0</v>
      </c>
      <c r="C57" s="36">
        <v>8.5</v>
      </c>
      <c r="D57" s="36">
        <v>637.0</v>
      </c>
      <c r="E57" s="36">
        <v>616.0</v>
      </c>
      <c r="F57" s="36">
        <v>0.97</v>
      </c>
      <c r="G57" s="36">
        <v>23.0</v>
      </c>
      <c r="H57" s="36">
        <v>0.73</v>
      </c>
      <c r="I57" s="36">
        <v>16.7</v>
      </c>
      <c r="J57" s="36">
        <v>91.7</v>
      </c>
      <c r="K57" s="36">
        <v>101.0</v>
      </c>
      <c r="L57" s="36">
        <v>47.3</v>
      </c>
      <c r="M57" s="36">
        <v>105.0</v>
      </c>
      <c r="N57" s="36">
        <v>47.0</v>
      </c>
      <c r="O57" s="36">
        <v>23.0</v>
      </c>
      <c r="P57" s="36">
        <v>21.0</v>
      </c>
      <c r="Q57" s="36">
        <v>0.33</v>
      </c>
      <c r="R57" s="36">
        <v>0.87</v>
      </c>
      <c r="S57" s="36">
        <v>1.74</v>
      </c>
      <c r="T57" s="36">
        <v>2.61</v>
      </c>
      <c r="U57" s="21">
        <f t="shared" si="1"/>
        <v>2610</v>
      </c>
      <c r="V57" s="21">
        <f t="shared" si="2"/>
        <v>0</v>
      </c>
    </row>
    <row r="58" ht="14.25" customHeight="1">
      <c r="A58" s="38">
        <v>0.225</v>
      </c>
      <c r="B58" s="36">
        <v>68.0</v>
      </c>
      <c r="C58" s="36">
        <v>8.5</v>
      </c>
      <c r="D58" s="36">
        <v>637.0</v>
      </c>
      <c r="E58" s="36">
        <v>616.0</v>
      </c>
      <c r="F58" s="36">
        <v>0.97</v>
      </c>
      <c r="G58" s="36">
        <v>23.0</v>
      </c>
      <c r="H58" s="36">
        <v>0.73</v>
      </c>
      <c r="I58" s="36">
        <v>16.7</v>
      </c>
      <c r="J58" s="36">
        <v>91.7</v>
      </c>
      <c r="K58" s="36">
        <v>103.0</v>
      </c>
      <c r="L58" s="36">
        <v>46.1</v>
      </c>
      <c r="M58" s="36">
        <v>105.0</v>
      </c>
      <c r="N58" s="36">
        <v>47.0</v>
      </c>
      <c r="O58" s="36">
        <v>23.0</v>
      </c>
      <c r="P58" s="36">
        <v>21.0</v>
      </c>
      <c r="Q58" s="36">
        <v>0.33</v>
      </c>
      <c r="R58" s="36">
        <v>0.87</v>
      </c>
      <c r="S58" s="36">
        <v>1.74</v>
      </c>
      <c r="T58" s="36">
        <v>2.61</v>
      </c>
      <c r="U58" s="21">
        <f t="shared" si="1"/>
        <v>2610</v>
      </c>
      <c r="V58" s="21">
        <f t="shared" si="2"/>
        <v>1322500</v>
      </c>
    </row>
    <row r="59" ht="14.25" customHeight="1">
      <c r="A59" s="38">
        <v>0.23055555555555557</v>
      </c>
      <c r="B59" s="36">
        <v>73.0</v>
      </c>
      <c r="C59" s="36">
        <v>8.8</v>
      </c>
      <c r="D59" s="36">
        <v>660.0</v>
      </c>
      <c r="E59" s="36">
        <v>673.0</v>
      </c>
      <c r="F59" s="36">
        <v>1.02</v>
      </c>
      <c r="G59" s="36">
        <v>16.0</v>
      </c>
      <c r="H59" s="36">
        <v>1.09</v>
      </c>
      <c r="I59" s="36">
        <v>17.3</v>
      </c>
      <c r="J59" s="36">
        <v>91.4</v>
      </c>
      <c r="K59" s="36">
        <v>103.0</v>
      </c>
      <c r="L59" s="36">
        <v>46.1</v>
      </c>
      <c r="M59" s="36">
        <v>105.0</v>
      </c>
      <c r="N59" s="36">
        <v>47.0</v>
      </c>
      <c r="O59" s="36">
        <v>16.0</v>
      </c>
      <c r="P59" s="36">
        <v>22.0</v>
      </c>
      <c r="Q59" s="36">
        <v>0.35</v>
      </c>
      <c r="R59" s="36">
        <v>1.3</v>
      </c>
      <c r="S59" s="36">
        <v>2.46</v>
      </c>
      <c r="T59" s="36">
        <v>3.76</v>
      </c>
      <c r="U59" s="21">
        <f t="shared" si="1"/>
        <v>3760</v>
      </c>
      <c r="V59" s="21">
        <f t="shared" si="2"/>
        <v>36100</v>
      </c>
    </row>
    <row r="60" ht="14.25" customHeight="1">
      <c r="A60" s="38">
        <v>0.23333333333333334</v>
      </c>
      <c r="B60" s="36">
        <v>74.0</v>
      </c>
      <c r="C60" s="36">
        <v>8.0</v>
      </c>
      <c r="D60" s="36">
        <v>602.0</v>
      </c>
      <c r="E60" s="36">
        <v>622.0</v>
      </c>
      <c r="F60" s="36">
        <v>1.03</v>
      </c>
      <c r="G60" s="36">
        <v>15.0</v>
      </c>
      <c r="H60" s="36">
        <v>1.06</v>
      </c>
      <c r="I60" s="36">
        <v>16.1</v>
      </c>
      <c r="J60" s="36">
        <v>92.0</v>
      </c>
      <c r="K60" s="36">
        <v>102.0</v>
      </c>
      <c r="L60" s="36">
        <v>46.4</v>
      </c>
      <c r="M60" s="36">
        <v>105.0</v>
      </c>
      <c r="N60" s="36">
        <v>47.0</v>
      </c>
      <c r="O60" s="36">
        <v>15.0</v>
      </c>
      <c r="P60" s="36">
        <v>20.0</v>
      </c>
      <c r="Q60" s="36">
        <v>0.32</v>
      </c>
      <c r="R60" s="36">
        <v>1.26</v>
      </c>
      <c r="S60" s="36">
        <v>2.69</v>
      </c>
      <c r="T60" s="36">
        <v>3.95</v>
      </c>
      <c r="U60" s="21">
        <f t="shared" si="1"/>
        <v>3950</v>
      </c>
      <c r="V60" s="21">
        <f t="shared" si="2"/>
        <v>44100</v>
      </c>
    </row>
    <row r="61" ht="14.25" customHeight="1">
      <c r="A61" s="38">
        <v>0.23541666666666666</v>
      </c>
      <c r="B61" s="36">
        <v>77.0</v>
      </c>
      <c r="C61" s="36">
        <v>7.3</v>
      </c>
      <c r="D61" s="36">
        <v>546.0</v>
      </c>
      <c r="E61" s="36">
        <v>566.0</v>
      </c>
      <c r="F61" s="36">
        <v>1.04</v>
      </c>
      <c r="G61" s="36">
        <v>14.0</v>
      </c>
      <c r="H61" s="36">
        <v>1.02</v>
      </c>
      <c r="I61" s="36">
        <v>14.7</v>
      </c>
      <c r="J61" s="36">
        <v>92.7</v>
      </c>
      <c r="K61" s="36">
        <v>103.0</v>
      </c>
      <c r="L61" s="36">
        <v>46.3</v>
      </c>
      <c r="M61" s="36">
        <v>105.0</v>
      </c>
      <c r="N61" s="36">
        <v>48.0</v>
      </c>
      <c r="O61" s="36">
        <v>14.0</v>
      </c>
      <c r="P61" s="36">
        <v>18.0</v>
      </c>
      <c r="Q61" s="36">
        <v>0.3</v>
      </c>
      <c r="R61" s="36">
        <v>1.23</v>
      </c>
      <c r="S61" s="36">
        <v>2.93</v>
      </c>
      <c r="T61" s="36">
        <v>4.16</v>
      </c>
      <c r="U61" s="21">
        <f t="shared" si="1"/>
        <v>4160</v>
      </c>
      <c r="V61" s="21">
        <f t="shared" si="2"/>
        <v>10000</v>
      </c>
    </row>
    <row r="62" ht="14.25" customHeight="1">
      <c r="A62" s="38">
        <v>0.2375</v>
      </c>
      <c r="B62" s="36">
        <v>78.0</v>
      </c>
      <c r="C62" s="36">
        <v>7.1</v>
      </c>
      <c r="D62" s="36">
        <v>533.0</v>
      </c>
      <c r="E62" s="36">
        <v>549.0</v>
      </c>
      <c r="F62" s="36">
        <v>1.03</v>
      </c>
      <c r="G62" s="36">
        <v>14.0</v>
      </c>
      <c r="H62" s="36">
        <v>1.0</v>
      </c>
      <c r="I62" s="36">
        <v>14.1</v>
      </c>
      <c r="J62" s="36">
        <v>93.0</v>
      </c>
      <c r="K62" s="36">
        <v>101.0</v>
      </c>
      <c r="L62" s="36">
        <v>47.3</v>
      </c>
      <c r="M62" s="36">
        <v>103.0</v>
      </c>
      <c r="N62" s="36">
        <v>48.0</v>
      </c>
      <c r="O62" s="36">
        <v>14.0</v>
      </c>
      <c r="P62" s="36">
        <v>18.0</v>
      </c>
      <c r="Q62" s="36">
        <v>0.29</v>
      </c>
      <c r="R62" s="36">
        <v>1.23</v>
      </c>
      <c r="S62" s="36">
        <v>3.04</v>
      </c>
      <c r="T62" s="36">
        <v>4.26</v>
      </c>
      <c r="U62" s="21">
        <f t="shared" si="1"/>
        <v>4260</v>
      </c>
      <c r="V62" s="21">
        <f t="shared" si="2"/>
        <v>4900</v>
      </c>
    </row>
    <row r="63" ht="14.25" customHeight="1">
      <c r="A63" s="38">
        <v>0.23958333333333334</v>
      </c>
      <c r="B63" s="36">
        <v>80.0</v>
      </c>
      <c r="C63" s="36">
        <v>7.3</v>
      </c>
      <c r="D63" s="36">
        <v>550.0</v>
      </c>
      <c r="E63" s="36">
        <v>558.0</v>
      </c>
      <c r="F63" s="36">
        <v>1.01</v>
      </c>
      <c r="G63" s="36">
        <v>14.0</v>
      </c>
      <c r="H63" s="36">
        <v>1.02</v>
      </c>
      <c r="I63" s="36">
        <v>14.1</v>
      </c>
      <c r="J63" s="36">
        <v>93.0</v>
      </c>
      <c r="K63" s="36">
        <v>94.0</v>
      </c>
      <c r="L63" s="36">
        <v>50.6</v>
      </c>
      <c r="M63" s="36">
        <v>102.0</v>
      </c>
      <c r="N63" s="36">
        <v>49.0</v>
      </c>
      <c r="O63" s="36">
        <v>14.0</v>
      </c>
      <c r="P63" s="36">
        <v>18.0</v>
      </c>
      <c r="Q63" s="36">
        <v>0.29</v>
      </c>
      <c r="R63" s="36">
        <v>1.26</v>
      </c>
      <c r="S63" s="36">
        <v>3.07</v>
      </c>
      <c r="T63" s="36">
        <v>4.33</v>
      </c>
      <c r="U63" s="21">
        <f t="shared" si="1"/>
        <v>4330</v>
      </c>
      <c r="V63" s="21">
        <f t="shared" si="2"/>
        <v>62500</v>
      </c>
    </row>
    <row r="64" ht="14.25" customHeight="1">
      <c r="A64" s="38">
        <v>0.24166666666666667</v>
      </c>
      <c r="B64" s="36">
        <v>80.0</v>
      </c>
      <c r="C64" s="36">
        <v>8.1</v>
      </c>
      <c r="D64" s="36">
        <v>606.0</v>
      </c>
      <c r="E64" s="36">
        <v>610.0</v>
      </c>
      <c r="F64" s="36">
        <v>1.01</v>
      </c>
      <c r="G64" s="36">
        <v>15.0</v>
      </c>
      <c r="H64" s="36">
        <v>1.05</v>
      </c>
      <c r="I64" s="36">
        <v>15.5</v>
      </c>
      <c r="J64" s="36">
        <v>92.3</v>
      </c>
      <c r="K64" s="36">
        <v>95.0</v>
      </c>
      <c r="L64" s="36">
        <v>50.1</v>
      </c>
      <c r="M64" s="36">
        <v>102.0</v>
      </c>
      <c r="N64" s="36">
        <v>48.0</v>
      </c>
      <c r="O64" s="36">
        <v>15.0</v>
      </c>
      <c r="P64" s="36">
        <v>20.0</v>
      </c>
      <c r="Q64" s="36">
        <v>0.32</v>
      </c>
      <c r="R64" s="36">
        <v>1.3</v>
      </c>
      <c r="S64" s="36">
        <v>2.78</v>
      </c>
      <c r="T64" s="36">
        <v>4.08</v>
      </c>
      <c r="U64" s="21">
        <f t="shared" si="1"/>
        <v>4080</v>
      </c>
      <c r="V64" s="21">
        <f t="shared" si="2"/>
        <v>1562500</v>
      </c>
    </row>
    <row r="65" ht="14.25" customHeight="1">
      <c r="A65" s="38">
        <v>0.24305555555555555</v>
      </c>
      <c r="B65" s="36">
        <v>82.0</v>
      </c>
      <c r="C65" s="36">
        <v>7.3</v>
      </c>
      <c r="D65" s="36">
        <v>547.0</v>
      </c>
      <c r="E65" s="36">
        <v>522.0</v>
      </c>
      <c r="F65" s="36">
        <v>0.95</v>
      </c>
      <c r="G65" s="36">
        <v>21.0</v>
      </c>
      <c r="H65" s="36">
        <v>0.66</v>
      </c>
      <c r="I65" s="36">
        <v>14.0</v>
      </c>
      <c r="J65" s="36">
        <v>93.1</v>
      </c>
      <c r="K65" s="36">
        <v>94.0</v>
      </c>
      <c r="L65" s="36">
        <v>50.7</v>
      </c>
      <c r="M65" s="36">
        <v>102.0</v>
      </c>
      <c r="N65" s="36">
        <v>48.0</v>
      </c>
      <c r="O65" s="36">
        <v>21.0</v>
      </c>
      <c r="P65" s="36">
        <v>18.0</v>
      </c>
      <c r="Q65" s="36">
        <v>0.3</v>
      </c>
      <c r="R65" s="36">
        <v>0.85</v>
      </c>
      <c r="S65" s="36">
        <v>1.98</v>
      </c>
      <c r="T65" s="36">
        <v>2.83</v>
      </c>
      <c r="U65" s="21">
        <f t="shared" si="1"/>
        <v>2830</v>
      </c>
      <c r="V65" s="21">
        <f t="shared" si="2"/>
        <v>6400</v>
      </c>
    </row>
    <row r="66" ht="14.25" customHeight="1">
      <c r="A66" s="38">
        <v>0.24513888888888888</v>
      </c>
      <c r="B66" s="36">
        <v>83.0</v>
      </c>
      <c r="C66" s="36">
        <v>7.0</v>
      </c>
      <c r="D66" s="36">
        <v>526.0</v>
      </c>
      <c r="E66" s="36">
        <v>503.0</v>
      </c>
      <c r="F66" s="36">
        <v>0.96</v>
      </c>
      <c r="G66" s="36">
        <v>21.0</v>
      </c>
      <c r="H66" s="36">
        <v>0.65</v>
      </c>
      <c r="I66" s="36">
        <v>13.4</v>
      </c>
      <c r="J66" s="36">
        <v>93.4</v>
      </c>
      <c r="K66" s="36">
        <v>96.0</v>
      </c>
      <c r="L66" s="36">
        <v>49.9</v>
      </c>
      <c r="M66" s="36">
        <v>102.0</v>
      </c>
      <c r="N66" s="36">
        <v>48.0</v>
      </c>
      <c r="O66" s="36">
        <v>21.0</v>
      </c>
      <c r="P66" s="36">
        <v>18.0</v>
      </c>
      <c r="Q66" s="36">
        <v>0.28</v>
      </c>
      <c r="R66" s="36">
        <v>0.82</v>
      </c>
      <c r="S66" s="36">
        <v>2.09</v>
      </c>
      <c r="T66" s="36">
        <v>2.91</v>
      </c>
      <c r="U66" s="21">
        <f t="shared" si="1"/>
        <v>2910</v>
      </c>
      <c r="V66" s="21">
        <f t="shared" si="2"/>
        <v>25600</v>
      </c>
    </row>
    <row r="67" ht="14.25" customHeight="1">
      <c r="A67" s="38">
        <v>0.2465277777777778</v>
      </c>
      <c r="B67" s="36">
        <v>84.0</v>
      </c>
      <c r="C67" s="36">
        <v>7.7</v>
      </c>
      <c r="D67" s="36">
        <v>577.0</v>
      </c>
      <c r="E67" s="36">
        <v>537.0</v>
      </c>
      <c r="F67" s="36">
        <v>0.93</v>
      </c>
      <c r="G67" s="36">
        <v>22.0</v>
      </c>
      <c r="H67" s="36">
        <v>0.65</v>
      </c>
      <c r="I67" s="36">
        <v>14.2</v>
      </c>
      <c r="J67" s="36">
        <v>93.0</v>
      </c>
      <c r="K67" s="36">
        <v>96.0</v>
      </c>
      <c r="L67" s="36">
        <v>49.8</v>
      </c>
      <c r="M67" s="36">
        <v>101.0</v>
      </c>
      <c r="N67" s="36">
        <v>48.0</v>
      </c>
      <c r="O67" s="36">
        <v>22.0</v>
      </c>
      <c r="P67" s="36">
        <v>19.0</v>
      </c>
      <c r="Q67" s="36">
        <v>0.31</v>
      </c>
      <c r="R67" s="36">
        <v>0.84</v>
      </c>
      <c r="S67" s="36">
        <v>1.91</v>
      </c>
      <c r="T67" s="36">
        <v>2.75</v>
      </c>
      <c r="U67" s="21">
        <f t="shared" si="1"/>
        <v>2750</v>
      </c>
      <c r="V67" s="21">
        <f t="shared" si="2"/>
        <v>10000</v>
      </c>
    </row>
    <row r="68" ht="14.25" customHeight="1">
      <c r="A68" s="38">
        <v>0.24861111111111112</v>
      </c>
      <c r="B68" s="36">
        <v>86.0</v>
      </c>
      <c r="C68" s="36">
        <v>8.0</v>
      </c>
      <c r="D68" s="36">
        <v>601.0</v>
      </c>
      <c r="E68" s="36">
        <v>557.0</v>
      </c>
      <c r="F68" s="36">
        <v>0.93</v>
      </c>
      <c r="G68" s="36">
        <v>23.0</v>
      </c>
      <c r="H68" s="36">
        <v>0.66</v>
      </c>
      <c r="I68" s="36">
        <v>14.8</v>
      </c>
      <c r="J68" s="36">
        <v>92.6</v>
      </c>
      <c r="K68" s="36">
        <v>97.0</v>
      </c>
      <c r="L68" s="36">
        <v>49.0</v>
      </c>
      <c r="M68" s="36">
        <v>101.0</v>
      </c>
      <c r="N68" s="36">
        <v>48.0</v>
      </c>
      <c r="O68" s="36">
        <v>23.0</v>
      </c>
      <c r="P68" s="36">
        <v>20.0</v>
      </c>
      <c r="Q68" s="36">
        <v>0.32</v>
      </c>
      <c r="R68" s="36">
        <v>0.85</v>
      </c>
      <c r="S68" s="36">
        <v>1.8</v>
      </c>
      <c r="T68" s="36">
        <v>2.65</v>
      </c>
      <c r="U68" s="21">
        <f t="shared" si="1"/>
        <v>2650</v>
      </c>
      <c r="V68" s="21">
        <f t="shared" si="2"/>
        <v>0</v>
      </c>
    </row>
    <row r="69" ht="14.25" customHeight="1">
      <c r="A69" s="38">
        <v>0.25069444444444444</v>
      </c>
      <c r="B69" s="36">
        <v>87.0</v>
      </c>
      <c r="C69" s="36">
        <v>8.0</v>
      </c>
      <c r="D69" s="36">
        <v>601.0</v>
      </c>
      <c r="E69" s="36">
        <v>557.0</v>
      </c>
      <c r="F69" s="36">
        <v>0.93</v>
      </c>
      <c r="G69" s="36">
        <v>23.0</v>
      </c>
      <c r="H69" s="36">
        <v>0.66</v>
      </c>
      <c r="I69" s="36">
        <v>14.8</v>
      </c>
      <c r="J69" s="36">
        <v>92.6</v>
      </c>
      <c r="K69" s="36">
        <v>97.0</v>
      </c>
      <c r="L69" s="36">
        <v>49.0</v>
      </c>
      <c r="M69" s="36">
        <v>101.0</v>
      </c>
      <c r="N69" s="36">
        <v>48.0</v>
      </c>
      <c r="O69" s="36">
        <v>23.0</v>
      </c>
      <c r="P69" s="36">
        <v>20.0</v>
      </c>
      <c r="Q69" s="36">
        <v>0.32</v>
      </c>
      <c r="R69" s="36">
        <v>0.85</v>
      </c>
      <c r="S69" s="36">
        <v>1.8</v>
      </c>
      <c r="T69" s="36">
        <v>2.65</v>
      </c>
      <c r="U69" s="21">
        <f t="shared" si="1"/>
        <v>2650</v>
      </c>
      <c r="V69" s="21">
        <f t="shared" si="2"/>
        <v>6400</v>
      </c>
    </row>
    <row r="70" ht="14.25" customHeight="1">
      <c r="A70" s="38">
        <v>0.2520833333333333</v>
      </c>
      <c r="B70" s="36">
        <v>89.0</v>
      </c>
      <c r="C70" s="36">
        <v>8.0</v>
      </c>
      <c r="D70" s="36">
        <v>601.0</v>
      </c>
      <c r="E70" s="36">
        <v>554.0</v>
      </c>
      <c r="F70" s="36">
        <v>0.92</v>
      </c>
      <c r="G70" s="36">
        <v>23.0</v>
      </c>
      <c r="H70" s="36">
        <v>0.64</v>
      </c>
      <c r="I70" s="36">
        <v>15.0</v>
      </c>
      <c r="J70" s="36">
        <v>92.6</v>
      </c>
      <c r="K70" s="36">
        <v>98.0</v>
      </c>
      <c r="L70" s="36">
        <v>48.4</v>
      </c>
      <c r="M70" s="36">
        <v>101.0</v>
      </c>
      <c r="N70" s="36">
        <v>48.0</v>
      </c>
      <c r="O70" s="36">
        <v>23.0</v>
      </c>
      <c r="P70" s="36">
        <v>20.0</v>
      </c>
      <c r="Q70" s="36">
        <v>0.32</v>
      </c>
      <c r="R70" s="36">
        <v>0.82</v>
      </c>
      <c r="S70" s="36">
        <v>1.75</v>
      </c>
      <c r="T70" s="36">
        <v>2.57</v>
      </c>
      <c r="U70" s="21">
        <f t="shared" si="1"/>
        <v>2570</v>
      </c>
      <c r="V70" s="21">
        <f t="shared" si="2"/>
        <v>400</v>
      </c>
    </row>
    <row r="71" ht="14.25" customHeight="1">
      <c r="A71" s="38">
        <v>0.25416666666666665</v>
      </c>
      <c r="B71" s="36">
        <v>89.0</v>
      </c>
      <c r="C71" s="36">
        <v>7.9</v>
      </c>
      <c r="D71" s="36">
        <v>589.0</v>
      </c>
      <c r="E71" s="36">
        <v>545.0</v>
      </c>
      <c r="F71" s="36">
        <v>0.92</v>
      </c>
      <c r="G71" s="36">
        <v>23.0</v>
      </c>
      <c r="H71" s="36">
        <v>0.64</v>
      </c>
      <c r="I71" s="36">
        <v>14.8</v>
      </c>
      <c r="J71" s="36">
        <v>92.7</v>
      </c>
      <c r="K71" s="36">
        <v>99.0</v>
      </c>
      <c r="L71" s="36">
        <v>48.1</v>
      </c>
      <c r="M71" s="36">
        <v>101.0</v>
      </c>
      <c r="N71" s="36">
        <v>48.0</v>
      </c>
      <c r="O71" s="36">
        <v>23.0</v>
      </c>
      <c r="P71" s="36">
        <v>20.0</v>
      </c>
      <c r="Q71" s="36">
        <v>0.32</v>
      </c>
      <c r="R71" s="36">
        <v>0.83</v>
      </c>
      <c r="S71" s="36">
        <v>1.76</v>
      </c>
      <c r="T71" s="36">
        <v>2.59</v>
      </c>
      <c r="U71" s="21">
        <f t="shared" si="1"/>
        <v>2590</v>
      </c>
      <c r="V71" s="21">
        <f t="shared" si="2"/>
        <v>10000</v>
      </c>
    </row>
    <row r="72" ht="14.25" customHeight="1">
      <c r="A72" s="38">
        <v>0.25625</v>
      </c>
      <c r="B72" s="36">
        <v>91.0</v>
      </c>
      <c r="C72" s="36">
        <v>8.2</v>
      </c>
      <c r="D72" s="36">
        <v>617.0</v>
      </c>
      <c r="E72" s="36">
        <v>563.0</v>
      </c>
      <c r="F72" s="36">
        <v>0.91</v>
      </c>
      <c r="G72" s="36">
        <v>22.0</v>
      </c>
      <c r="H72" s="36">
        <v>0.67</v>
      </c>
      <c r="I72" s="36">
        <v>14.9</v>
      </c>
      <c r="J72" s="36">
        <v>92.6</v>
      </c>
      <c r="K72" s="36">
        <v>100.0</v>
      </c>
      <c r="L72" s="36">
        <v>47.7</v>
      </c>
      <c r="M72" s="36">
        <v>101.0</v>
      </c>
      <c r="N72" s="36">
        <v>48.0</v>
      </c>
      <c r="O72" s="36">
        <v>22.0</v>
      </c>
      <c r="P72" s="36">
        <v>21.0</v>
      </c>
      <c r="Q72" s="36">
        <v>0.32</v>
      </c>
      <c r="R72" s="36">
        <v>0.85</v>
      </c>
      <c r="S72" s="36">
        <v>1.84</v>
      </c>
      <c r="T72" s="36">
        <v>2.69</v>
      </c>
      <c r="U72" s="21">
        <f t="shared" si="1"/>
        <v>2690</v>
      </c>
      <c r="V72" s="21">
        <f t="shared" si="2"/>
        <v>900</v>
      </c>
    </row>
    <row r="73" ht="14.25" customHeight="1">
      <c r="A73" s="38">
        <v>0.25763888888888886</v>
      </c>
      <c r="B73" s="36">
        <v>92.0</v>
      </c>
      <c r="C73" s="36">
        <v>8.5</v>
      </c>
      <c r="D73" s="36">
        <v>636.0</v>
      </c>
      <c r="E73" s="36">
        <v>578.0</v>
      </c>
      <c r="F73" s="36">
        <v>0.91</v>
      </c>
      <c r="G73" s="36">
        <v>22.0</v>
      </c>
      <c r="H73" s="36">
        <v>0.69</v>
      </c>
      <c r="I73" s="36">
        <v>15.2</v>
      </c>
      <c r="J73" s="36">
        <v>92.4</v>
      </c>
      <c r="K73" s="36">
        <v>100.0</v>
      </c>
      <c r="L73" s="36">
        <v>47.7</v>
      </c>
      <c r="M73" s="36">
        <v>101.0</v>
      </c>
      <c r="N73" s="36">
        <v>48.0</v>
      </c>
      <c r="O73" s="36">
        <v>22.0</v>
      </c>
      <c r="P73" s="36">
        <v>21.0</v>
      </c>
      <c r="Q73" s="36">
        <v>0.33</v>
      </c>
      <c r="R73" s="36">
        <v>0.89</v>
      </c>
      <c r="S73" s="36">
        <v>1.83</v>
      </c>
      <c r="T73" s="36">
        <v>2.72</v>
      </c>
      <c r="U73" s="21">
        <f t="shared" si="1"/>
        <v>2720</v>
      </c>
      <c r="V73" s="21">
        <f t="shared" si="2"/>
        <v>8100</v>
      </c>
    </row>
    <row r="74" ht="14.25" customHeight="1">
      <c r="A74" s="38">
        <v>0.2604166666666667</v>
      </c>
      <c r="B74" s="36">
        <v>94.0</v>
      </c>
      <c r="C74" s="36">
        <v>8.2</v>
      </c>
      <c r="D74" s="36">
        <v>618.0</v>
      </c>
      <c r="E74" s="36">
        <v>558.0</v>
      </c>
      <c r="F74" s="36">
        <v>0.9</v>
      </c>
      <c r="G74" s="36">
        <v>21.0</v>
      </c>
      <c r="H74" s="36">
        <v>0.7</v>
      </c>
      <c r="I74" s="36">
        <v>14.9</v>
      </c>
      <c r="J74" s="36">
        <v>92.6</v>
      </c>
      <c r="K74" s="36">
        <v>100.0</v>
      </c>
      <c r="L74" s="36">
        <v>47.7</v>
      </c>
      <c r="M74" s="36">
        <v>100.0</v>
      </c>
      <c r="N74" s="36">
        <v>48.0</v>
      </c>
      <c r="O74" s="36">
        <v>21.0</v>
      </c>
      <c r="P74" s="36">
        <v>21.0</v>
      </c>
      <c r="Q74" s="36">
        <v>0.33</v>
      </c>
      <c r="R74" s="36">
        <v>0.91</v>
      </c>
      <c r="S74" s="36">
        <v>1.9</v>
      </c>
      <c r="T74" s="36">
        <v>2.81</v>
      </c>
      <c r="U74" s="21">
        <f t="shared" si="1"/>
        <v>2810</v>
      </c>
      <c r="V74" s="21">
        <f t="shared" si="2"/>
        <v>100</v>
      </c>
    </row>
    <row r="75" ht="14.25" customHeight="1">
      <c r="A75" s="38">
        <v>0.26180555555555557</v>
      </c>
      <c r="B75" s="36">
        <v>95.0</v>
      </c>
      <c r="C75" s="36">
        <v>8.4</v>
      </c>
      <c r="D75" s="36">
        <v>633.0</v>
      </c>
      <c r="E75" s="36">
        <v>570.0</v>
      </c>
      <c r="F75" s="36">
        <v>0.9</v>
      </c>
      <c r="G75" s="36">
        <v>21.0</v>
      </c>
      <c r="H75" s="36">
        <v>0.7</v>
      </c>
      <c r="I75" s="36">
        <v>15.1</v>
      </c>
      <c r="J75" s="36">
        <v>92.5</v>
      </c>
      <c r="K75" s="36">
        <v>100.0</v>
      </c>
      <c r="L75" s="36">
        <v>47.6</v>
      </c>
      <c r="M75" s="36">
        <v>100.0</v>
      </c>
      <c r="N75" s="36">
        <v>48.0</v>
      </c>
      <c r="O75" s="36">
        <v>21.0</v>
      </c>
      <c r="P75" s="36">
        <v>21.0</v>
      </c>
      <c r="Q75" s="36">
        <v>0.33</v>
      </c>
      <c r="R75" s="36">
        <v>0.93</v>
      </c>
      <c r="S75" s="36">
        <v>1.88</v>
      </c>
      <c r="T75" s="36">
        <v>2.8</v>
      </c>
      <c r="U75" s="21">
        <f t="shared" si="1"/>
        <v>2800</v>
      </c>
      <c r="V75" s="21">
        <f t="shared" si="2"/>
        <v>14400</v>
      </c>
    </row>
    <row r="76" ht="14.25" customHeight="1">
      <c r="A76" s="38">
        <v>0.2638888888888889</v>
      </c>
      <c r="B76" s="36">
        <v>97.0</v>
      </c>
      <c r="C76" s="36">
        <v>9.1</v>
      </c>
      <c r="D76" s="36">
        <v>684.0</v>
      </c>
      <c r="E76" s="36">
        <v>616.0</v>
      </c>
      <c r="F76" s="36">
        <v>0.9</v>
      </c>
      <c r="G76" s="36">
        <v>22.0</v>
      </c>
      <c r="H76" s="36">
        <v>0.72</v>
      </c>
      <c r="I76" s="36">
        <v>16.1</v>
      </c>
      <c r="J76" s="36">
        <v>92.0</v>
      </c>
      <c r="K76" s="36">
        <v>101.0</v>
      </c>
      <c r="L76" s="36">
        <v>47.3</v>
      </c>
      <c r="M76" s="36">
        <v>100.0</v>
      </c>
      <c r="N76" s="36">
        <v>48.0</v>
      </c>
      <c r="O76" s="36">
        <v>22.0</v>
      </c>
      <c r="P76" s="36">
        <v>23.0</v>
      </c>
      <c r="Q76" s="36">
        <v>0.34</v>
      </c>
      <c r="R76" s="36">
        <v>0.9</v>
      </c>
      <c r="S76" s="36">
        <v>1.78</v>
      </c>
      <c r="T76" s="36">
        <v>2.68</v>
      </c>
      <c r="U76" s="21">
        <f t="shared" si="1"/>
        <v>2680</v>
      </c>
      <c r="V76" s="21">
        <f t="shared" si="2"/>
        <v>0</v>
      </c>
    </row>
    <row r="77" ht="14.25" customHeight="1">
      <c r="A77" s="38">
        <v>0.2652777777777778</v>
      </c>
      <c r="B77" s="36">
        <v>97.0</v>
      </c>
      <c r="C77" s="36">
        <v>9.3</v>
      </c>
      <c r="D77" s="36">
        <v>695.0</v>
      </c>
      <c r="E77" s="36">
        <v>628.0</v>
      </c>
      <c r="F77" s="36">
        <v>0.9</v>
      </c>
      <c r="G77" s="36">
        <v>22.0</v>
      </c>
      <c r="H77" s="36">
        <v>0.73</v>
      </c>
      <c r="I77" s="36">
        <v>16.4</v>
      </c>
      <c r="J77" s="36">
        <v>91.9</v>
      </c>
      <c r="K77" s="36">
        <v>101.0</v>
      </c>
      <c r="L77" s="36">
        <v>47.4</v>
      </c>
      <c r="M77" s="36">
        <v>101.0</v>
      </c>
      <c r="N77" s="36">
        <v>48.0</v>
      </c>
      <c r="O77" s="36">
        <v>22.0</v>
      </c>
      <c r="P77" s="36">
        <v>23.0</v>
      </c>
      <c r="Q77" s="36">
        <v>0.34</v>
      </c>
      <c r="R77" s="36">
        <v>0.9</v>
      </c>
      <c r="S77" s="36">
        <v>1.77</v>
      </c>
      <c r="T77" s="36">
        <v>2.68</v>
      </c>
      <c r="U77" s="21">
        <f t="shared" si="1"/>
        <v>2680</v>
      </c>
      <c r="V77" s="21">
        <f t="shared" si="2"/>
        <v>3600</v>
      </c>
    </row>
    <row r="78" ht="14.25" customHeight="1">
      <c r="A78" s="38">
        <v>0.2673611111111111</v>
      </c>
      <c r="B78" s="36">
        <v>99.0</v>
      </c>
      <c r="C78" s="36">
        <v>9.4</v>
      </c>
      <c r="D78" s="36">
        <v>704.0</v>
      </c>
      <c r="E78" s="36">
        <v>640.0</v>
      </c>
      <c r="F78" s="36">
        <v>0.91</v>
      </c>
      <c r="G78" s="36">
        <v>23.0</v>
      </c>
      <c r="H78" s="36">
        <v>0.73</v>
      </c>
      <c r="I78" s="36">
        <v>16.7</v>
      </c>
      <c r="J78" s="36">
        <v>91.7</v>
      </c>
      <c r="K78" s="36">
        <v>101.0</v>
      </c>
      <c r="L78" s="36">
        <v>47.4</v>
      </c>
      <c r="M78" s="36">
        <v>101.0</v>
      </c>
      <c r="N78" s="36">
        <v>48.0</v>
      </c>
      <c r="O78" s="36">
        <v>23.0</v>
      </c>
      <c r="P78" s="36">
        <v>23.0</v>
      </c>
      <c r="Q78" s="36">
        <v>0.34</v>
      </c>
      <c r="R78" s="36">
        <v>0.89</v>
      </c>
      <c r="S78" s="36">
        <v>1.73</v>
      </c>
      <c r="T78" s="36">
        <v>2.62</v>
      </c>
      <c r="U78" s="21">
        <f t="shared" si="1"/>
        <v>2620</v>
      </c>
      <c r="V78" s="21">
        <f t="shared" si="2"/>
        <v>1600</v>
      </c>
    </row>
    <row r="79" ht="14.25" customHeight="1">
      <c r="A79" s="38">
        <v>0.26875</v>
      </c>
      <c r="B79" s="36">
        <v>100.0</v>
      </c>
      <c r="C79" s="36">
        <v>9.3</v>
      </c>
      <c r="D79" s="36">
        <v>700.0</v>
      </c>
      <c r="E79" s="36">
        <v>638.0</v>
      </c>
      <c r="F79" s="36">
        <v>0.91</v>
      </c>
      <c r="G79" s="36">
        <v>23.0</v>
      </c>
      <c r="H79" s="36">
        <v>0.72</v>
      </c>
      <c r="I79" s="36">
        <v>16.8</v>
      </c>
      <c r="J79" s="36">
        <v>91.7</v>
      </c>
      <c r="K79" s="36">
        <v>100.0</v>
      </c>
      <c r="L79" s="36">
        <v>47.7</v>
      </c>
      <c r="M79" s="36">
        <v>101.0</v>
      </c>
      <c r="N79" s="36">
        <v>48.0</v>
      </c>
      <c r="O79" s="36">
        <v>23.0</v>
      </c>
      <c r="P79" s="36">
        <v>23.0</v>
      </c>
      <c r="Q79" s="36">
        <v>0.33</v>
      </c>
      <c r="R79" s="36">
        <v>0.86</v>
      </c>
      <c r="S79" s="36">
        <v>1.72</v>
      </c>
      <c r="T79" s="36">
        <v>2.58</v>
      </c>
      <c r="U79" s="21">
        <f t="shared" si="1"/>
        <v>2580</v>
      </c>
      <c r="V79" s="21">
        <f t="shared" si="2"/>
        <v>32400</v>
      </c>
    </row>
    <row r="80" ht="14.25" customHeight="1">
      <c r="A80" s="38">
        <v>0.2701388888888889</v>
      </c>
      <c r="B80" s="36">
        <v>101.0</v>
      </c>
      <c r="C80" s="36">
        <v>9.4</v>
      </c>
      <c r="D80" s="36">
        <v>703.0</v>
      </c>
      <c r="E80" s="36">
        <v>642.0</v>
      </c>
      <c r="F80" s="36">
        <v>0.91</v>
      </c>
      <c r="G80" s="36">
        <v>25.0</v>
      </c>
      <c r="H80" s="36">
        <v>0.68</v>
      </c>
      <c r="I80" s="36">
        <v>17.1</v>
      </c>
      <c r="J80" s="36">
        <v>91.5</v>
      </c>
      <c r="K80" s="36">
        <v>101.0</v>
      </c>
      <c r="L80" s="36">
        <v>46.9</v>
      </c>
      <c r="M80" s="36">
        <v>101.0</v>
      </c>
      <c r="N80" s="36">
        <v>47.0</v>
      </c>
      <c r="O80" s="36">
        <v>25.0</v>
      </c>
      <c r="P80" s="36">
        <v>23.0</v>
      </c>
      <c r="Q80" s="36">
        <v>0.34</v>
      </c>
      <c r="R80" s="36">
        <v>0.8</v>
      </c>
      <c r="S80" s="36">
        <v>1.59</v>
      </c>
      <c r="T80" s="36">
        <v>2.4</v>
      </c>
      <c r="U80" s="21">
        <f t="shared" si="1"/>
        <v>2400</v>
      </c>
      <c r="V80" s="21">
        <f t="shared" si="2"/>
        <v>400</v>
      </c>
    </row>
    <row r="81" ht="14.25" customHeight="1">
      <c r="A81" s="38">
        <v>0.27152777777777776</v>
      </c>
      <c r="B81" s="36">
        <v>102.0</v>
      </c>
      <c r="C81" s="36">
        <v>9.8</v>
      </c>
      <c r="D81" s="36">
        <v>733.0</v>
      </c>
      <c r="E81" s="36">
        <v>665.0</v>
      </c>
      <c r="F81" s="36">
        <v>0.91</v>
      </c>
      <c r="G81" s="36">
        <v>25.0</v>
      </c>
      <c r="H81" s="36">
        <v>0.7</v>
      </c>
      <c r="I81" s="36">
        <v>17.5</v>
      </c>
      <c r="J81" s="36">
        <v>91.3</v>
      </c>
      <c r="K81" s="36">
        <v>101.0</v>
      </c>
      <c r="L81" s="36">
        <v>46.9</v>
      </c>
      <c r="M81" s="36">
        <v>101.0</v>
      </c>
      <c r="N81" s="36">
        <v>48.0</v>
      </c>
      <c r="O81" s="36">
        <v>25.0</v>
      </c>
      <c r="P81" s="36">
        <v>24.0</v>
      </c>
      <c r="Q81" s="36">
        <v>0.34</v>
      </c>
      <c r="R81" s="36">
        <v>0.8</v>
      </c>
      <c r="S81" s="36">
        <v>1.58</v>
      </c>
      <c r="T81" s="36">
        <v>2.38</v>
      </c>
      <c r="U81" s="21">
        <f t="shared" si="1"/>
        <v>2380</v>
      </c>
      <c r="V81" s="21">
        <f t="shared" si="2"/>
        <v>100</v>
      </c>
    </row>
    <row r="82" ht="14.25" customHeight="1">
      <c r="A82" s="38">
        <v>0.27361111111111114</v>
      </c>
      <c r="B82" s="36">
        <v>103.0</v>
      </c>
      <c r="C82" s="36">
        <v>9.3</v>
      </c>
      <c r="D82" s="36">
        <v>698.0</v>
      </c>
      <c r="E82" s="36">
        <v>639.0</v>
      </c>
      <c r="F82" s="36">
        <v>0.92</v>
      </c>
      <c r="G82" s="36">
        <v>25.0</v>
      </c>
      <c r="H82" s="36">
        <v>0.67</v>
      </c>
      <c r="I82" s="36">
        <v>17.0</v>
      </c>
      <c r="J82" s="36">
        <v>91.6</v>
      </c>
      <c r="K82" s="36">
        <v>103.0</v>
      </c>
      <c r="L82" s="36">
        <v>45.9</v>
      </c>
      <c r="M82" s="36">
        <v>101.0</v>
      </c>
      <c r="N82" s="36">
        <v>47.0</v>
      </c>
      <c r="O82" s="36">
        <v>25.0</v>
      </c>
      <c r="P82" s="36">
        <v>23.0</v>
      </c>
      <c r="Q82" s="36">
        <v>0.33</v>
      </c>
      <c r="R82" s="36">
        <v>0.79</v>
      </c>
      <c r="S82" s="36">
        <v>1.58</v>
      </c>
      <c r="T82" s="36">
        <v>2.37</v>
      </c>
      <c r="U82" s="21">
        <f t="shared" si="1"/>
        <v>2370</v>
      </c>
      <c r="V82" s="21">
        <f t="shared" si="2"/>
        <v>2500</v>
      </c>
    </row>
    <row r="83" ht="14.25" customHeight="1">
      <c r="A83" s="38">
        <v>0.27569444444444446</v>
      </c>
      <c r="B83" s="36">
        <v>105.0</v>
      </c>
      <c r="C83" s="36">
        <v>9.0</v>
      </c>
      <c r="D83" s="36">
        <v>675.0</v>
      </c>
      <c r="E83" s="36">
        <v>617.0</v>
      </c>
      <c r="F83" s="36">
        <v>0.91</v>
      </c>
      <c r="G83" s="36">
        <v>25.0</v>
      </c>
      <c r="H83" s="36">
        <v>0.66</v>
      </c>
      <c r="I83" s="36">
        <v>16.5</v>
      </c>
      <c r="J83" s="36">
        <v>91.8</v>
      </c>
      <c r="K83" s="36">
        <v>101.0</v>
      </c>
      <c r="L83" s="36">
        <v>46.9</v>
      </c>
      <c r="M83" s="36">
        <v>101.0</v>
      </c>
      <c r="N83" s="36">
        <v>48.0</v>
      </c>
      <c r="O83" s="36">
        <v>25.0</v>
      </c>
      <c r="P83" s="36">
        <v>23.0</v>
      </c>
      <c r="Q83" s="36">
        <v>0.33</v>
      </c>
      <c r="R83" s="36">
        <v>0.81</v>
      </c>
      <c r="S83" s="36">
        <v>1.61</v>
      </c>
      <c r="T83" s="36">
        <v>2.42</v>
      </c>
      <c r="U83" s="21">
        <f t="shared" si="1"/>
        <v>2420</v>
      </c>
      <c r="V83" s="21">
        <f t="shared" si="2"/>
        <v>0</v>
      </c>
    </row>
    <row r="84" ht="14.25" customHeight="1">
      <c r="A84" s="38">
        <v>0.27708333333333335</v>
      </c>
      <c r="B84" s="36">
        <v>106.0</v>
      </c>
      <c r="C84" s="36">
        <v>8.9</v>
      </c>
      <c r="D84" s="36">
        <v>669.0</v>
      </c>
      <c r="E84" s="36">
        <v>609.0</v>
      </c>
      <c r="F84" s="36">
        <v>0.91</v>
      </c>
      <c r="G84" s="36">
        <v>25.0</v>
      </c>
      <c r="H84" s="36">
        <v>0.65</v>
      </c>
      <c r="I84" s="36">
        <v>16.1</v>
      </c>
      <c r="J84" s="36">
        <v>92.0</v>
      </c>
      <c r="K84" s="36">
        <v>103.0</v>
      </c>
      <c r="L84" s="36">
        <v>46.3</v>
      </c>
      <c r="M84" s="36">
        <v>100.0</v>
      </c>
      <c r="N84" s="36">
        <v>48.0</v>
      </c>
      <c r="O84" s="36">
        <v>25.0</v>
      </c>
      <c r="P84" s="36">
        <v>22.0</v>
      </c>
      <c r="Q84" s="36">
        <v>0.34</v>
      </c>
      <c r="R84" s="36">
        <v>0.83</v>
      </c>
      <c r="S84" s="36">
        <v>1.59</v>
      </c>
      <c r="T84" s="36">
        <v>2.42</v>
      </c>
      <c r="U84" s="21">
        <f t="shared" si="1"/>
        <v>2420</v>
      </c>
      <c r="V84" s="21">
        <f t="shared" si="2"/>
        <v>100</v>
      </c>
    </row>
    <row r="85" ht="14.25" customHeight="1">
      <c r="A85" s="38">
        <v>0.2791666666666667</v>
      </c>
      <c r="B85" s="36">
        <v>108.0</v>
      </c>
      <c r="C85" s="36">
        <v>9.1</v>
      </c>
      <c r="D85" s="36">
        <v>683.0</v>
      </c>
      <c r="E85" s="36">
        <v>616.0</v>
      </c>
      <c r="F85" s="36">
        <v>0.9</v>
      </c>
      <c r="G85" s="36">
        <v>25.0</v>
      </c>
      <c r="H85" s="36">
        <v>0.65</v>
      </c>
      <c r="I85" s="36">
        <v>16.2</v>
      </c>
      <c r="J85" s="36">
        <v>91.9</v>
      </c>
      <c r="K85" s="36">
        <v>105.0</v>
      </c>
      <c r="L85" s="36">
        <v>45.2</v>
      </c>
      <c r="M85" s="36">
        <v>100.0</v>
      </c>
      <c r="N85" s="36">
        <v>48.0</v>
      </c>
      <c r="O85" s="36">
        <v>25.0</v>
      </c>
      <c r="P85" s="36">
        <v>23.0</v>
      </c>
      <c r="Q85" s="36">
        <v>0.35</v>
      </c>
      <c r="R85" s="36">
        <v>0.84</v>
      </c>
      <c r="S85" s="36">
        <v>1.58</v>
      </c>
      <c r="T85" s="36">
        <v>2.41</v>
      </c>
      <c r="U85" s="21">
        <f t="shared" si="1"/>
        <v>2410</v>
      </c>
      <c r="V85" s="21">
        <f t="shared" si="2"/>
        <v>100</v>
      </c>
    </row>
    <row r="86" ht="14.25" customHeight="1">
      <c r="A86" s="38">
        <v>0.28055555555555556</v>
      </c>
      <c r="B86" s="36">
        <v>109.0</v>
      </c>
      <c r="C86" s="36">
        <v>9.4</v>
      </c>
      <c r="D86" s="36">
        <v>707.0</v>
      </c>
      <c r="E86" s="36">
        <v>636.0</v>
      </c>
      <c r="F86" s="36">
        <v>0.9</v>
      </c>
      <c r="G86" s="36">
        <v>25.0</v>
      </c>
      <c r="H86" s="36">
        <v>0.67</v>
      </c>
      <c r="I86" s="36">
        <v>16.6</v>
      </c>
      <c r="J86" s="36">
        <v>91.8</v>
      </c>
      <c r="K86" s="36">
        <v>105.0</v>
      </c>
      <c r="L86" s="36">
        <v>45.2</v>
      </c>
      <c r="M86" s="36">
        <v>100.0</v>
      </c>
      <c r="N86" s="36">
        <v>48.0</v>
      </c>
      <c r="O86" s="36">
        <v>25.0</v>
      </c>
      <c r="P86" s="36">
        <v>24.0</v>
      </c>
      <c r="Q86" s="36">
        <v>0.35</v>
      </c>
      <c r="R86" s="36">
        <v>0.84</v>
      </c>
      <c r="S86" s="36">
        <v>1.56</v>
      </c>
      <c r="T86" s="36">
        <v>2.4</v>
      </c>
      <c r="U86" s="21">
        <f t="shared" si="1"/>
        <v>2400</v>
      </c>
      <c r="V86" s="21">
        <f t="shared" si="2"/>
        <v>28900</v>
      </c>
    </row>
    <row r="87" ht="14.25" customHeight="1">
      <c r="A87" s="38">
        <v>0.2826388888888889</v>
      </c>
      <c r="B87" s="36">
        <v>110.0</v>
      </c>
      <c r="C87" s="36">
        <v>9.9</v>
      </c>
      <c r="D87" s="36">
        <v>743.0</v>
      </c>
      <c r="E87" s="36">
        <v>666.0</v>
      </c>
      <c r="F87" s="36">
        <v>0.9</v>
      </c>
      <c r="G87" s="36">
        <v>23.0</v>
      </c>
      <c r="H87" s="36">
        <v>0.73</v>
      </c>
      <c r="I87" s="36">
        <v>17.1</v>
      </c>
      <c r="J87" s="36">
        <v>91.5</v>
      </c>
      <c r="K87" s="36">
        <v>105.0</v>
      </c>
      <c r="L87" s="36">
        <v>44.9</v>
      </c>
      <c r="M87" s="36">
        <v>99.0</v>
      </c>
      <c r="N87" s="36">
        <v>49.0</v>
      </c>
      <c r="O87" s="36">
        <v>23.0</v>
      </c>
      <c r="P87" s="36">
        <v>25.0</v>
      </c>
      <c r="Q87" s="36">
        <v>0.34</v>
      </c>
      <c r="R87" s="36">
        <v>0.88</v>
      </c>
      <c r="S87" s="36">
        <v>1.7</v>
      </c>
      <c r="T87" s="36">
        <v>2.57</v>
      </c>
      <c r="U87" s="21">
        <f t="shared" si="1"/>
        <v>2570</v>
      </c>
      <c r="V87" s="21">
        <f t="shared" si="2"/>
        <v>2500</v>
      </c>
    </row>
    <row r="88" ht="14.25" customHeight="1">
      <c r="A88" s="38">
        <v>0.2847222222222222</v>
      </c>
      <c r="B88" s="36">
        <v>112.0</v>
      </c>
      <c r="C88" s="36">
        <v>9.6</v>
      </c>
      <c r="D88" s="36">
        <v>718.0</v>
      </c>
      <c r="E88" s="36">
        <v>642.0</v>
      </c>
      <c r="F88" s="36">
        <v>0.89</v>
      </c>
      <c r="G88" s="36">
        <v>23.0</v>
      </c>
      <c r="H88" s="36">
        <v>0.72</v>
      </c>
      <c r="I88" s="36">
        <v>16.5</v>
      </c>
      <c r="J88" s="36">
        <v>91.8</v>
      </c>
      <c r="K88" s="36">
        <v>108.0</v>
      </c>
      <c r="L88" s="36">
        <v>43.7</v>
      </c>
      <c r="M88" s="36">
        <v>99.0</v>
      </c>
      <c r="N88" s="36">
        <v>49.0</v>
      </c>
      <c r="O88" s="36">
        <v>23.0</v>
      </c>
      <c r="P88" s="36">
        <v>24.0</v>
      </c>
      <c r="Q88" s="36">
        <v>0.34</v>
      </c>
      <c r="R88" s="36">
        <v>0.89</v>
      </c>
      <c r="S88" s="36">
        <v>1.73</v>
      </c>
      <c r="T88" s="36">
        <v>2.62</v>
      </c>
      <c r="U88" s="21">
        <f t="shared" si="1"/>
        <v>2620</v>
      </c>
      <c r="V88" s="21">
        <f t="shared" si="2"/>
        <v>4900</v>
      </c>
    </row>
    <row r="89" ht="14.25" customHeight="1">
      <c r="A89" s="38">
        <v>0.28680555555555554</v>
      </c>
      <c r="B89" s="36">
        <v>113.0</v>
      </c>
      <c r="C89" s="36">
        <v>10.4</v>
      </c>
      <c r="D89" s="36">
        <v>776.0</v>
      </c>
      <c r="E89" s="36">
        <v>692.0</v>
      </c>
      <c r="F89" s="36">
        <v>0.89</v>
      </c>
      <c r="G89" s="36">
        <v>24.0</v>
      </c>
      <c r="H89" s="36">
        <v>0.75</v>
      </c>
      <c r="I89" s="36">
        <v>17.7</v>
      </c>
      <c r="J89" s="36">
        <v>91.2</v>
      </c>
      <c r="K89" s="36">
        <v>107.0</v>
      </c>
      <c r="L89" s="36">
        <v>44.2</v>
      </c>
      <c r="M89" s="36">
        <v>99.0</v>
      </c>
      <c r="N89" s="36">
        <v>49.0</v>
      </c>
      <c r="O89" s="36">
        <v>24.0</v>
      </c>
      <c r="P89" s="36">
        <v>26.0</v>
      </c>
      <c r="Q89" s="36">
        <v>0.35</v>
      </c>
      <c r="R89" s="36">
        <v>0.88</v>
      </c>
      <c r="S89" s="36">
        <v>1.67</v>
      </c>
      <c r="T89" s="36">
        <v>2.55</v>
      </c>
      <c r="U89" s="21">
        <f t="shared" si="1"/>
        <v>2550</v>
      </c>
      <c r="V89" s="21">
        <f t="shared" si="2"/>
        <v>12100</v>
      </c>
    </row>
    <row r="90" ht="14.25" customHeight="1">
      <c r="A90" s="38">
        <v>0.28888888888888886</v>
      </c>
      <c r="B90" s="36">
        <v>115.0</v>
      </c>
      <c r="C90" s="36">
        <v>10.8</v>
      </c>
      <c r="D90" s="36">
        <v>812.0</v>
      </c>
      <c r="E90" s="36">
        <v>715.0</v>
      </c>
      <c r="F90" s="36">
        <v>0.88</v>
      </c>
      <c r="G90" s="36">
        <v>23.0</v>
      </c>
      <c r="H90" s="36">
        <v>0.8</v>
      </c>
      <c r="I90" s="36">
        <v>18.0</v>
      </c>
      <c r="J90" s="36">
        <v>91.1</v>
      </c>
      <c r="K90" s="36">
        <v>109.0</v>
      </c>
      <c r="L90" s="36">
        <v>43.1</v>
      </c>
      <c r="M90" s="36">
        <v>99.0</v>
      </c>
      <c r="N90" s="36">
        <v>49.0</v>
      </c>
      <c r="O90" s="36">
        <v>23.0</v>
      </c>
      <c r="P90" s="36">
        <v>27.0</v>
      </c>
      <c r="Q90" s="36">
        <v>0.34</v>
      </c>
      <c r="R90" s="36">
        <v>0.89</v>
      </c>
      <c r="S90" s="36">
        <v>1.76</v>
      </c>
      <c r="T90" s="36">
        <v>2.66</v>
      </c>
      <c r="U90" s="21">
        <f t="shared" si="1"/>
        <v>2660</v>
      </c>
      <c r="V90" s="21">
        <f t="shared" si="2"/>
        <v>10000</v>
      </c>
    </row>
    <row r="91" ht="14.25" customHeight="1">
      <c r="A91" s="38">
        <v>0.2902777777777778</v>
      </c>
      <c r="B91" s="36">
        <v>116.0</v>
      </c>
      <c r="C91" s="36">
        <v>11.9</v>
      </c>
      <c r="D91" s="36">
        <v>892.0</v>
      </c>
      <c r="E91" s="36">
        <v>779.0</v>
      </c>
      <c r="F91" s="36">
        <v>0.87</v>
      </c>
      <c r="G91" s="36">
        <v>23.0</v>
      </c>
      <c r="H91" s="36">
        <v>0.84</v>
      </c>
      <c r="I91" s="36">
        <v>19.6</v>
      </c>
      <c r="J91" s="36">
        <v>90.3</v>
      </c>
      <c r="K91" s="36">
        <v>110.0</v>
      </c>
      <c r="L91" s="36">
        <v>42.2</v>
      </c>
      <c r="M91" s="36">
        <v>98.0</v>
      </c>
      <c r="N91" s="36">
        <v>49.0</v>
      </c>
      <c r="O91" s="36">
        <v>23.0</v>
      </c>
      <c r="P91" s="36">
        <v>30.0</v>
      </c>
      <c r="Q91" s="36">
        <v>0.33</v>
      </c>
      <c r="R91" s="36">
        <v>0.86</v>
      </c>
      <c r="S91" s="36">
        <v>1.7</v>
      </c>
      <c r="T91" s="36">
        <v>2.56</v>
      </c>
      <c r="U91" s="21">
        <f t="shared" si="1"/>
        <v>2560</v>
      </c>
      <c r="V91" s="21">
        <f t="shared" si="2"/>
        <v>6400</v>
      </c>
    </row>
    <row r="92" ht="14.25" customHeight="1">
      <c r="A92" s="38">
        <v>0.2916666666666667</v>
      </c>
      <c r="B92" s="36">
        <v>116.0</v>
      </c>
      <c r="C92" s="36">
        <v>13.1</v>
      </c>
      <c r="D92" s="36">
        <v>982.0</v>
      </c>
      <c r="E92" s="36">
        <v>859.0</v>
      </c>
      <c r="F92" s="36">
        <v>0.88</v>
      </c>
      <c r="G92" s="36">
        <v>24.0</v>
      </c>
      <c r="H92" s="36">
        <v>0.89</v>
      </c>
      <c r="I92" s="36">
        <v>21.6</v>
      </c>
      <c r="J92" s="36">
        <v>89.3</v>
      </c>
      <c r="K92" s="36">
        <v>111.0</v>
      </c>
      <c r="L92" s="36">
        <v>41.7</v>
      </c>
      <c r="M92" s="36">
        <v>98.0</v>
      </c>
      <c r="N92" s="36">
        <v>49.0</v>
      </c>
      <c r="O92" s="36">
        <v>24.0</v>
      </c>
      <c r="P92" s="36">
        <v>33.0</v>
      </c>
      <c r="Q92" s="36">
        <v>0.33</v>
      </c>
      <c r="R92" s="36">
        <v>0.83</v>
      </c>
      <c r="S92" s="36">
        <v>1.65</v>
      </c>
      <c r="T92" s="36">
        <v>2.48</v>
      </c>
      <c r="U92" s="21">
        <f t="shared" si="1"/>
        <v>2480</v>
      </c>
      <c r="V92" s="21">
        <f t="shared" si="2"/>
        <v>400</v>
      </c>
    </row>
    <row r="93" ht="14.25" customHeight="1">
      <c r="A93" s="38">
        <v>0.29305555555555557</v>
      </c>
      <c r="B93" s="36">
        <v>118.0</v>
      </c>
      <c r="C93" s="36">
        <v>13.4</v>
      </c>
      <c r="D93" s="36">
        <v>1004.0</v>
      </c>
      <c r="E93" s="36">
        <v>884.0</v>
      </c>
      <c r="F93" s="36">
        <v>0.88</v>
      </c>
      <c r="G93" s="36">
        <v>24.0</v>
      </c>
      <c r="H93" s="36">
        <v>0.91</v>
      </c>
      <c r="I93" s="36">
        <v>22.3</v>
      </c>
      <c r="J93" s="36">
        <v>88.9</v>
      </c>
      <c r="K93" s="36">
        <v>111.0</v>
      </c>
      <c r="L93" s="36">
        <v>41.8</v>
      </c>
      <c r="M93" s="36">
        <v>99.0</v>
      </c>
      <c r="N93" s="36">
        <v>49.0</v>
      </c>
      <c r="O93" s="36">
        <v>24.0</v>
      </c>
      <c r="P93" s="36">
        <v>34.0</v>
      </c>
      <c r="Q93" s="36">
        <v>0.33</v>
      </c>
      <c r="R93" s="36">
        <v>0.81</v>
      </c>
      <c r="S93" s="36">
        <v>1.64</v>
      </c>
      <c r="T93" s="36">
        <v>2.46</v>
      </c>
      <c r="U93" s="21">
        <f t="shared" si="1"/>
        <v>2460</v>
      </c>
      <c r="V93" s="21">
        <f t="shared" si="2"/>
        <v>14400</v>
      </c>
    </row>
    <row r="94" ht="14.25" customHeight="1">
      <c r="A94" s="38">
        <v>0.29444444444444445</v>
      </c>
      <c r="B94" s="36">
        <v>118.0</v>
      </c>
      <c r="C94" s="36">
        <v>14.0</v>
      </c>
      <c r="D94" s="36">
        <v>1052.0</v>
      </c>
      <c r="E94" s="36">
        <v>938.0</v>
      </c>
      <c r="F94" s="36">
        <v>0.89</v>
      </c>
      <c r="G94" s="36">
        <v>26.0</v>
      </c>
      <c r="H94" s="36">
        <v>0.92</v>
      </c>
      <c r="I94" s="36">
        <v>23.6</v>
      </c>
      <c r="J94" s="36">
        <v>88.3</v>
      </c>
      <c r="K94" s="36">
        <v>111.0</v>
      </c>
      <c r="L94" s="36">
        <v>41.8</v>
      </c>
      <c r="M94" s="36">
        <v>99.0</v>
      </c>
      <c r="N94" s="36">
        <v>49.0</v>
      </c>
      <c r="O94" s="36">
        <v>26.0</v>
      </c>
      <c r="P94" s="36">
        <v>35.0</v>
      </c>
      <c r="Q94" s="36">
        <v>0.34</v>
      </c>
      <c r="R94" s="36">
        <v>0.8</v>
      </c>
      <c r="S94" s="36">
        <v>1.54</v>
      </c>
      <c r="T94" s="36">
        <v>2.34</v>
      </c>
      <c r="U94" s="21">
        <f t="shared" si="1"/>
        <v>2340</v>
      </c>
      <c r="V94" s="21">
        <f t="shared" si="2"/>
        <v>36100</v>
      </c>
    </row>
    <row r="95" ht="14.25" customHeight="1">
      <c r="A95" s="38">
        <v>0.29583333333333334</v>
      </c>
      <c r="B95" s="36">
        <v>120.0</v>
      </c>
      <c r="C95" s="36">
        <v>14.7</v>
      </c>
      <c r="D95" s="36">
        <v>1103.0</v>
      </c>
      <c r="E95" s="36">
        <v>1002.0</v>
      </c>
      <c r="F95" s="36">
        <v>0.91</v>
      </c>
      <c r="G95" s="36">
        <v>28.0</v>
      </c>
      <c r="H95" s="36">
        <v>0.91</v>
      </c>
      <c r="I95" s="36">
        <v>25.5</v>
      </c>
      <c r="J95" s="36">
        <v>87.4</v>
      </c>
      <c r="K95" s="36">
        <v>113.0</v>
      </c>
      <c r="L95" s="36">
        <v>40.8</v>
      </c>
      <c r="M95" s="36">
        <v>100.0</v>
      </c>
      <c r="N95" s="36">
        <v>48.0</v>
      </c>
      <c r="O95" s="36">
        <v>28.0</v>
      </c>
      <c r="P95" s="36">
        <v>37.0</v>
      </c>
      <c r="Q95" s="36">
        <v>0.35</v>
      </c>
      <c r="R95" s="36">
        <v>0.76</v>
      </c>
      <c r="S95" s="36">
        <v>1.39</v>
      </c>
      <c r="T95" s="36">
        <v>2.15</v>
      </c>
      <c r="U95" s="21">
        <f t="shared" si="1"/>
        <v>2150</v>
      </c>
      <c r="V95" s="21">
        <f t="shared" si="2"/>
        <v>6400</v>
      </c>
    </row>
    <row r="96" ht="14.25" customHeight="1">
      <c r="A96" s="38">
        <v>0.29791666666666666</v>
      </c>
      <c r="B96" s="36">
        <v>121.0</v>
      </c>
      <c r="C96" s="36">
        <v>14.2</v>
      </c>
      <c r="D96" s="36">
        <v>1061.0</v>
      </c>
      <c r="E96" s="36">
        <v>983.0</v>
      </c>
      <c r="F96" s="36">
        <v>0.93</v>
      </c>
      <c r="G96" s="36">
        <v>27.0</v>
      </c>
      <c r="H96" s="36">
        <v>0.93</v>
      </c>
      <c r="I96" s="36">
        <v>25.0</v>
      </c>
      <c r="J96" s="36">
        <v>87.6</v>
      </c>
      <c r="K96" s="36">
        <v>112.0</v>
      </c>
      <c r="L96" s="36">
        <v>41.6</v>
      </c>
      <c r="M96" s="36">
        <v>101.0</v>
      </c>
      <c r="N96" s="36">
        <v>48.0</v>
      </c>
      <c r="O96" s="36">
        <v>27.0</v>
      </c>
      <c r="P96" s="36">
        <v>35.0</v>
      </c>
      <c r="Q96" s="36">
        <v>0.35</v>
      </c>
      <c r="R96" s="36">
        <v>0.77</v>
      </c>
      <c r="S96" s="36">
        <v>1.45</v>
      </c>
      <c r="T96" s="36">
        <v>2.23</v>
      </c>
      <c r="U96" s="21">
        <f t="shared" si="1"/>
        <v>2230</v>
      </c>
      <c r="V96" s="21">
        <f t="shared" si="2"/>
        <v>3600</v>
      </c>
    </row>
    <row r="97" ht="14.25" customHeight="1">
      <c r="A97" s="38">
        <v>0.29930555555555555</v>
      </c>
      <c r="B97" s="36">
        <v>122.0</v>
      </c>
      <c r="C97" s="36">
        <v>14.5</v>
      </c>
      <c r="D97" s="36">
        <v>1090.0</v>
      </c>
      <c r="E97" s="36">
        <v>1011.0</v>
      </c>
      <c r="F97" s="36">
        <v>0.93</v>
      </c>
      <c r="G97" s="36">
        <v>28.0</v>
      </c>
      <c r="H97" s="36">
        <v>0.93</v>
      </c>
      <c r="I97" s="36">
        <v>25.7</v>
      </c>
      <c r="J97" s="36">
        <v>87.3</v>
      </c>
      <c r="K97" s="36">
        <v>111.0</v>
      </c>
      <c r="L97" s="36">
        <v>42.0</v>
      </c>
      <c r="M97" s="36">
        <v>101.0</v>
      </c>
      <c r="N97" s="36">
        <v>48.0</v>
      </c>
      <c r="O97" s="36">
        <v>28.0</v>
      </c>
      <c r="P97" s="36">
        <v>36.0</v>
      </c>
      <c r="Q97" s="36">
        <v>0.36</v>
      </c>
      <c r="R97" s="36">
        <v>0.77</v>
      </c>
      <c r="S97" s="36">
        <v>1.4</v>
      </c>
      <c r="T97" s="36">
        <v>2.17</v>
      </c>
      <c r="U97" s="21">
        <f t="shared" si="1"/>
        <v>2170</v>
      </c>
      <c r="V97" s="21">
        <f t="shared" si="2"/>
        <v>2500</v>
      </c>
    </row>
    <row r="98" ht="14.25" customHeight="1">
      <c r="A98" s="38">
        <v>0.30069444444444443</v>
      </c>
      <c r="B98" s="36">
        <v>123.0</v>
      </c>
      <c r="C98" s="36">
        <v>14.0</v>
      </c>
      <c r="D98" s="36">
        <v>1049.0</v>
      </c>
      <c r="E98" s="36">
        <v>986.0</v>
      </c>
      <c r="F98" s="36">
        <v>0.94</v>
      </c>
      <c r="G98" s="36">
        <v>27.0</v>
      </c>
      <c r="H98" s="36">
        <v>0.92</v>
      </c>
      <c r="I98" s="36">
        <v>25.0</v>
      </c>
      <c r="J98" s="36">
        <v>87.6</v>
      </c>
      <c r="K98" s="36">
        <v>110.0</v>
      </c>
      <c r="L98" s="36">
        <v>42.4</v>
      </c>
      <c r="M98" s="36">
        <v>102.0</v>
      </c>
      <c r="N98" s="36">
        <v>48.0</v>
      </c>
      <c r="O98" s="36">
        <v>27.0</v>
      </c>
      <c r="P98" s="36">
        <v>35.0</v>
      </c>
      <c r="Q98" s="36">
        <v>0.35</v>
      </c>
      <c r="R98" s="36">
        <v>0.79</v>
      </c>
      <c r="S98" s="36">
        <v>1.43</v>
      </c>
      <c r="T98" s="36">
        <v>2.22</v>
      </c>
      <c r="U98" s="21">
        <f t="shared" si="1"/>
        <v>2220</v>
      </c>
      <c r="V98" s="21">
        <f t="shared" si="2"/>
        <v>900</v>
      </c>
    </row>
    <row r="99" ht="14.25" customHeight="1">
      <c r="A99" s="38">
        <v>0.30277777777777776</v>
      </c>
      <c r="B99" s="36">
        <v>125.0</v>
      </c>
      <c r="C99" s="36">
        <v>13.7</v>
      </c>
      <c r="D99" s="36">
        <v>1025.0</v>
      </c>
      <c r="E99" s="36">
        <v>972.0</v>
      </c>
      <c r="F99" s="36">
        <v>0.95</v>
      </c>
      <c r="G99" s="36">
        <v>27.0</v>
      </c>
      <c r="H99" s="36">
        <v>0.92</v>
      </c>
      <c r="I99" s="36">
        <v>24.5</v>
      </c>
      <c r="J99" s="36">
        <v>87.9</v>
      </c>
      <c r="K99" s="36">
        <v>110.0</v>
      </c>
      <c r="L99" s="36">
        <v>42.7</v>
      </c>
      <c r="M99" s="36">
        <v>102.0</v>
      </c>
      <c r="N99" s="36">
        <v>48.0</v>
      </c>
      <c r="O99" s="36">
        <v>27.0</v>
      </c>
      <c r="P99" s="36">
        <v>34.0</v>
      </c>
      <c r="Q99" s="36">
        <v>0.35</v>
      </c>
      <c r="R99" s="36">
        <v>0.8</v>
      </c>
      <c r="S99" s="36">
        <v>1.45</v>
      </c>
      <c r="T99" s="36">
        <v>2.25</v>
      </c>
      <c r="U99" s="21">
        <f t="shared" si="1"/>
        <v>2250</v>
      </c>
      <c r="V99" s="21">
        <f t="shared" si="2"/>
        <v>100</v>
      </c>
    </row>
    <row r="100" ht="14.25" customHeight="1">
      <c r="A100" s="38">
        <v>0.30416666666666664</v>
      </c>
      <c r="B100" s="36">
        <v>125.0</v>
      </c>
      <c r="C100" s="36">
        <v>13.3</v>
      </c>
      <c r="D100" s="36">
        <v>1001.0</v>
      </c>
      <c r="E100" s="36">
        <v>949.0</v>
      </c>
      <c r="F100" s="36">
        <v>0.95</v>
      </c>
      <c r="G100" s="36">
        <v>27.0</v>
      </c>
      <c r="H100" s="36">
        <v>0.9</v>
      </c>
      <c r="I100" s="36">
        <v>23.9</v>
      </c>
      <c r="J100" s="36">
        <v>88.1</v>
      </c>
      <c r="K100" s="36">
        <v>110.0</v>
      </c>
      <c r="L100" s="36">
        <v>42.4</v>
      </c>
      <c r="M100" s="36">
        <v>102.0</v>
      </c>
      <c r="N100" s="36">
        <v>48.0</v>
      </c>
      <c r="O100" s="36">
        <v>27.0</v>
      </c>
      <c r="P100" s="36">
        <v>33.0</v>
      </c>
      <c r="Q100" s="36">
        <v>0.35</v>
      </c>
      <c r="R100" s="36">
        <v>0.79</v>
      </c>
      <c r="S100" s="36">
        <v>1.47</v>
      </c>
      <c r="T100" s="36">
        <v>2.26</v>
      </c>
      <c r="U100" s="21">
        <f t="shared" si="1"/>
        <v>2260</v>
      </c>
      <c r="V100" s="21">
        <f t="shared" si="2"/>
        <v>3600</v>
      </c>
    </row>
    <row r="101" ht="14.25" customHeight="1">
      <c r="A101" s="38">
        <v>0.3055555555555556</v>
      </c>
      <c r="B101" s="36">
        <v>127.0</v>
      </c>
      <c r="C101" s="36">
        <v>13.1</v>
      </c>
      <c r="D101" s="36">
        <v>985.0</v>
      </c>
      <c r="E101" s="36">
        <v>936.0</v>
      </c>
      <c r="F101" s="36">
        <v>0.95</v>
      </c>
      <c r="G101" s="36">
        <v>26.0</v>
      </c>
      <c r="H101" s="36">
        <v>0.91</v>
      </c>
      <c r="I101" s="36">
        <v>23.6</v>
      </c>
      <c r="J101" s="36">
        <v>88.3</v>
      </c>
      <c r="K101" s="36">
        <v>111.0</v>
      </c>
      <c r="L101" s="36">
        <v>41.7</v>
      </c>
      <c r="M101" s="36">
        <v>102.0</v>
      </c>
      <c r="N101" s="36">
        <v>48.0</v>
      </c>
      <c r="O101" s="36">
        <v>26.0</v>
      </c>
      <c r="P101" s="36">
        <v>33.0</v>
      </c>
      <c r="Q101" s="36">
        <v>0.34</v>
      </c>
      <c r="R101" s="36">
        <v>0.8</v>
      </c>
      <c r="S101" s="36">
        <v>1.52</v>
      </c>
      <c r="T101" s="36">
        <v>2.32</v>
      </c>
      <c r="U101" s="21">
        <f t="shared" si="1"/>
        <v>2320</v>
      </c>
      <c r="V101" s="21">
        <f t="shared" si="2"/>
        <v>900</v>
      </c>
    </row>
    <row r="102" ht="14.25" customHeight="1">
      <c r="A102" s="38">
        <v>0.3076388888888889</v>
      </c>
      <c r="B102" s="36">
        <v>128.0</v>
      </c>
      <c r="C102" s="36">
        <v>13.0</v>
      </c>
      <c r="D102" s="36">
        <v>976.0</v>
      </c>
      <c r="E102" s="36">
        <v>932.0</v>
      </c>
      <c r="F102" s="36">
        <v>0.95</v>
      </c>
      <c r="G102" s="36">
        <v>26.0</v>
      </c>
      <c r="H102" s="36">
        <v>0.92</v>
      </c>
      <c r="I102" s="36">
        <v>23.4</v>
      </c>
      <c r="J102" s="36">
        <v>88.4</v>
      </c>
      <c r="K102" s="36">
        <v>111.0</v>
      </c>
      <c r="L102" s="36">
        <v>41.7</v>
      </c>
      <c r="M102" s="36">
        <v>102.0</v>
      </c>
      <c r="N102" s="36">
        <v>48.0</v>
      </c>
      <c r="O102" s="36">
        <v>26.0</v>
      </c>
      <c r="P102" s="36">
        <v>33.0</v>
      </c>
      <c r="Q102" s="36">
        <v>0.35</v>
      </c>
      <c r="R102" s="36">
        <v>0.81</v>
      </c>
      <c r="S102" s="36">
        <v>1.54</v>
      </c>
      <c r="T102" s="36">
        <v>2.35</v>
      </c>
      <c r="U102" s="21">
        <f t="shared" si="1"/>
        <v>2350</v>
      </c>
      <c r="V102" s="21">
        <f t="shared" si="2"/>
        <v>900</v>
      </c>
    </row>
    <row r="103" ht="14.25" customHeight="1">
      <c r="A103" s="38">
        <v>0.3090277777777778</v>
      </c>
      <c r="B103" s="36">
        <v>129.0</v>
      </c>
      <c r="C103" s="36">
        <v>13.2</v>
      </c>
      <c r="D103" s="36">
        <v>993.0</v>
      </c>
      <c r="E103" s="36">
        <v>947.0</v>
      </c>
      <c r="F103" s="36">
        <v>0.95</v>
      </c>
      <c r="G103" s="36">
        <v>26.0</v>
      </c>
      <c r="H103" s="36">
        <v>0.91</v>
      </c>
      <c r="I103" s="36">
        <v>23.5</v>
      </c>
      <c r="J103" s="36">
        <v>88.3</v>
      </c>
      <c r="K103" s="36">
        <v>111.0</v>
      </c>
      <c r="L103" s="36">
        <v>41.9</v>
      </c>
      <c r="M103" s="36">
        <v>102.0</v>
      </c>
      <c r="N103" s="36">
        <v>48.0</v>
      </c>
      <c r="O103" s="36">
        <v>26.0</v>
      </c>
      <c r="P103" s="36">
        <v>33.0</v>
      </c>
      <c r="Q103" s="36">
        <v>0.35</v>
      </c>
      <c r="R103" s="36">
        <v>0.82</v>
      </c>
      <c r="S103" s="36">
        <v>1.5</v>
      </c>
      <c r="T103" s="36">
        <v>2.32</v>
      </c>
      <c r="U103" s="21">
        <f t="shared" si="1"/>
        <v>2320</v>
      </c>
      <c r="V103" s="21">
        <f t="shared" si="2"/>
        <v>0</v>
      </c>
    </row>
    <row r="104" ht="14.25" customHeight="1">
      <c r="A104" s="38">
        <v>0.3104166666666667</v>
      </c>
      <c r="B104" s="36">
        <v>130.0</v>
      </c>
      <c r="C104" s="36">
        <v>13.1</v>
      </c>
      <c r="D104" s="36">
        <v>981.0</v>
      </c>
      <c r="E104" s="36">
        <v>936.0</v>
      </c>
      <c r="F104" s="36">
        <v>0.95</v>
      </c>
      <c r="G104" s="36">
        <v>26.0</v>
      </c>
      <c r="H104" s="36">
        <v>0.9</v>
      </c>
      <c r="I104" s="36">
        <v>23.2</v>
      </c>
      <c r="J104" s="36">
        <v>88.5</v>
      </c>
      <c r="K104" s="36">
        <v>112.0</v>
      </c>
      <c r="L104" s="36">
        <v>41.2</v>
      </c>
      <c r="M104" s="36">
        <v>102.0</v>
      </c>
      <c r="N104" s="36">
        <v>49.0</v>
      </c>
      <c r="O104" s="36">
        <v>26.0</v>
      </c>
      <c r="P104" s="36">
        <v>33.0</v>
      </c>
      <c r="Q104" s="36">
        <v>0.36</v>
      </c>
      <c r="R104" s="36">
        <v>0.83</v>
      </c>
      <c r="S104" s="36">
        <v>1.49</v>
      </c>
      <c r="T104" s="36">
        <v>2.32</v>
      </c>
      <c r="U104" s="21">
        <f t="shared" si="1"/>
        <v>2320</v>
      </c>
      <c r="V104" s="21">
        <f t="shared" si="2"/>
        <v>0</v>
      </c>
    </row>
    <row r="105" ht="14.25" customHeight="1">
      <c r="A105" s="38">
        <v>0.3125</v>
      </c>
      <c r="B105" s="36">
        <v>131.0</v>
      </c>
      <c r="C105" s="36">
        <v>13.1</v>
      </c>
      <c r="D105" s="36">
        <v>981.0</v>
      </c>
      <c r="E105" s="36">
        <v>936.0</v>
      </c>
      <c r="F105" s="36">
        <v>0.95</v>
      </c>
      <c r="G105" s="36">
        <v>26.0</v>
      </c>
      <c r="H105" s="36">
        <v>0.9</v>
      </c>
      <c r="I105" s="36">
        <v>23.2</v>
      </c>
      <c r="J105" s="36">
        <v>88.5</v>
      </c>
      <c r="K105" s="36">
        <v>112.0</v>
      </c>
      <c r="L105" s="36">
        <v>41.3</v>
      </c>
      <c r="M105" s="36">
        <v>102.0</v>
      </c>
      <c r="N105" s="36">
        <v>49.0</v>
      </c>
      <c r="O105" s="36">
        <v>26.0</v>
      </c>
      <c r="P105" s="36">
        <v>33.0</v>
      </c>
      <c r="Q105" s="36">
        <v>0.36</v>
      </c>
      <c r="R105" s="36">
        <v>0.83</v>
      </c>
      <c r="S105" s="36">
        <v>1.49</v>
      </c>
      <c r="T105" s="36">
        <v>2.32</v>
      </c>
      <c r="U105" s="21">
        <f t="shared" si="1"/>
        <v>2320</v>
      </c>
      <c r="V105" s="21">
        <f t="shared" si="2"/>
        <v>0</v>
      </c>
    </row>
    <row r="106" ht="14.25" customHeight="1">
      <c r="A106" s="38">
        <v>0.3138888888888889</v>
      </c>
      <c r="B106" s="36">
        <v>133.0</v>
      </c>
      <c r="C106" s="36">
        <v>13.3</v>
      </c>
      <c r="D106" s="36">
        <v>999.0</v>
      </c>
      <c r="E106" s="36">
        <v>948.0</v>
      </c>
      <c r="F106" s="36">
        <v>0.95</v>
      </c>
      <c r="G106" s="36">
        <v>26.0</v>
      </c>
      <c r="H106" s="36">
        <v>0.9</v>
      </c>
      <c r="I106" s="36">
        <v>23.4</v>
      </c>
      <c r="J106" s="36">
        <v>88.4</v>
      </c>
      <c r="K106" s="36">
        <v>113.0</v>
      </c>
      <c r="L106" s="36">
        <v>41.1</v>
      </c>
      <c r="M106" s="36">
        <v>101.0</v>
      </c>
      <c r="N106" s="36">
        <v>49.0</v>
      </c>
      <c r="O106" s="36">
        <v>26.0</v>
      </c>
      <c r="P106" s="36">
        <v>33.0</v>
      </c>
      <c r="Q106" s="36">
        <v>0.36</v>
      </c>
      <c r="R106" s="36">
        <v>0.83</v>
      </c>
      <c r="S106" s="36">
        <v>1.49</v>
      </c>
      <c r="T106" s="36">
        <v>2.32</v>
      </c>
      <c r="U106" s="21">
        <f t="shared" si="1"/>
        <v>2320</v>
      </c>
      <c r="V106" s="21">
        <f t="shared" si="2"/>
        <v>400</v>
      </c>
    </row>
    <row r="107" ht="14.25" customHeight="1">
      <c r="A107" s="38">
        <v>0.31527777777777777</v>
      </c>
      <c r="B107" s="36">
        <v>133.0</v>
      </c>
      <c r="C107" s="36">
        <v>13.6</v>
      </c>
      <c r="D107" s="36">
        <v>1023.0</v>
      </c>
      <c r="E107" s="36">
        <v>970.0</v>
      </c>
      <c r="F107" s="36">
        <v>0.95</v>
      </c>
      <c r="G107" s="36">
        <v>26.0</v>
      </c>
      <c r="H107" s="36">
        <v>0.93</v>
      </c>
      <c r="I107" s="36">
        <v>23.7</v>
      </c>
      <c r="J107" s="36">
        <v>88.2</v>
      </c>
      <c r="K107" s="36">
        <v>113.0</v>
      </c>
      <c r="L107" s="36">
        <v>41.1</v>
      </c>
      <c r="M107" s="36">
        <v>101.0</v>
      </c>
      <c r="N107" s="36">
        <v>49.0</v>
      </c>
      <c r="O107" s="36">
        <v>26.0</v>
      </c>
      <c r="P107" s="36">
        <v>34.0</v>
      </c>
      <c r="Q107" s="36">
        <v>0.36</v>
      </c>
      <c r="R107" s="36">
        <v>0.84</v>
      </c>
      <c r="S107" s="36">
        <v>1.5</v>
      </c>
      <c r="T107" s="36">
        <v>2.34</v>
      </c>
      <c r="U107" s="21">
        <f t="shared" si="1"/>
        <v>2340</v>
      </c>
      <c r="V107" s="21">
        <f t="shared" si="2"/>
        <v>400</v>
      </c>
    </row>
    <row r="108" ht="14.25" customHeight="1">
      <c r="A108" s="38">
        <v>0.31666666666666665</v>
      </c>
      <c r="B108" s="36">
        <v>135.0</v>
      </c>
      <c r="C108" s="36">
        <v>14.2</v>
      </c>
      <c r="D108" s="36">
        <v>1066.0</v>
      </c>
      <c r="E108" s="36">
        <v>1006.0</v>
      </c>
      <c r="F108" s="36">
        <v>0.94</v>
      </c>
      <c r="G108" s="36">
        <v>26.0</v>
      </c>
      <c r="H108" s="36">
        <v>0.95</v>
      </c>
      <c r="I108" s="36">
        <v>24.5</v>
      </c>
      <c r="J108" s="36">
        <v>87.8</v>
      </c>
      <c r="K108" s="36">
        <v>113.0</v>
      </c>
      <c r="L108" s="36">
        <v>40.6</v>
      </c>
      <c r="M108" s="36">
        <v>101.0</v>
      </c>
      <c r="N108" s="36">
        <v>49.0</v>
      </c>
      <c r="O108" s="36">
        <v>26.0</v>
      </c>
      <c r="P108" s="36">
        <v>36.0</v>
      </c>
      <c r="Q108" s="36">
        <v>0.36</v>
      </c>
      <c r="R108" s="36">
        <v>0.84</v>
      </c>
      <c r="S108" s="36">
        <v>1.48</v>
      </c>
      <c r="T108" s="36">
        <v>2.32</v>
      </c>
      <c r="U108" s="21">
        <f t="shared" si="1"/>
        <v>2320</v>
      </c>
      <c r="V108" s="21">
        <f t="shared" si="2"/>
        <v>900</v>
      </c>
    </row>
    <row r="109" ht="14.25" customHeight="1">
      <c r="A109" s="38">
        <v>0.31805555555555554</v>
      </c>
      <c r="B109" s="36">
        <v>136.0</v>
      </c>
      <c r="C109" s="36">
        <v>14.8</v>
      </c>
      <c r="D109" s="36">
        <v>1112.0</v>
      </c>
      <c r="E109" s="36">
        <v>1048.0</v>
      </c>
      <c r="F109" s="36">
        <v>0.94</v>
      </c>
      <c r="G109" s="36">
        <v>26.0</v>
      </c>
      <c r="H109" s="36">
        <v>0.97</v>
      </c>
      <c r="I109" s="36">
        <v>25.4</v>
      </c>
      <c r="J109" s="36">
        <v>87.4</v>
      </c>
      <c r="K109" s="36">
        <v>115.0</v>
      </c>
      <c r="L109" s="36">
        <v>39.7</v>
      </c>
      <c r="M109" s="36">
        <v>101.0</v>
      </c>
      <c r="N109" s="36">
        <v>49.0</v>
      </c>
      <c r="O109" s="36">
        <v>26.0</v>
      </c>
      <c r="P109" s="36">
        <v>37.0</v>
      </c>
      <c r="Q109" s="36">
        <v>0.36</v>
      </c>
      <c r="R109" s="36">
        <v>0.82</v>
      </c>
      <c r="S109" s="36">
        <v>1.46</v>
      </c>
      <c r="T109" s="36">
        <v>2.29</v>
      </c>
      <c r="U109" s="21">
        <f t="shared" si="1"/>
        <v>2290</v>
      </c>
      <c r="V109" s="21">
        <f t="shared" si="2"/>
        <v>1600</v>
      </c>
    </row>
    <row r="110" ht="14.25" customHeight="1">
      <c r="A110" s="38">
        <v>0.32013888888888886</v>
      </c>
      <c r="B110" s="36">
        <v>137.0</v>
      </c>
      <c r="C110" s="36">
        <v>15.1</v>
      </c>
      <c r="D110" s="36">
        <v>1131.0</v>
      </c>
      <c r="E110" s="36">
        <v>1068.0</v>
      </c>
      <c r="F110" s="36">
        <v>0.94</v>
      </c>
      <c r="G110" s="36">
        <v>27.0</v>
      </c>
      <c r="H110" s="36">
        <v>0.98</v>
      </c>
      <c r="I110" s="36">
        <v>26.1</v>
      </c>
      <c r="J110" s="36">
        <v>87.1</v>
      </c>
      <c r="K110" s="36">
        <v>116.0</v>
      </c>
      <c r="L110" s="36">
        <v>39.2</v>
      </c>
      <c r="M110" s="36">
        <v>101.0</v>
      </c>
      <c r="N110" s="36">
        <v>49.0</v>
      </c>
      <c r="O110" s="36">
        <v>27.0</v>
      </c>
      <c r="P110" s="36">
        <v>38.0</v>
      </c>
      <c r="Q110" s="36">
        <v>0.36</v>
      </c>
      <c r="R110" s="36">
        <v>0.81</v>
      </c>
      <c r="S110" s="36">
        <v>1.44</v>
      </c>
      <c r="T110" s="36">
        <v>2.25</v>
      </c>
      <c r="U110" s="21">
        <f t="shared" si="1"/>
        <v>2250</v>
      </c>
      <c r="V110" s="21">
        <f t="shared" si="2"/>
        <v>792100</v>
      </c>
    </row>
    <row r="111" ht="14.25" customHeight="1">
      <c r="A111" s="38">
        <v>0.32430555555555557</v>
      </c>
      <c r="B111" s="36">
        <v>140.0</v>
      </c>
      <c r="C111" s="36">
        <v>14.9</v>
      </c>
      <c r="D111" s="36">
        <v>1117.0</v>
      </c>
      <c r="E111" s="36">
        <v>1109.0</v>
      </c>
      <c r="F111" s="36">
        <v>0.99</v>
      </c>
      <c r="G111" s="36">
        <v>19.0</v>
      </c>
      <c r="H111" s="36">
        <v>1.37</v>
      </c>
      <c r="I111" s="36">
        <v>26.3</v>
      </c>
      <c r="J111" s="36">
        <v>87.0</v>
      </c>
      <c r="K111" s="36">
        <v>116.0</v>
      </c>
      <c r="L111" s="36">
        <v>39.4</v>
      </c>
      <c r="M111" s="36">
        <v>102.0</v>
      </c>
      <c r="N111" s="36">
        <v>49.0</v>
      </c>
      <c r="O111" s="36">
        <v>19.0</v>
      </c>
      <c r="P111" s="36">
        <v>37.0</v>
      </c>
      <c r="Q111" s="36">
        <v>0.38</v>
      </c>
      <c r="R111" s="36">
        <v>1.2</v>
      </c>
      <c r="S111" s="36">
        <v>1.94</v>
      </c>
      <c r="T111" s="36">
        <v>3.14</v>
      </c>
      <c r="U111" s="21">
        <f t="shared" si="1"/>
        <v>3140</v>
      </c>
      <c r="V111" s="21">
        <f t="shared" si="2"/>
        <v>400</v>
      </c>
    </row>
    <row r="112" ht="14.25" customHeight="1">
      <c r="A112" s="38">
        <v>0.3263888888888889</v>
      </c>
      <c r="B112" s="36">
        <v>142.0</v>
      </c>
      <c r="C112" s="36">
        <v>14.9</v>
      </c>
      <c r="D112" s="36">
        <v>1116.0</v>
      </c>
      <c r="E112" s="36">
        <v>1118.0</v>
      </c>
      <c r="F112" s="36">
        <v>1.0</v>
      </c>
      <c r="G112" s="36">
        <v>19.0</v>
      </c>
      <c r="H112" s="36">
        <v>1.39</v>
      </c>
      <c r="I112" s="36">
        <v>26.4</v>
      </c>
      <c r="J112" s="36">
        <v>86.9</v>
      </c>
      <c r="K112" s="36">
        <v>116.0</v>
      </c>
      <c r="L112" s="36">
        <v>39.0</v>
      </c>
      <c r="M112" s="36">
        <v>102.0</v>
      </c>
      <c r="N112" s="36">
        <v>49.0</v>
      </c>
      <c r="O112" s="36">
        <v>19.0</v>
      </c>
      <c r="P112" s="36">
        <v>37.0</v>
      </c>
      <c r="Q112" s="36">
        <v>0.38</v>
      </c>
      <c r="R112" s="36">
        <v>1.19</v>
      </c>
      <c r="S112" s="36">
        <v>1.97</v>
      </c>
      <c r="T112" s="36">
        <v>3.16</v>
      </c>
      <c r="U112" s="21">
        <f t="shared" si="1"/>
        <v>3160</v>
      </c>
      <c r="V112" s="21">
        <f t="shared" si="2"/>
        <v>0</v>
      </c>
    </row>
    <row r="113" ht="14.25" customHeight="1">
      <c r="A113" s="38">
        <v>0.3277777777777778</v>
      </c>
      <c r="B113" s="36">
        <v>142.0</v>
      </c>
      <c r="C113" s="36">
        <v>14.9</v>
      </c>
      <c r="D113" s="36">
        <v>1116.0</v>
      </c>
      <c r="E113" s="36">
        <v>1118.0</v>
      </c>
      <c r="F113" s="36">
        <v>1.0</v>
      </c>
      <c r="G113" s="36">
        <v>19.0</v>
      </c>
      <c r="H113" s="36">
        <v>1.39</v>
      </c>
      <c r="I113" s="36">
        <v>26.4</v>
      </c>
      <c r="J113" s="36">
        <v>86.9</v>
      </c>
      <c r="K113" s="36">
        <v>117.0</v>
      </c>
      <c r="L113" s="36">
        <v>38.6</v>
      </c>
      <c r="M113" s="36">
        <v>102.0</v>
      </c>
      <c r="N113" s="36">
        <v>49.0</v>
      </c>
      <c r="O113" s="36">
        <v>19.0</v>
      </c>
      <c r="P113" s="36">
        <v>37.0</v>
      </c>
      <c r="Q113" s="36">
        <v>0.38</v>
      </c>
      <c r="R113" s="36">
        <v>1.19</v>
      </c>
      <c r="S113" s="36">
        <v>1.97</v>
      </c>
      <c r="T113" s="36">
        <v>3.16</v>
      </c>
      <c r="U113" s="21">
        <f t="shared" si="1"/>
        <v>3160</v>
      </c>
      <c r="V113" s="21">
        <f t="shared" si="2"/>
        <v>100</v>
      </c>
    </row>
    <row r="114" ht="14.25" customHeight="1">
      <c r="A114" s="38">
        <v>0.3298611111111111</v>
      </c>
      <c r="B114" s="36">
        <v>144.0</v>
      </c>
      <c r="C114" s="36">
        <v>14.9</v>
      </c>
      <c r="D114" s="36">
        <v>1119.0</v>
      </c>
      <c r="E114" s="36">
        <v>1130.0</v>
      </c>
      <c r="F114" s="36">
        <v>1.01</v>
      </c>
      <c r="G114" s="36">
        <v>19.0</v>
      </c>
      <c r="H114" s="36">
        <v>1.39</v>
      </c>
      <c r="I114" s="36">
        <v>26.4</v>
      </c>
      <c r="J114" s="36">
        <v>86.9</v>
      </c>
      <c r="K114" s="36">
        <v>118.0</v>
      </c>
      <c r="L114" s="36">
        <v>38.3</v>
      </c>
      <c r="M114" s="36">
        <v>102.0</v>
      </c>
      <c r="N114" s="36">
        <v>50.0</v>
      </c>
      <c r="O114" s="36">
        <v>19.0</v>
      </c>
      <c r="P114" s="36">
        <v>37.0</v>
      </c>
      <c r="Q114" s="36">
        <v>0.37</v>
      </c>
      <c r="R114" s="36">
        <v>1.17</v>
      </c>
      <c r="S114" s="36">
        <v>1.99</v>
      </c>
      <c r="T114" s="36">
        <v>3.17</v>
      </c>
      <c r="U114" s="21">
        <f t="shared" si="1"/>
        <v>3170</v>
      </c>
      <c r="V114" s="21">
        <f t="shared" si="2"/>
        <v>0</v>
      </c>
    </row>
    <row r="115" ht="14.25" customHeight="1">
      <c r="A115" s="38">
        <v>0.33125</v>
      </c>
      <c r="B115" s="36">
        <v>145.0</v>
      </c>
      <c r="C115" s="36">
        <v>14.9</v>
      </c>
      <c r="D115" s="36">
        <v>1119.0</v>
      </c>
      <c r="E115" s="36">
        <v>1130.0</v>
      </c>
      <c r="F115" s="36">
        <v>1.01</v>
      </c>
      <c r="G115" s="36">
        <v>19.0</v>
      </c>
      <c r="H115" s="36">
        <v>1.39</v>
      </c>
      <c r="I115" s="36">
        <v>26.4</v>
      </c>
      <c r="J115" s="36">
        <v>86.9</v>
      </c>
      <c r="K115" s="36">
        <v>119.0</v>
      </c>
      <c r="L115" s="36">
        <v>37.8</v>
      </c>
      <c r="M115" s="36">
        <v>102.0</v>
      </c>
      <c r="N115" s="36">
        <v>50.0</v>
      </c>
      <c r="O115" s="36">
        <v>19.0</v>
      </c>
      <c r="P115" s="36">
        <v>37.0</v>
      </c>
      <c r="Q115" s="36">
        <v>0.37</v>
      </c>
      <c r="R115" s="36">
        <v>1.17</v>
      </c>
      <c r="S115" s="36">
        <v>1.99</v>
      </c>
      <c r="T115" s="36">
        <v>3.17</v>
      </c>
      <c r="U115" s="21">
        <f t="shared" si="1"/>
        <v>3170</v>
      </c>
      <c r="V115" s="21">
        <f t="shared" si="2"/>
        <v>100</v>
      </c>
    </row>
    <row r="116" ht="14.25" customHeight="1">
      <c r="A116" s="38">
        <v>0.3326388888888889</v>
      </c>
      <c r="B116" s="36">
        <v>146.0</v>
      </c>
      <c r="C116" s="36">
        <v>15.1</v>
      </c>
      <c r="D116" s="36">
        <v>1129.0</v>
      </c>
      <c r="E116" s="36">
        <v>1141.0</v>
      </c>
      <c r="F116" s="36">
        <v>1.01</v>
      </c>
      <c r="G116" s="36">
        <v>19.0</v>
      </c>
      <c r="H116" s="36">
        <v>1.4</v>
      </c>
      <c r="I116" s="36">
        <v>26.5</v>
      </c>
      <c r="J116" s="36">
        <v>86.9</v>
      </c>
      <c r="K116" s="36">
        <v>119.0</v>
      </c>
      <c r="L116" s="36">
        <v>37.7</v>
      </c>
      <c r="M116" s="36">
        <v>102.0</v>
      </c>
      <c r="N116" s="36">
        <v>50.0</v>
      </c>
      <c r="O116" s="36">
        <v>19.0</v>
      </c>
      <c r="P116" s="36">
        <v>38.0</v>
      </c>
      <c r="Q116" s="36">
        <v>0.37</v>
      </c>
      <c r="R116" s="36">
        <v>1.17</v>
      </c>
      <c r="S116" s="36">
        <v>2.0</v>
      </c>
      <c r="T116" s="36">
        <v>3.16</v>
      </c>
      <c r="U116" s="21">
        <f t="shared" si="1"/>
        <v>3160</v>
      </c>
      <c r="V116" s="21">
        <f t="shared" si="2"/>
        <v>100</v>
      </c>
    </row>
    <row r="117" ht="14.25" customHeight="1">
      <c r="A117" s="38">
        <v>0.33402777777777776</v>
      </c>
      <c r="B117" s="36">
        <v>147.0</v>
      </c>
      <c r="C117" s="36">
        <v>15.6</v>
      </c>
      <c r="D117" s="36">
        <v>1169.0</v>
      </c>
      <c r="E117" s="36">
        <v>1174.0</v>
      </c>
      <c r="F117" s="36">
        <v>1.0</v>
      </c>
      <c r="G117" s="36">
        <v>19.0</v>
      </c>
      <c r="H117" s="36">
        <v>1.43</v>
      </c>
      <c r="I117" s="36">
        <v>27.1</v>
      </c>
      <c r="J117" s="36">
        <v>86.6</v>
      </c>
      <c r="K117" s="36">
        <v>118.0</v>
      </c>
      <c r="L117" s="36">
        <v>38.0</v>
      </c>
      <c r="M117" s="36">
        <v>101.0</v>
      </c>
      <c r="N117" s="36">
        <v>51.0</v>
      </c>
      <c r="O117" s="36">
        <v>19.0</v>
      </c>
      <c r="P117" s="36">
        <v>39.0</v>
      </c>
      <c r="Q117" s="36">
        <v>0.37</v>
      </c>
      <c r="R117" s="36">
        <v>1.18</v>
      </c>
      <c r="S117" s="36">
        <v>1.99</v>
      </c>
      <c r="T117" s="36">
        <v>3.17</v>
      </c>
      <c r="U117" s="21">
        <f t="shared" si="1"/>
        <v>3170</v>
      </c>
      <c r="V117" s="21">
        <f t="shared" si="2"/>
        <v>846400</v>
      </c>
    </row>
    <row r="118" ht="14.25" customHeight="1">
      <c r="A118" s="38">
        <v>0.33541666666666664</v>
      </c>
      <c r="B118" s="36">
        <v>149.0</v>
      </c>
      <c r="C118" s="36">
        <v>16.3</v>
      </c>
      <c r="D118" s="36">
        <v>1223.0</v>
      </c>
      <c r="E118" s="36">
        <v>1190.0</v>
      </c>
      <c r="F118" s="36">
        <v>0.97</v>
      </c>
      <c r="G118" s="36">
        <v>27.0</v>
      </c>
      <c r="H118" s="36">
        <v>1.05</v>
      </c>
      <c r="I118" s="36">
        <v>28.0</v>
      </c>
      <c r="J118" s="36">
        <v>86.1</v>
      </c>
      <c r="K118" s="36">
        <v>120.0</v>
      </c>
      <c r="L118" s="36">
        <v>37.4</v>
      </c>
      <c r="M118" s="36">
        <v>101.0</v>
      </c>
      <c r="N118" s="36">
        <v>50.0</v>
      </c>
      <c r="O118" s="36">
        <v>27.0</v>
      </c>
      <c r="P118" s="36">
        <v>41.0</v>
      </c>
      <c r="Q118" s="36">
        <v>0.34</v>
      </c>
      <c r="R118" s="36">
        <v>0.77</v>
      </c>
      <c r="S118" s="36">
        <v>1.48</v>
      </c>
      <c r="T118" s="36">
        <v>2.25</v>
      </c>
      <c r="U118" s="21">
        <f t="shared" si="1"/>
        <v>2250</v>
      </c>
      <c r="V118" s="21">
        <f t="shared" si="2"/>
        <v>10000</v>
      </c>
    </row>
    <row r="119" ht="14.25" customHeight="1">
      <c r="A119" s="38">
        <v>0.3368055555555556</v>
      </c>
      <c r="B119" s="36">
        <v>149.0</v>
      </c>
      <c r="C119" s="36">
        <v>17.2</v>
      </c>
      <c r="D119" s="36">
        <v>1291.0</v>
      </c>
      <c r="E119" s="36">
        <v>1237.0</v>
      </c>
      <c r="F119" s="36">
        <v>0.96</v>
      </c>
      <c r="G119" s="36">
        <v>28.0</v>
      </c>
      <c r="H119" s="36">
        <v>1.06</v>
      </c>
      <c r="I119" s="36">
        <v>29.6</v>
      </c>
      <c r="J119" s="36">
        <v>85.3</v>
      </c>
      <c r="K119" s="36">
        <v>120.0</v>
      </c>
      <c r="L119" s="36">
        <v>36.9</v>
      </c>
      <c r="M119" s="36">
        <v>101.0</v>
      </c>
      <c r="N119" s="36">
        <v>50.0</v>
      </c>
      <c r="O119" s="36">
        <v>28.0</v>
      </c>
      <c r="P119" s="36">
        <v>43.0</v>
      </c>
      <c r="Q119" s="36">
        <v>0.35</v>
      </c>
      <c r="R119" s="36">
        <v>0.76</v>
      </c>
      <c r="S119" s="36">
        <v>1.39</v>
      </c>
      <c r="T119" s="36">
        <v>2.15</v>
      </c>
      <c r="U119" s="21">
        <f t="shared" si="1"/>
        <v>2150</v>
      </c>
      <c r="V119" s="21">
        <f t="shared" si="2"/>
        <v>6400</v>
      </c>
    </row>
    <row r="120" ht="14.25" customHeight="1">
      <c r="A120" s="38">
        <v>0.33819444444444446</v>
      </c>
      <c r="B120" s="36">
        <v>150.0</v>
      </c>
      <c r="C120" s="36">
        <v>18.0</v>
      </c>
      <c r="D120" s="36">
        <v>1347.0</v>
      </c>
      <c r="E120" s="36">
        <v>1293.0</v>
      </c>
      <c r="F120" s="36">
        <v>0.96</v>
      </c>
      <c r="G120" s="36">
        <v>29.0</v>
      </c>
      <c r="H120" s="36">
        <v>1.09</v>
      </c>
      <c r="I120" s="36">
        <v>31.6</v>
      </c>
      <c r="J120" s="36">
        <v>84.3</v>
      </c>
      <c r="K120" s="36">
        <v>121.0</v>
      </c>
      <c r="L120" s="36">
        <v>36.7</v>
      </c>
      <c r="M120" s="36">
        <v>101.0</v>
      </c>
      <c r="N120" s="36">
        <v>50.0</v>
      </c>
      <c r="O120" s="36">
        <v>29.0</v>
      </c>
      <c r="P120" s="36">
        <v>45.0</v>
      </c>
      <c r="Q120" s="36">
        <v>0.36</v>
      </c>
      <c r="R120" s="36">
        <v>0.75</v>
      </c>
      <c r="S120" s="36">
        <v>1.32</v>
      </c>
      <c r="T120" s="36">
        <v>2.07</v>
      </c>
      <c r="U120" s="21">
        <f t="shared" si="1"/>
        <v>2070</v>
      </c>
      <c r="V120" s="21">
        <f t="shared" si="2"/>
        <v>900</v>
      </c>
    </row>
    <row r="121" ht="14.25" customHeight="1">
      <c r="A121" s="38">
        <v>0.33958333333333335</v>
      </c>
      <c r="B121" s="36">
        <v>152.0</v>
      </c>
      <c r="C121" s="36">
        <v>18.4</v>
      </c>
      <c r="D121" s="36">
        <v>1383.0</v>
      </c>
      <c r="E121" s="36">
        <v>1336.0</v>
      </c>
      <c r="F121" s="36">
        <v>0.97</v>
      </c>
      <c r="G121" s="36">
        <v>29.0</v>
      </c>
      <c r="H121" s="36">
        <v>1.11</v>
      </c>
      <c r="I121" s="36">
        <v>32.7</v>
      </c>
      <c r="J121" s="36">
        <v>83.8</v>
      </c>
      <c r="K121" s="36">
        <v>121.0</v>
      </c>
      <c r="L121" s="36">
        <v>36.7</v>
      </c>
      <c r="M121" s="36">
        <v>101.0</v>
      </c>
      <c r="N121" s="36">
        <v>50.0</v>
      </c>
      <c r="O121" s="36">
        <v>29.0</v>
      </c>
      <c r="P121" s="36">
        <v>46.0</v>
      </c>
      <c r="Q121" s="36">
        <v>0.36</v>
      </c>
      <c r="R121" s="36">
        <v>0.74</v>
      </c>
      <c r="S121" s="36">
        <v>1.31</v>
      </c>
      <c r="T121" s="36">
        <v>2.04</v>
      </c>
      <c r="U121" s="21">
        <f t="shared" si="1"/>
        <v>2040</v>
      </c>
      <c r="V121" s="21">
        <f t="shared" si="2"/>
        <v>0</v>
      </c>
    </row>
    <row r="122" ht="14.25" customHeight="1">
      <c r="A122" s="38">
        <v>0.34097222222222223</v>
      </c>
      <c r="B122" s="36">
        <v>152.0</v>
      </c>
      <c r="C122" s="36">
        <v>18.2</v>
      </c>
      <c r="D122" s="36">
        <v>1363.0</v>
      </c>
      <c r="E122" s="36">
        <v>1325.0</v>
      </c>
      <c r="F122" s="36">
        <v>0.97</v>
      </c>
      <c r="G122" s="36">
        <v>29.0</v>
      </c>
      <c r="H122" s="36">
        <v>1.11</v>
      </c>
      <c r="I122" s="36">
        <v>32.7</v>
      </c>
      <c r="J122" s="36">
        <v>83.8</v>
      </c>
      <c r="K122" s="36">
        <v>121.0</v>
      </c>
      <c r="L122" s="36">
        <v>36.7</v>
      </c>
      <c r="M122" s="36">
        <v>102.0</v>
      </c>
      <c r="N122" s="36">
        <v>49.0</v>
      </c>
      <c r="O122" s="36">
        <v>29.0</v>
      </c>
      <c r="P122" s="36">
        <v>46.0</v>
      </c>
      <c r="Q122" s="36">
        <v>0.36</v>
      </c>
      <c r="R122" s="36">
        <v>0.73</v>
      </c>
      <c r="S122" s="36">
        <v>1.31</v>
      </c>
      <c r="T122" s="36">
        <v>2.04</v>
      </c>
      <c r="U122" s="21">
        <f t="shared" si="1"/>
        <v>2040</v>
      </c>
      <c r="V122" s="8">
        <v>0.0</v>
      </c>
    </row>
    <row r="123" ht="14.25" customHeight="1">
      <c r="A123" s="36" t="s">
        <v>80</v>
      </c>
    </row>
    <row r="124" ht="14.25" customHeight="1">
      <c r="A124" s="38">
        <v>0.3423611111111111</v>
      </c>
      <c r="B124" s="36">
        <v>153.0</v>
      </c>
      <c r="C124" s="36">
        <v>18.5</v>
      </c>
      <c r="D124" s="36">
        <v>1389.0</v>
      </c>
      <c r="E124" s="36">
        <v>1366.0</v>
      </c>
      <c r="F124" s="36">
        <v>0.98</v>
      </c>
      <c r="G124" s="36">
        <v>29.0</v>
      </c>
      <c r="H124" s="36">
        <v>1.14</v>
      </c>
      <c r="I124" s="36">
        <v>33.8</v>
      </c>
      <c r="J124" s="36">
        <v>83.3</v>
      </c>
      <c r="K124" s="36">
        <v>121.0</v>
      </c>
      <c r="L124" s="36">
        <v>36.5</v>
      </c>
      <c r="M124" s="36">
        <v>103.0</v>
      </c>
      <c r="N124" s="36">
        <v>49.0</v>
      </c>
      <c r="O124" s="36">
        <v>29.0</v>
      </c>
      <c r="P124" s="36">
        <v>46.0</v>
      </c>
      <c r="Q124" s="36">
        <v>0.35</v>
      </c>
      <c r="R124" s="36">
        <v>0.72</v>
      </c>
      <c r="S124" s="36">
        <v>1.32</v>
      </c>
      <c r="T124" s="36">
        <v>2.03</v>
      </c>
      <c r="U124" s="21">
        <f t="shared" ref="U124:U171" si="3">T124*1000</f>
        <v>2030</v>
      </c>
      <c r="V124" s="21">
        <f t="shared" ref="V124:V170" si="4">(U124-U125)^2</f>
        <v>0</v>
      </c>
      <c r="W124" s="8">
        <f>SQRT(AVERAGE(V124:V268))</f>
        <v>86.53626171</v>
      </c>
    </row>
    <row r="125" ht="14.25" customHeight="1">
      <c r="A125" s="38">
        <v>0.34375</v>
      </c>
      <c r="B125" s="36">
        <v>155.0</v>
      </c>
      <c r="C125" s="36">
        <v>18.4</v>
      </c>
      <c r="D125" s="36">
        <v>1382.0</v>
      </c>
      <c r="E125" s="36">
        <v>1385.0</v>
      </c>
      <c r="F125" s="36">
        <v>1.0</v>
      </c>
      <c r="G125" s="36">
        <v>30.0</v>
      </c>
      <c r="H125" s="36">
        <v>1.15</v>
      </c>
      <c r="I125" s="36">
        <v>34.1</v>
      </c>
      <c r="J125" s="36">
        <v>83.1</v>
      </c>
      <c r="K125" s="36">
        <v>121.0</v>
      </c>
      <c r="L125" s="36">
        <v>36.5</v>
      </c>
      <c r="M125" s="36">
        <v>103.0</v>
      </c>
      <c r="N125" s="36">
        <v>49.0</v>
      </c>
      <c r="O125" s="36">
        <v>30.0</v>
      </c>
      <c r="P125" s="36">
        <v>46.0</v>
      </c>
      <c r="Q125" s="36">
        <v>0.35</v>
      </c>
      <c r="R125" s="36">
        <v>0.72</v>
      </c>
      <c r="S125" s="36">
        <v>1.31</v>
      </c>
      <c r="T125" s="36">
        <v>2.03</v>
      </c>
      <c r="U125" s="21">
        <f t="shared" si="3"/>
        <v>2030</v>
      </c>
      <c r="V125" s="21">
        <f t="shared" si="4"/>
        <v>900</v>
      </c>
    </row>
    <row r="126" ht="14.25" customHeight="1">
      <c r="A126" s="38">
        <v>0.3451388888888889</v>
      </c>
      <c r="B126" s="36">
        <v>155.0</v>
      </c>
      <c r="C126" s="36">
        <v>18.9</v>
      </c>
      <c r="D126" s="36">
        <v>1419.0</v>
      </c>
      <c r="E126" s="36">
        <v>1434.0</v>
      </c>
      <c r="F126" s="36">
        <v>1.01</v>
      </c>
      <c r="G126" s="36">
        <v>30.0</v>
      </c>
      <c r="H126" s="36">
        <v>1.18</v>
      </c>
      <c r="I126" s="36">
        <v>35.2</v>
      </c>
      <c r="J126" s="36">
        <v>82.5</v>
      </c>
      <c r="K126" s="36">
        <v>121.0</v>
      </c>
      <c r="L126" s="36">
        <v>36.5</v>
      </c>
      <c r="M126" s="36">
        <v>104.0</v>
      </c>
      <c r="N126" s="36">
        <v>49.0</v>
      </c>
      <c r="O126" s="36">
        <v>30.0</v>
      </c>
      <c r="P126" s="36">
        <v>47.0</v>
      </c>
      <c r="Q126" s="36">
        <v>0.36</v>
      </c>
      <c r="R126" s="36">
        <v>0.72</v>
      </c>
      <c r="S126" s="36">
        <v>1.28</v>
      </c>
      <c r="T126" s="36">
        <v>2.0</v>
      </c>
      <c r="U126" s="21">
        <f t="shared" si="3"/>
        <v>2000</v>
      </c>
      <c r="V126" s="21">
        <f t="shared" si="4"/>
        <v>900</v>
      </c>
    </row>
    <row r="127" ht="14.25" customHeight="1">
      <c r="A127" s="38">
        <v>0.34652777777777777</v>
      </c>
      <c r="B127" s="36">
        <v>156.0</v>
      </c>
      <c r="C127" s="36">
        <v>18.7</v>
      </c>
      <c r="D127" s="36">
        <v>1405.0</v>
      </c>
      <c r="E127" s="36">
        <v>1430.0</v>
      </c>
      <c r="F127" s="36">
        <v>1.02</v>
      </c>
      <c r="G127" s="36">
        <v>30.0</v>
      </c>
      <c r="H127" s="36">
        <v>1.15</v>
      </c>
      <c r="I127" s="36">
        <v>35.0</v>
      </c>
      <c r="J127" s="36">
        <v>82.6</v>
      </c>
      <c r="K127" s="36">
        <v>121.0</v>
      </c>
      <c r="L127" s="36">
        <v>36.4</v>
      </c>
      <c r="M127" s="36">
        <v>104.0</v>
      </c>
      <c r="N127" s="36">
        <v>49.0</v>
      </c>
      <c r="O127" s="36">
        <v>30.0</v>
      </c>
      <c r="P127" s="36">
        <v>47.0</v>
      </c>
      <c r="Q127" s="36">
        <v>0.36</v>
      </c>
      <c r="R127" s="36">
        <v>0.72</v>
      </c>
      <c r="S127" s="36">
        <v>1.25</v>
      </c>
      <c r="T127" s="36">
        <v>1.97</v>
      </c>
      <c r="U127" s="21">
        <f t="shared" si="3"/>
        <v>1970</v>
      </c>
      <c r="V127" s="21">
        <f t="shared" si="4"/>
        <v>100</v>
      </c>
    </row>
    <row r="128" ht="14.25" customHeight="1">
      <c r="A128" s="38">
        <v>0.34791666666666665</v>
      </c>
      <c r="B128" s="36">
        <v>158.0</v>
      </c>
      <c r="C128" s="36">
        <v>18.8</v>
      </c>
      <c r="D128" s="36">
        <v>1407.0</v>
      </c>
      <c r="E128" s="36">
        <v>1444.0</v>
      </c>
      <c r="F128" s="36">
        <v>1.03</v>
      </c>
      <c r="G128" s="36">
        <v>30.0</v>
      </c>
      <c r="H128" s="36">
        <v>1.15</v>
      </c>
      <c r="I128" s="36">
        <v>34.9</v>
      </c>
      <c r="J128" s="36">
        <v>82.7</v>
      </c>
      <c r="K128" s="36">
        <v>122.0</v>
      </c>
      <c r="L128" s="36">
        <v>36.2</v>
      </c>
      <c r="M128" s="36">
        <v>104.0</v>
      </c>
      <c r="N128" s="36">
        <v>50.0</v>
      </c>
      <c r="O128" s="36">
        <v>30.0</v>
      </c>
      <c r="P128" s="36">
        <v>47.0</v>
      </c>
      <c r="Q128" s="36">
        <v>0.37</v>
      </c>
      <c r="R128" s="36">
        <v>0.73</v>
      </c>
      <c r="S128" s="36">
        <v>1.25</v>
      </c>
      <c r="T128" s="36">
        <v>1.98</v>
      </c>
      <c r="U128" s="21">
        <f t="shared" si="3"/>
        <v>1980</v>
      </c>
      <c r="V128" s="21">
        <f t="shared" si="4"/>
        <v>400</v>
      </c>
    </row>
    <row r="129" ht="14.25" customHeight="1">
      <c r="A129" s="38">
        <v>0.34930555555555554</v>
      </c>
      <c r="B129" s="36">
        <v>158.0</v>
      </c>
      <c r="C129" s="36">
        <v>18.9</v>
      </c>
      <c r="D129" s="36">
        <v>1416.0</v>
      </c>
      <c r="E129" s="36">
        <v>1468.0</v>
      </c>
      <c r="F129" s="36">
        <v>1.04</v>
      </c>
      <c r="G129" s="36">
        <v>31.0</v>
      </c>
      <c r="H129" s="36">
        <v>1.16</v>
      </c>
      <c r="I129" s="36">
        <v>35.4</v>
      </c>
      <c r="J129" s="36">
        <v>82.4</v>
      </c>
      <c r="K129" s="36">
        <v>122.0</v>
      </c>
      <c r="L129" s="36">
        <v>36.2</v>
      </c>
      <c r="M129" s="36">
        <v>104.0</v>
      </c>
      <c r="N129" s="36">
        <v>50.0</v>
      </c>
      <c r="O129" s="36">
        <v>31.0</v>
      </c>
      <c r="P129" s="36">
        <v>47.0</v>
      </c>
      <c r="Q129" s="36">
        <v>0.37</v>
      </c>
      <c r="R129" s="36">
        <v>0.73</v>
      </c>
      <c r="S129" s="36">
        <v>1.23</v>
      </c>
      <c r="T129" s="36">
        <v>1.96</v>
      </c>
      <c r="U129" s="21">
        <f t="shared" si="3"/>
        <v>1960</v>
      </c>
      <c r="V129" s="21">
        <f t="shared" si="4"/>
        <v>400</v>
      </c>
    </row>
    <row r="130" ht="14.25" customHeight="1">
      <c r="A130" s="38">
        <v>0.3506944444444444</v>
      </c>
      <c r="B130" s="36">
        <v>159.0</v>
      </c>
      <c r="C130" s="36">
        <v>18.9</v>
      </c>
      <c r="D130" s="36">
        <v>1418.0</v>
      </c>
      <c r="E130" s="36">
        <v>1474.0</v>
      </c>
      <c r="F130" s="36">
        <v>1.04</v>
      </c>
      <c r="G130" s="36">
        <v>31.0</v>
      </c>
      <c r="H130" s="36">
        <v>1.15</v>
      </c>
      <c r="I130" s="36">
        <v>35.6</v>
      </c>
      <c r="J130" s="36">
        <v>82.3</v>
      </c>
      <c r="K130" s="36">
        <v>122.0</v>
      </c>
      <c r="L130" s="36">
        <v>36.0</v>
      </c>
      <c r="M130" s="36">
        <v>104.0</v>
      </c>
      <c r="N130" s="36">
        <v>50.0</v>
      </c>
      <c r="O130" s="36">
        <v>31.0</v>
      </c>
      <c r="P130" s="36">
        <v>47.0</v>
      </c>
      <c r="Q130" s="36">
        <v>0.37</v>
      </c>
      <c r="R130" s="36">
        <v>0.72</v>
      </c>
      <c r="S130" s="36">
        <v>1.22</v>
      </c>
      <c r="T130" s="36">
        <v>1.94</v>
      </c>
      <c r="U130" s="21">
        <f t="shared" si="3"/>
        <v>1940</v>
      </c>
      <c r="V130" s="21">
        <f t="shared" si="4"/>
        <v>0</v>
      </c>
    </row>
    <row r="131" ht="14.25" customHeight="1">
      <c r="A131" s="38">
        <v>0.35208333333333336</v>
      </c>
      <c r="B131" s="36">
        <v>160.0</v>
      </c>
      <c r="C131" s="36">
        <v>18.9</v>
      </c>
      <c r="D131" s="36">
        <v>1418.0</v>
      </c>
      <c r="E131" s="36">
        <v>1474.0</v>
      </c>
      <c r="F131" s="36">
        <v>1.04</v>
      </c>
      <c r="G131" s="36">
        <v>31.0</v>
      </c>
      <c r="H131" s="36">
        <v>1.15</v>
      </c>
      <c r="I131" s="36">
        <v>35.6</v>
      </c>
      <c r="J131" s="36">
        <v>82.3</v>
      </c>
      <c r="K131" s="36">
        <v>122.0</v>
      </c>
      <c r="L131" s="36">
        <v>35.9</v>
      </c>
      <c r="M131" s="36">
        <v>104.0</v>
      </c>
      <c r="N131" s="36">
        <v>50.0</v>
      </c>
      <c r="O131" s="36">
        <v>31.0</v>
      </c>
      <c r="P131" s="36">
        <v>47.0</v>
      </c>
      <c r="Q131" s="36">
        <v>0.37</v>
      </c>
      <c r="R131" s="36">
        <v>0.72</v>
      </c>
      <c r="S131" s="36">
        <v>1.22</v>
      </c>
      <c r="T131" s="36">
        <v>1.94</v>
      </c>
      <c r="U131" s="21">
        <f t="shared" si="3"/>
        <v>1940</v>
      </c>
      <c r="V131" s="21">
        <f t="shared" si="4"/>
        <v>900</v>
      </c>
    </row>
    <row r="132" ht="14.25" customHeight="1">
      <c r="A132" s="38">
        <v>0.35347222222222224</v>
      </c>
      <c r="B132" s="36">
        <v>161.0</v>
      </c>
      <c r="C132" s="36">
        <v>19.2</v>
      </c>
      <c r="D132" s="36">
        <v>1443.0</v>
      </c>
      <c r="E132" s="36">
        <v>1501.0</v>
      </c>
      <c r="F132" s="36">
        <v>1.04</v>
      </c>
      <c r="G132" s="36">
        <v>31.0</v>
      </c>
      <c r="H132" s="36">
        <v>1.15</v>
      </c>
      <c r="I132" s="36">
        <v>36.1</v>
      </c>
      <c r="J132" s="36">
        <v>82.1</v>
      </c>
      <c r="K132" s="36">
        <v>122.0</v>
      </c>
      <c r="L132" s="36">
        <v>35.9</v>
      </c>
      <c r="M132" s="36">
        <v>104.0</v>
      </c>
      <c r="N132" s="36">
        <v>50.0</v>
      </c>
      <c r="O132" s="36">
        <v>31.0</v>
      </c>
      <c r="P132" s="36">
        <v>48.0</v>
      </c>
      <c r="Q132" s="36">
        <v>0.37</v>
      </c>
      <c r="R132" s="36">
        <v>0.71</v>
      </c>
      <c r="S132" s="36">
        <v>1.21</v>
      </c>
      <c r="T132" s="36">
        <v>1.91</v>
      </c>
      <c r="U132" s="21">
        <f t="shared" si="3"/>
        <v>1910</v>
      </c>
      <c r="V132" s="21">
        <f t="shared" si="4"/>
        <v>400</v>
      </c>
    </row>
    <row r="133" ht="14.25" customHeight="1">
      <c r="A133" s="38">
        <v>0.3548611111111111</v>
      </c>
      <c r="B133" s="36">
        <v>162.0</v>
      </c>
      <c r="C133" s="36">
        <v>19.4</v>
      </c>
      <c r="D133" s="36">
        <v>1452.0</v>
      </c>
      <c r="E133" s="36">
        <v>1512.0</v>
      </c>
      <c r="F133" s="36">
        <v>1.04</v>
      </c>
      <c r="G133" s="36">
        <v>32.0</v>
      </c>
      <c r="H133" s="36">
        <v>1.15</v>
      </c>
      <c r="I133" s="36">
        <v>36.5</v>
      </c>
      <c r="J133" s="36">
        <v>81.9</v>
      </c>
      <c r="K133" s="36">
        <v>122.0</v>
      </c>
      <c r="L133" s="36">
        <v>35.9</v>
      </c>
      <c r="M133" s="36">
        <v>104.0</v>
      </c>
      <c r="N133" s="36">
        <v>50.0</v>
      </c>
      <c r="O133" s="36">
        <v>32.0</v>
      </c>
      <c r="P133" s="36">
        <v>48.0</v>
      </c>
      <c r="Q133" s="36">
        <v>0.37</v>
      </c>
      <c r="R133" s="36">
        <v>0.7</v>
      </c>
      <c r="S133" s="36">
        <v>1.19</v>
      </c>
      <c r="T133" s="36">
        <v>1.89</v>
      </c>
      <c r="U133" s="21">
        <f t="shared" si="3"/>
        <v>1890</v>
      </c>
      <c r="V133" s="21">
        <f t="shared" si="4"/>
        <v>400</v>
      </c>
    </row>
    <row r="134" ht="14.25" customHeight="1">
      <c r="A134" s="38">
        <v>0.35555555555555557</v>
      </c>
      <c r="B134" s="36">
        <v>163.0</v>
      </c>
      <c r="C134" s="36">
        <v>19.1</v>
      </c>
      <c r="D134" s="36">
        <v>1436.0</v>
      </c>
      <c r="E134" s="36">
        <v>1506.0</v>
      </c>
      <c r="F134" s="36">
        <v>1.05</v>
      </c>
      <c r="G134" s="36">
        <v>32.0</v>
      </c>
      <c r="H134" s="36">
        <v>1.14</v>
      </c>
      <c r="I134" s="36">
        <v>36.7</v>
      </c>
      <c r="J134" s="36">
        <v>81.8</v>
      </c>
      <c r="K134" s="36">
        <v>123.0</v>
      </c>
      <c r="L134" s="36">
        <v>35.8</v>
      </c>
      <c r="M134" s="36">
        <v>105.0</v>
      </c>
      <c r="N134" s="36">
        <v>49.0</v>
      </c>
      <c r="O134" s="36">
        <v>32.0</v>
      </c>
      <c r="P134" s="36">
        <v>48.0</v>
      </c>
      <c r="Q134" s="36">
        <v>0.37</v>
      </c>
      <c r="R134" s="36">
        <v>0.69</v>
      </c>
      <c r="S134" s="36">
        <v>1.18</v>
      </c>
      <c r="T134" s="36">
        <v>1.87</v>
      </c>
      <c r="U134" s="21">
        <f t="shared" si="3"/>
        <v>1870</v>
      </c>
      <c r="V134" s="21">
        <f t="shared" si="4"/>
        <v>0</v>
      </c>
    </row>
    <row r="135" ht="14.25" customHeight="1">
      <c r="A135" s="38">
        <v>0.3576388888888889</v>
      </c>
      <c r="B135" s="36">
        <v>164.0</v>
      </c>
      <c r="C135" s="36">
        <v>18.8</v>
      </c>
      <c r="D135" s="36">
        <v>1406.0</v>
      </c>
      <c r="E135" s="36">
        <v>1480.0</v>
      </c>
      <c r="F135" s="36">
        <v>1.05</v>
      </c>
      <c r="G135" s="36">
        <v>32.0</v>
      </c>
      <c r="H135" s="36">
        <v>1.13</v>
      </c>
      <c r="I135" s="36">
        <v>36.2</v>
      </c>
      <c r="J135" s="36">
        <v>82.1</v>
      </c>
      <c r="K135" s="36">
        <v>123.0</v>
      </c>
      <c r="L135" s="36">
        <v>35.5</v>
      </c>
      <c r="M135" s="36">
        <v>105.0</v>
      </c>
      <c r="N135" s="36">
        <v>49.0</v>
      </c>
      <c r="O135" s="36">
        <v>32.0</v>
      </c>
      <c r="P135" s="36">
        <v>47.0</v>
      </c>
      <c r="Q135" s="36">
        <v>0.36</v>
      </c>
      <c r="R135" s="36">
        <v>0.68</v>
      </c>
      <c r="S135" s="36">
        <v>1.19</v>
      </c>
      <c r="T135" s="36">
        <v>1.87</v>
      </c>
      <c r="U135" s="21">
        <f t="shared" si="3"/>
        <v>1870</v>
      </c>
      <c r="V135" s="21">
        <f t="shared" si="4"/>
        <v>1600</v>
      </c>
    </row>
    <row r="136" ht="14.25" customHeight="1">
      <c r="A136" s="38">
        <v>0.3590277777777778</v>
      </c>
      <c r="B136" s="36">
        <v>165.0</v>
      </c>
      <c r="C136" s="36">
        <v>18.5</v>
      </c>
      <c r="D136" s="36">
        <v>1388.0</v>
      </c>
      <c r="E136" s="36">
        <v>1465.0</v>
      </c>
      <c r="F136" s="36">
        <v>1.06</v>
      </c>
      <c r="G136" s="36">
        <v>31.0</v>
      </c>
      <c r="H136" s="36">
        <v>1.13</v>
      </c>
      <c r="I136" s="36">
        <v>35.7</v>
      </c>
      <c r="J136" s="36">
        <v>82.3</v>
      </c>
      <c r="K136" s="36">
        <v>124.0</v>
      </c>
      <c r="L136" s="36">
        <v>35.2</v>
      </c>
      <c r="M136" s="36">
        <v>105.0</v>
      </c>
      <c r="N136" s="36">
        <v>49.0</v>
      </c>
      <c r="O136" s="36">
        <v>31.0</v>
      </c>
      <c r="P136" s="36">
        <v>46.0</v>
      </c>
      <c r="Q136" s="36">
        <v>0.36</v>
      </c>
      <c r="R136" s="36">
        <v>0.68</v>
      </c>
      <c r="S136" s="36">
        <v>1.23</v>
      </c>
      <c r="T136" s="36">
        <v>1.91</v>
      </c>
      <c r="U136" s="21">
        <f t="shared" si="3"/>
        <v>1910</v>
      </c>
      <c r="V136" s="21">
        <f t="shared" si="4"/>
        <v>0</v>
      </c>
    </row>
    <row r="137" ht="14.25" customHeight="1">
      <c r="A137" s="38">
        <v>0.3597222222222222</v>
      </c>
      <c r="B137" s="36">
        <v>166.0</v>
      </c>
      <c r="C137" s="36">
        <v>18.8</v>
      </c>
      <c r="D137" s="36">
        <v>1409.0</v>
      </c>
      <c r="E137" s="36">
        <v>1483.0</v>
      </c>
      <c r="F137" s="36">
        <v>1.05</v>
      </c>
      <c r="G137" s="36">
        <v>31.0</v>
      </c>
      <c r="H137" s="36">
        <v>1.14</v>
      </c>
      <c r="I137" s="36">
        <v>35.9</v>
      </c>
      <c r="J137" s="36">
        <v>82.2</v>
      </c>
      <c r="K137" s="36">
        <v>124.0</v>
      </c>
      <c r="L137" s="36">
        <v>35.0</v>
      </c>
      <c r="M137" s="36">
        <v>105.0</v>
      </c>
      <c r="N137" s="36">
        <v>50.0</v>
      </c>
      <c r="O137" s="36">
        <v>31.0</v>
      </c>
      <c r="P137" s="36">
        <v>47.0</v>
      </c>
      <c r="Q137" s="36">
        <v>0.36</v>
      </c>
      <c r="R137" s="36">
        <v>0.68</v>
      </c>
      <c r="S137" s="36">
        <v>1.23</v>
      </c>
      <c r="T137" s="36">
        <v>1.91</v>
      </c>
      <c r="U137" s="21">
        <f t="shared" si="3"/>
        <v>1910</v>
      </c>
      <c r="V137" s="21">
        <f t="shared" si="4"/>
        <v>100</v>
      </c>
    </row>
    <row r="138" ht="14.25" customHeight="1">
      <c r="A138" s="38">
        <v>0.3611111111111111</v>
      </c>
      <c r="B138" s="36">
        <v>166.0</v>
      </c>
      <c r="C138" s="36">
        <v>18.8</v>
      </c>
      <c r="D138" s="36">
        <v>1410.0</v>
      </c>
      <c r="E138" s="36">
        <v>1483.0</v>
      </c>
      <c r="F138" s="36">
        <v>1.05</v>
      </c>
      <c r="G138" s="36">
        <v>31.0</v>
      </c>
      <c r="H138" s="36">
        <v>1.14</v>
      </c>
      <c r="I138" s="36">
        <v>35.6</v>
      </c>
      <c r="J138" s="36">
        <v>82.3</v>
      </c>
      <c r="K138" s="36">
        <v>125.0</v>
      </c>
      <c r="L138" s="36">
        <v>34.6</v>
      </c>
      <c r="M138" s="36">
        <v>105.0</v>
      </c>
      <c r="N138" s="36">
        <v>50.0</v>
      </c>
      <c r="O138" s="36">
        <v>31.0</v>
      </c>
      <c r="P138" s="36">
        <v>47.0</v>
      </c>
      <c r="Q138" s="36">
        <v>0.36</v>
      </c>
      <c r="R138" s="36">
        <v>0.7</v>
      </c>
      <c r="S138" s="36">
        <v>1.22</v>
      </c>
      <c r="T138" s="36">
        <v>1.92</v>
      </c>
      <c r="U138" s="21">
        <f t="shared" si="3"/>
        <v>1920</v>
      </c>
      <c r="V138" s="21">
        <f t="shared" si="4"/>
        <v>0</v>
      </c>
    </row>
    <row r="139" ht="14.25" customHeight="1">
      <c r="A139" s="38">
        <v>0.3625</v>
      </c>
      <c r="B139" s="36">
        <v>168.0</v>
      </c>
      <c r="C139" s="36">
        <v>18.8</v>
      </c>
      <c r="D139" s="36">
        <v>1410.0</v>
      </c>
      <c r="E139" s="36">
        <v>1483.0</v>
      </c>
      <c r="F139" s="36">
        <v>1.05</v>
      </c>
      <c r="G139" s="36">
        <v>31.0</v>
      </c>
      <c r="H139" s="36">
        <v>1.14</v>
      </c>
      <c r="I139" s="36">
        <v>35.6</v>
      </c>
      <c r="J139" s="36">
        <v>82.3</v>
      </c>
      <c r="K139" s="36">
        <v>125.0</v>
      </c>
      <c r="L139" s="36">
        <v>34.4</v>
      </c>
      <c r="M139" s="36">
        <v>105.0</v>
      </c>
      <c r="N139" s="36">
        <v>50.0</v>
      </c>
      <c r="O139" s="36">
        <v>31.0</v>
      </c>
      <c r="P139" s="36">
        <v>47.0</v>
      </c>
      <c r="Q139" s="36">
        <v>0.36</v>
      </c>
      <c r="R139" s="36">
        <v>0.7</v>
      </c>
      <c r="S139" s="36">
        <v>1.22</v>
      </c>
      <c r="T139" s="36">
        <v>1.92</v>
      </c>
      <c r="U139" s="21">
        <f t="shared" si="3"/>
        <v>1920</v>
      </c>
      <c r="V139" s="21">
        <f t="shared" si="4"/>
        <v>900</v>
      </c>
    </row>
    <row r="140" ht="14.25" customHeight="1">
      <c r="A140" s="38">
        <v>0.3638888888888889</v>
      </c>
      <c r="B140" s="36">
        <v>169.0</v>
      </c>
      <c r="C140" s="36">
        <v>18.8</v>
      </c>
      <c r="D140" s="36">
        <v>1407.0</v>
      </c>
      <c r="E140" s="36">
        <v>1474.0</v>
      </c>
      <c r="F140" s="36">
        <v>1.05</v>
      </c>
      <c r="G140" s="36">
        <v>31.0</v>
      </c>
      <c r="H140" s="36">
        <v>1.16</v>
      </c>
      <c r="I140" s="36">
        <v>35.5</v>
      </c>
      <c r="J140" s="36">
        <v>82.4</v>
      </c>
      <c r="K140" s="36">
        <v>126.0</v>
      </c>
      <c r="L140" s="36">
        <v>34.0</v>
      </c>
      <c r="M140" s="36">
        <v>104.0</v>
      </c>
      <c r="N140" s="36">
        <v>50.0</v>
      </c>
      <c r="O140" s="36">
        <v>31.0</v>
      </c>
      <c r="P140" s="36">
        <v>47.0</v>
      </c>
      <c r="Q140" s="36">
        <v>0.36</v>
      </c>
      <c r="R140" s="36">
        <v>0.71</v>
      </c>
      <c r="S140" s="36">
        <v>1.25</v>
      </c>
      <c r="T140" s="36">
        <v>1.95</v>
      </c>
      <c r="U140" s="21">
        <f t="shared" si="3"/>
        <v>1950</v>
      </c>
      <c r="V140" s="21">
        <f t="shared" si="4"/>
        <v>100</v>
      </c>
    </row>
    <row r="141" ht="14.25" customHeight="1">
      <c r="A141" s="38">
        <v>0.36527777777777776</v>
      </c>
      <c r="B141" s="36">
        <v>169.0</v>
      </c>
      <c r="C141" s="36">
        <v>19.1</v>
      </c>
      <c r="D141" s="36">
        <v>1435.0</v>
      </c>
      <c r="E141" s="36">
        <v>1501.0</v>
      </c>
      <c r="F141" s="36">
        <v>1.05</v>
      </c>
      <c r="G141" s="36">
        <v>31.0</v>
      </c>
      <c r="H141" s="36">
        <v>1.17</v>
      </c>
      <c r="I141" s="36">
        <v>35.9</v>
      </c>
      <c r="J141" s="36">
        <v>82.2</v>
      </c>
      <c r="K141" s="36">
        <v>126.0</v>
      </c>
      <c r="L141" s="36">
        <v>34.0</v>
      </c>
      <c r="M141" s="36">
        <v>104.0</v>
      </c>
      <c r="N141" s="36">
        <v>50.0</v>
      </c>
      <c r="O141" s="36">
        <v>31.0</v>
      </c>
      <c r="P141" s="36">
        <v>48.0</v>
      </c>
      <c r="Q141" s="36">
        <v>0.36</v>
      </c>
      <c r="R141" s="36">
        <v>0.71</v>
      </c>
      <c r="S141" s="36">
        <v>1.25</v>
      </c>
      <c r="T141" s="36">
        <v>1.96</v>
      </c>
      <c r="U141" s="21">
        <f t="shared" si="3"/>
        <v>1960</v>
      </c>
      <c r="V141" s="21">
        <f t="shared" si="4"/>
        <v>3600</v>
      </c>
    </row>
    <row r="142" ht="14.25" customHeight="1">
      <c r="A142" s="38">
        <v>0.36666666666666664</v>
      </c>
      <c r="B142" s="36">
        <v>170.0</v>
      </c>
      <c r="C142" s="36">
        <v>20.1</v>
      </c>
      <c r="D142" s="36">
        <v>1504.0</v>
      </c>
      <c r="E142" s="36">
        <v>1560.0</v>
      </c>
      <c r="F142" s="36">
        <v>1.04</v>
      </c>
      <c r="G142" s="36">
        <v>32.0</v>
      </c>
      <c r="H142" s="36">
        <v>1.19</v>
      </c>
      <c r="I142" s="36">
        <v>37.4</v>
      </c>
      <c r="J142" s="36">
        <v>81.5</v>
      </c>
      <c r="K142" s="36">
        <v>127.0</v>
      </c>
      <c r="L142" s="36">
        <v>33.3</v>
      </c>
      <c r="M142" s="36">
        <v>104.0</v>
      </c>
      <c r="N142" s="36">
        <v>50.0</v>
      </c>
      <c r="O142" s="36">
        <v>32.0</v>
      </c>
      <c r="P142" s="36">
        <v>50.0</v>
      </c>
      <c r="Q142" s="36">
        <v>0.38</v>
      </c>
      <c r="R142" s="36">
        <v>0.72</v>
      </c>
      <c r="S142" s="36">
        <v>1.19</v>
      </c>
      <c r="T142" s="36">
        <v>1.9</v>
      </c>
      <c r="U142" s="21">
        <f t="shared" si="3"/>
        <v>1900</v>
      </c>
      <c r="V142" s="21">
        <f t="shared" si="4"/>
        <v>90000</v>
      </c>
    </row>
    <row r="143" ht="14.25" customHeight="1">
      <c r="A143" s="38">
        <v>0.36875</v>
      </c>
      <c r="B143" s="36">
        <v>172.0</v>
      </c>
      <c r="C143" s="36">
        <v>19.7</v>
      </c>
      <c r="D143" s="36">
        <v>1477.0</v>
      </c>
      <c r="E143" s="36">
        <v>1570.0</v>
      </c>
      <c r="F143" s="36">
        <v>1.06</v>
      </c>
      <c r="G143" s="36">
        <v>27.0</v>
      </c>
      <c r="H143" s="36">
        <v>1.39</v>
      </c>
      <c r="I143" s="36">
        <v>37.8</v>
      </c>
      <c r="J143" s="36">
        <v>81.2</v>
      </c>
      <c r="K143" s="36">
        <v>129.0</v>
      </c>
      <c r="L143" s="36">
        <v>32.6</v>
      </c>
      <c r="M143" s="36">
        <v>105.0</v>
      </c>
      <c r="N143" s="36">
        <v>50.0</v>
      </c>
      <c r="O143" s="36">
        <v>27.0</v>
      </c>
      <c r="P143" s="36">
        <v>49.0</v>
      </c>
      <c r="Q143" s="36">
        <v>0.39</v>
      </c>
      <c r="R143" s="36">
        <v>0.86</v>
      </c>
      <c r="S143" s="36">
        <v>1.34</v>
      </c>
      <c r="T143" s="36">
        <v>2.2</v>
      </c>
      <c r="U143" s="21">
        <f t="shared" si="3"/>
        <v>2200</v>
      </c>
      <c r="V143" s="21">
        <f t="shared" si="4"/>
        <v>900</v>
      </c>
    </row>
    <row r="144" ht="14.25" customHeight="1">
      <c r="A144" s="38">
        <v>0.3701388888888889</v>
      </c>
      <c r="B144" s="36">
        <v>173.0</v>
      </c>
      <c r="C144" s="36">
        <v>20.1</v>
      </c>
      <c r="D144" s="36">
        <v>1506.0</v>
      </c>
      <c r="E144" s="36">
        <v>1602.0</v>
      </c>
      <c r="F144" s="36">
        <v>1.06</v>
      </c>
      <c r="G144" s="36">
        <v>28.0</v>
      </c>
      <c r="H144" s="36">
        <v>1.41</v>
      </c>
      <c r="I144" s="36">
        <v>39.0</v>
      </c>
      <c r="J144" s="36">
        <v>80.6</v>
      </c>
      <c r="K144" s="36">
        <v>130.0</v>
      </c>
      <c r="L144" s="36">
        <v>32.0</v>
      </c>
      <c r="M144" s="36">
        <v>105.0</v>
      </c>
      <c r="N144" s="36">
        <v>50.0</v>
      </c>
      <c r="O144" s="36">
        <v>28.0</v>
      </c>
      <c r="P144" s="36">
        <v>50.0</v>
      </c>
      <c r="Q144" s="36">
        <v>0.39</v>
      </c>
      <c r="R144" s="36">
        <v>0.85</v>
      </c>
      <c r="S144" s="36">
        <v>1.32</v>
      </c>
      <c r="T144" s="36">
        <v>2.17</v>
      </c>
      <c r="U144" s="21">
        <f t="shared" si="3"/>
        <v>2170</v>
      </c>
      <c r="V144" s="21">
        <f t="shared" si="4"/>
        <v>400</v>
      </c>
    </row>
    <row r="145" ht="14.25" customHeight="1">
      <c r="A145" s="38">
        <v>0.3715277777777778</v>
      </c>
      <c r="B145" s="36">
        <v>174.0</v>
      </c>
      <c r="C145" s="36">
        <v>20.2</v>
      </c>
      <c r="D145" s="36">
        <v>1516.0</v>
      </c>
      <c r="E145" s="36">
        <v>1627.0</v>
      </c>
      <c r="F145" s="36">
        <v>1.07</v>
      </c>
      <c r="G145" s="36">
        <v>27.0</v>
      </c>
      <c r="H145" s="36">
        <v>1.45</v>
      </c>
      <c r="I145" s="36">
        <v>39.6</v>
      </c>
      <c r="J145" s="36">
        <v>80.3</v>
      </c>
      <c r="K145" s="36">
        <v>131.0</v>
      </c>
      <c r="L145" s="36">
        <v>31.6</v>
      </c>
      <c r="M145" s="36">
        <v>105.0</v>
      </c>
      <c r="N145" s="36">
        <v>50.0</v>
      </c>
      <c r="O145" s="36">
        <v>27.0</v>
      </c>
      <c r="P145" s="36">
        <v>51.0</v>
      </c>
      <c r="Q145" s="36">
        <v>0.38</v>
      </c>
      <c r="R145" s="36">
        <v>0.83</v>
      </c>
      <c r="S145" s="36">
        <v>1.36</v>
      </c>
      <c r="T145" s="36">
        <v>2.19</v>
      </c>
      <c r="U145" s="21">
        <f t="shared" si="3"/>
        <v>2190</v>
      </c>
      <c r="V145" s="21">
        <f t="shared" si="4"/>
        <v>0</v>
      </c>
    </row>
    <row r="146" ht="14.25" customHeight="1">
      <c r="A146" s="38">
        <v>0.3729166666666667</v>
      </c>
      <c r="B146" s="36">
        <v>175.0</v>
      </c>
      <c r="C146" s="36">
        <v>20.5</v>
      </c>
      <c r="D146" s="36">
        <v>1536.0</v>
      </c>
      <c r="E146" s="36">
        <v>1661.0</v>
      </c>
      <c r="F146" s="36">
        <v>1.08</v>
      </c>
      <c r="G146" s="36">
        <v>27.0</v>
      </c>
      <c r="H146" s="36">
        <v>1.48</v>
      </c>
      <c r="I146" s="36">
        <v>40.4</v>
      </c>
      <c r="J146" s="36">
        <v>80.0</v>
      </c>
      <c r="K146" s="36">
        <v>132.0</v>
      </c>
      <c r="L146" s="36">
        <v>30.7</v>
      </c>
      <c r="M146" s="36">
        <v>106.0</v>
      </c>
      <c r="N146" s="36">
        <v>50.0</v>
      </c>
      <c r="O146" s="36">
        <v>27.0</v>
      </c>
      <c r="P146" s="36">
        <v>51.0</v>
      </c>
      <c r="Q146" s="36">
        <v>0.38</v>
      </c>
      <c r="R146" s="36">
        <v>0.83</v>
      </c>
      <c r="S146" s="36">
        <v>1.37</v>
      </c>
      <c r="T146" s="36">
        <v>2.19</v>
      </c>
      <c r="U146" s="21">
        <f t="shared" si="3"/>
        <v>2190</v>
      </c>
      <c r="V146" s="21">
        <f t="shared" si="4"/>
        <v>0</v>
      </c>
    </row>
    <row r="147" ht="14.25" customHeight="1">
      <c r="A147" s="38">
        <v>0.375</v>
      </c>
      <c r="B147" s="36">
        <v>177.0</v>
      </c>
      <c r="C147" s="36">
        <v>20.5</v>
      </c>
      <c r="D147" s="36">
        <v>1537.0</v>
      </c>
      <c r="E147" s="36">
        <v>1661.0</v>
      </c>
      <c r="F147" s="36">
        <v>1.08</v>
      </c>
      <c r="G147" s="36">
        <v>27.0</v>
      </c>
      <c r="H147" s="36">
        <v>1.48</v>
      </c>
      <c r="I147" s="36">
        <v>40.4</v>
      </c>
      <c r="J147" s="36">
        <v>80.0</v>
      </c>
      <c r="K147" s="36">
        <v>132.0</v>
      </c>
      <c r="L147" s="36">
        <v>30.7</v>
      </c>
      <c r="M147" s="36">
        <v>106.0</v>
      </c>
      <c r="N147" s="36">
        <v>50.0</v>
      </c>
      <c r="O147" s="36">
        <v>27.0</v>
      </c>
      <c r="P147" s="36">
        <v>51.0</v>
      </c>
      <c r="Q147" s="36">
        <v>0.38</v>
      </c>
      <c r="R147" s="36">
        <v>0.83</v>
      </c>
      <c r="S147" s="36">
        <v>1.37</v>
      </c>
      <c r="T147" s="36">
        <v>2.19</v>
      </c>
      <c r="U147" s="21">
        <f t="shared" si="3"/>
        <v>2190</v>
      </c>
      <c r="V147" s="21">
        <f t="shared" si="4"/>
        <v>3600</v>
      </c>
    </row>
    <row r="148" ht="14.25" customHeight="1">
      <c r="A148" s="38">
        <v>0.3763888888888889</v>
      </c>
      <c r="B148" s="36">
        <v>178.0</v>
      </c>
      <c r="C148" s="36">
        <v>20.6</v>
      </c>
      <c r="D148" s="36">
        <v>1541.0</v>
      </c>
      <c r="E148" s="36">
        <v>1687.0</v>
      </c>
      <c r="F148" s="36">
        <v>1.09</v>
      </c>
      <c r="G148" s="36">
        <v>27.0</v>
      </c>
      <c r="H148" s="36">
        <v>1.52</v>
      </c>
      <c r="I148" s="36">
        <v>40.6</v>
      </c>
      <c r="J148" s="36">
        <v>79.8</v>
      </c>
      <c r="K148" s="36">
        <v>133.0</v>
      </c>
      <c r="L148" s="36">
        <v>30.5</v>
      </c>
      <c r="M148" s="36">
        <v>106.0</v>
      </c>
      <c r="N148" s="36">
        <v>50.0</v>
      </c>
      <c r="O148" s="36">
        <v>27.0</v>
      </c>
      <c r="P148" s="36">
        <v>51.0</v>
      </c>
      <c r="Q148" s="36">
        <v>0.37</v>
      </c>
      <c r="R148" s="36">
        <v>0.82</v>
      </c>
      <c r="S148" s="36">
        <v>1.42</v>
      </c>
      <c r="T148" s="36">
        <v>2.25</v>
      </c>
      <c r="U148" s="21">
        <f t="shared" si="3"/>
        <v>2250</v>
      </c>
      <c r="V148" s="21">
        <f t="shared" si="4"/>
        <v>16900</v>
      </c>
    </row>
    <row r="149" ht="14.25" customHeight="1">
      <c r="A149" s="38">
        <v>0.37777777777777777</v>
      </c>
      <c r="B149" s="36">
        <v>178.0</v>
      </c>
      <c r="C149" s="36">
        <v>21.2</v>
      </c>
      <c r="D149" s="36">
        <v>1592.0</v>
      </c>
      <c r="E149" s="36">
        <v>1742.0</v>
      </c>
      <c r="F149" s="36">
        <v>1.09</v>
      </c>
      <c r="G149" s="36">
        <v>25.0</v>
      </c>
      <c r="H149" s="36">
        <v>1.64</v>
      </c>
      <c r="I149" s="36">
        <v>41.4</v>
      </c>
      <c r="J149" s="36">
        <v>79.4</v>
      </c>
      <c r="K149" s="36">
        <v>133.0</v>
      </c>
      <c r="L149" s="36">
        <v>30.2</v>
      </c>
      <c r="M149" s="36">
        <v>106.0</v>
      </c>
      <c r="N149" s="36">
        <v>50.0</v>
      </c>
      <c r="O149" s="36">
        <v>25.0</v>
      </c>
      <c r="P149" s="36">
        <v>53.0</v>
      </c>
      <c r="Q149" s="36">
        <v>0.37</v>
      </c>
      <c r="R149" s="36">
        <v>0.88</v>
      </c>
      <c r="S149" s="36">
        <v>1.5</v>
      </c>
      <c r="T149" s="36">
        <v>2.38</v>
      </c>
      <c r="U149" s="21">
        <f t="shared" si="3"/>
        <v>2380</v>
      </c>
      <c r="V149" s="21">
        <f t="shared" si="4"/>
        <v>108900</v>
      </c>
    </row>
    <row r="150" ht="14.25" customHeight="1">
      <c r="A150" s="38">
        <v>0.37916666666666665</v>
      </c>
      <c r="B150" s="36">
        <v>180.0</v>
      </c>
      <c r="C150" s="36">
        <v>22.5</v>
      </c>
      <c r="D150" s="36">
        <v>1684.0</v>
      </c>
      <c r="E150" s="36">
        <v>1814.0</v>
      </c>
      <c r="F150" s="36">
        <v>1.08</v>
      </c>
      <c r="G150" s="36">
        <v>29.0</v>
      </c>
      <c r="H150" s="36">
        <v>1.46</v>
      </c>
      <c r="I150" s="36">
        <v>42.8</v>
      </c>
      <c r="J150" s="36">
        <v>78.8</v>
      </c>
      <c r="K150" s="36">
        <v>134.0</v>
      </c>
      <c r="L150" s="36">
        <v>29.9</v>
      </c>
      <c r="M150" s="36">
        <v>105.0</v>
      </c>
      <c r="N150" s="36">
        <v>50.0</v>
      </c>
      <c r="O150" s="36">
        <v>29.0</v>
      </c>
      <c r="P150" s="36">
        <v>56.0</v>
      </c>
      <c r="Q150" s="36">
        <v>0.36</v>
      </c>
      <c r="R150" s="36">
        <v>0.73</v>
      </c>
      <c r="S150" s="36">
        <v>1.32</v>
      </c>
      <c r="T150" s="36">
        <v>2.05</v>
      </c>
      <c r="U150" s="21">
        <f t="shared" si="3"/>
        <v>2050</v>
      </c>
      <c r="V150" s="21">
        <f t="shared" si="4"/>
        <v>2500</v>
      </c>
    </row>
    <row r="151" ht="14.25" customHeight="1">
      <c r="A151" s="38">
        <v>0.38055555555555554</v>
      </c>
      <c r="B151" s="36">
        <v>181.0</v>
      </c>
      <c r="C151" s="36">
        <v>23.1</v>
      </c>
      <c r="D151" s="36">
        <v>1736.0</v>
      </c>
      <c r="E151" s="36">
        <v>1839.0</v>
      </c>
      <c r="F151" s="36">
        <v>1.06</v>
      </c>
      <c r="G151" s="36">
        <v>30.0</v>
      </c>
      <c r="H151" s="36">
        <v>1.45</v>
      </c>
      <c r="I151" s="36">
        <v>43.5</v>
      </c>
      <c r="J151" s="36">
        <v>78.4</v>
      </c>
      <c r="K151" s="36">
        <v>134.0</v>
      </c>
      <c r="L151" s="36">
        <v>29.7</v>
      </c>
      <c r="M151" s="36">
        <v>104.0</v>
      </c>
      <c r="N151" s="36">
        <v>51.0</v>
      </c>
      <c r="O151" s="36">
        <v>30.0</v>
      </c>
      <c r="P151" s="36">
        <v>58.0</v>
      </c>
      <c r="Q151" s="36">
        <v>0.36</v>
      </c>
      <c r="R151" s="36">
        <v>0.72</v>
      </c>
      <c r="S151" s="36">
        <v>1.28</v>
      </c>
      <c r="T151" s="36">
        <v>2.0</v>
      </c>
      <c r="U151" s="21">
        <f t="shared" si="3"/>
        <v>2000</v>
      </c>
      <c r="V151" s="21">
        <f t="shared" si="4"/>
        <v>3600</v>
      </c>
    </row>
    <row r="152" ht="14.25" customHeight="1">
      <c r="A152" s="38">
        <v>0.3819444444444444</v>
      </c>
      <c r="B152" s="36">
        <v>182.0</v>
      </c>
      <c r="C152" s="36">
        <v>23.9</v>
      </c>
      <c r="D152" s="36">
        <v>1790.0</v>
      </c>
      <c r="E152" s="36">
        <v>1892.0</v>
      </c>
      <c r="F152" s="36">
        <v>1.06</v>
      </c>
      <c r="G152" s="36">
        <v>31.0</v>
      </c>
      <c r="H152" s="36">
        <v>1.46</v>
      </c>
      <c r="I152" s="36">
        <v>45.1</v>
      </c>
      <c r="J152" s="36">
        <v>77.6</v>
      </c>
      <c r="K152" s="36">
        <v>135.0</v>
      </c>
      <c r="L152" s="36">
        <v>29.6</v>
      </c>
      <c r="M152" s="36">
        <v>104.0</v>
      </c>
      <c r="N152" s="36">
        <v>50.0</v>
      </c>
      <c r="O152" s="36">
        <v>31.0</v>
      </c>
      <c r="P152" s="36">
        <v>60.0</v>
      </c>
      <c r="Q152" s="36">
        <v>0.37</v>
      </c>
      <c r="R152" s="36">
        <v>0.71</v>
      </c>
      <c r="S152" s="36">
        <v>1.23</v>
      </c>
      <c r="T152" s="36">
        <v>1.94</v>
      </c>
      <c r="U152" s="21">
        <f t="shared" si="3"/>
        <v>1940</v>
      </c>
      <c r="V152" s="21">
        <f t="shared" si="4"/>
        <v>0</v>
      </c>
    </row>
    <row r="153" ht="14.25" customHeight="1">
      <c r="A153" s="38">
        <v>0.38263888888888886</v>
      </c>
      <c r="B153" s="36">
        <v>182.0</v>
      </c>
      <c r="C153" s="36">
        <v>23.9</v>
      </c>
      <c r="D153" s="36">
        <v>1794.0</v>
      </c>
      <c r="E153" s="36">
        <v>1902.0</v>
      </c>
      <c r="F153" s="36">
        <v>1.06</v>
      </c>
      <c r="G153" s="36">
        <v>31.0</v>
      </c>
      <c r="H153" s="36">
        <v>1.48</v>
      </c>
      <c r="I153" s="36">
        <v>45.9</v>
      </c>
      <c r="J153" s="36">
        <v>77.2</v>
      </c>
      <c r="K153" s="36">
        <v>135.0</v>
      </c>
      <c r="L153" s="36">
        <v>29.6</v>
      </c>
      <c r="M153" s="36">
        <v>105.0</v>
      </c>
      <c r="N153" s="36">
        <v>50.0</v>
      </c>
      <c r="O153" s="36">
        <v>31.0</v>
      </c>
      <c r="P153" s="36">
        <v>60.0</v>
      </c>
      <c r="Q153" s="36">
        <v>0.37</v>
      </c>
      <c r="R153" s="36">
        <v>0.71</v>
      </c>
      <c r="S153" s="36">
        <v>1.22</v>
      </c>
      <c r="T153" s="36">
        <v>1.94</v>
      </c>
      <c r="U153" s="21">
        <f t="shared" si="3"/>
        <v>1940</v>
      </c>
      <c r="V153" s="21">
        <f t="shared" si="4"/>
        <v>900</v>
      </c>
    </row>
    <row r="154" ht="14.25" customHeight="1">
      <c r="A154" s="38">
        <v>0.3840277777777778</v>
      </c>
      <c r="B154" s="36">
        <v>183.0</v>
      </c>
      <c r="C154" s="36">
        <v>23.8</v>
      </c>
      <c r="D154" s="36">
        <v>1785.0</v>
      </c>
      <c r="E154" s="36">
        <v>1918.0</v>
      </c>
      <c r="F154" s="36">
        <v>1.07</v>
      </c>
      <c r="G154" s="36">
        <v>30.0</v>
      </c>
      <c r="H154" s="36">
        <v>1.53</v>
      </c>
      <c r="I154" s="36">
        <v>46.4</v>
      </c>
      <c r="J154" s="36">
        <v>77.0</v>
      </c>
      <c r="K154" s="36">
        <v>135.0</v>
      </c>
      <c r="L154" s="36">
        <v>29.6</v>
      </c>
      <c r="M154" s="36">
        <v>105.0</v>
      </c>
      <c r="N154" s="36">
        <v>50.0</v>
      </c>
      <c r="O154" s="36">
        <v>30.0</v>
      </c>
      <c r="P154" s="36">
        <v>60.0</v>
      </c>
      <c r="Q154" s="36">
        <v>0.36</v>
      </c>
      <c r="R154" s="36">
        <v>0.72</v>
      </c>
      <c r="S154" s="36">
        <v>1.26</v>
      </c>
      <c r="T154" s="36">
        <v>1.97</v>
      </c>
      <c r="U154" s="21">
        <f t="shared" si="3"/>
        <v>1970</v>
      </c>
      <c r="V154" s="21">
        <f t="shared" si="4"/>
        <v>900</v>
      </c>
    </row>
    <row r="155" ht="14.25" customHeight="1">
      <c r="A155" s="38">
        <v>0.3854166666666667</v>
      </c>
      <c r="B155" s="36">
        <v>185.0</v>
      </c>
      <c r="C155" s="36">
        <v>23.1</v>
      </c>
      <c r="D155" s="36">
        <v>1732.0</v>
      </c>
      <c r="E155" s="36">
        <v>1891.0</v>
      </c>
      <c r="F155" s="36">
        <v>1.09</v>
      </c>
      <c r="G155" s="36">
        <v>30.0</v>
      </c>
      <c r="H155" s="36">
        <v>1.53</v>
      </c>
      <c r="I155" s="36">
        <v>46.0</v>
      </c>
      <c r="J155" s="36">
        <v>77.2</v>
      </c>
      <c r="K155" s="36">
        <v>135.0</v>
      </c>
      <c r="L155" s="36">
        <v>29.6</v>
      </c>
      <c r="M155" s="36">
        <v>106.0</v>
      </c>
      <c r="N155" s="36">
        <v>50.0</v>
      </c>
      <c r="O155" s="36">
        <v>30.0</v>
      </c>
      <c r="P155" s="36">
        <v>58.0</v>
      </c>
      <c r="Q155" s="36">
        <v>0.37</v>
      </c>
      <c r="R155" s="36">
        <v>0.74</v>
      </c>
      <c r="S155" s="36">
        <v>1.26</v>
      </c>
      <c r="T155" s="36">
        <v>2.0</v>
      </c>
      <c r="U155" s="21">
        <f t="shared" si="3"/>
        <v>2000</v>
      </c>
      <c r="V155" s="21">
        <f t="shared" si="4"/>
        <v>22500</v>
      </c>
    </row>
    <row r="156" ht="14.25" customHeight="1">
      <c r="A156" s="38">
        <v>0.38680555555555557</v>
      </c>
      <c r="B156" s="36">
        <v>185.0</v>
      </c>
      <c r="C156" s="36">
        <v>22.9</v>
      </c>
      <c r="D156" s="36">
        <v>1718.0</v>
      </c>
      <c r="E156" s="36">
        <v>1900.0</v>
      </c>
      <c r="F156" s="36">
        <v>1.11</v>
      </c>
      <c r="G156" s="36">
        <v>32.0</v>
      </c>
      <c r="H156" s="36">
        <v>1.43</v>
      </c>
      <c r="I156" s="36">
        <v>46.6</v>
      </c>
      <c r="J156" s="36">
        <v>76.9</v>
      </c>
      <c r="K156" s="36">
        <v>135.0</v>
      </c>
      <c r="L156" s="36">
        <v>29.4</v>
      </c>
      <c r="M156" s="36">
        <v>106.0</v>
      </c>
      <c r="N156" s="36">
        <v>50.0</v>
      </c>
      <c r="O156" s="36">
        <v>32.0</v>
      </c>
      <c r="P156" s="36">
        <v>57.0</v>
      </c>
      <c r="Q156" s="36">
        <v>0.36</v>
      </c>
      <c r="R156" s="36">
        <v>0.67</v>
      </c>
      <c r="S156" s="36">
        <v>1.18</v>
      </c>
      <c r="T156" s="36">
        <v>1.85</v>
      </c>
      <c r="U156" s="21">
        <f t="shared" si="3"/>
        <v>1850</v>
      </c>
      <c r="V156" s="21">
        <f t="shared" si="4"/>
        <v>1600</v>
      </c>
    </row>
    <row r="157" ht="14.25" customHeight="1">
      <c r="A157" s="38">
        <v>0.38819444444444445</v>
      </c>
      <c r="B157" s="36">
        <v>186.0</v>
      </c>
      <c r="C157" s="36">
        <v>23.2</v>
      </c>
      <c r="D157" s="36">
        <v>1738.0</v>
      </c>
      <c r="E157" s="36">
        <v>1921.0</v>
      </c>
      <c r="F157" s="36">
        <v>1.11</v>
      </c>
      <c r="G157" s="36">
        <v>33.0</v>
      </c>
      <c r="H157" s="36">
        <v>1.42</v>
      </c>
      <c r="I157" s="36">
        <v>47.1</v>
      </c>
      <c r="J157" s="36">
        <v>76.6</v>
      </c>
      <c r="K157" s="36">
        <v>135.0</v>
      </c>
      <c r="L157" s="36">
        <v>29.6</v>
      </c>
      <c r="M157" s="36">
        <v>106.0</v>
      </c>
      <c r="N157" s="36">
        <v>49.0</v>
      </c>
      <c r="O157" s="36">
        <v>33.0</v>
      </c>
      <c r="P157" s="36">
        <v>58.0</v>
      </c>
      <c r="Q157" s="36">
        <v>0.36</v>
      </c>
      <c r="R157" s="36">
        <v>0.66</v>
      </c>
      <c r="S157" s="36">
        <v>1.15</v>
      </c>
      <c r="T157" s="36">
        <v>1.81</v>
      </c>
      <c r="U157" s="21">
        <f t="shared" si="3"/>
        <v>1810</v>
      </c>
      <c r="V157" s="21">
        <f t="shared" si="4"/>
        <v>2500</v>
      </c>
    </row>
    <row r="158" ht="14.25" customHeight="1">
      <c r="A158" s="38">
        <v>0.38958333333333334</v>
      </c>
      <c r="B158" s="36">
        <v>187.0</v>
      </c>
      <c r="C158" s="36">
        <v>22.7</v>
      </c>
      <c r="D158" s="36">
        <v>1700.0</v>
      </c>
      <c r="E158" s="36">
        <v>1882.0</v>
      </c>
      <c r="F158" s="36">
        <v>1.11</v>
      </c>
      <c r="G158" s="36">
        <v>32.0</v>
      </c>
      <c r="H158" s="36">
        <v>1.44</v>
      </c>
      <c r="I158" s="36">
        <v>46.3</v>
      </c>
      <c r="J158" s="36">
        <v>77.1</v>
      </c>
      <c r="K158" s="36">
        <v>134.0</v>
      </c>
      <c r="L158" s="36">
        <v>29.7</v>
      </c>
      <c r="M158" s="36">
        <v>107.0</v>
      </c>
      <c r="N158" s="36">
        <v>49.0</v>
      </c>
      <c r="O158" s="36">
        <v>32.0</v>
      </c>
      <c r="P158" s="36">
        <v>57.0</v>
      </c>
      <c r="Q158" s="36">
        <v>0.36</v>
      </c>
      <c r="R158" s="36">
        <v>0.68</v>
      </c>
      <c r="S158" s="36">
        <v>1.18</v>
      </c>
      <c r="T158" s="36">
        <v>1.86</v>
      </c>
      <c r="U158" s="21">
        <f t="shared" si="3"/>
        <v>1860</v>
      </c>
      <c r="V158" s="21">
        <f t="shared" si="4"/>
        <v>2500</v>
      </c>
    </row>
    <row r="159" ht="14.25" customHeight="1">
      <c r="A159" s="38">
        <v>0.3909722222222222</v>
      </c>
      <c r="B159" s="36">
        <v>188.0</v>
      </c>
      <c r="C159" s="36">
        <v>22.1</v>
      </c>
      <c r="D159" s="36">
        <v>1655.0</v>
      </c>
      <c r="E159" s="36">
        <v>1852.0</v>
      </c>
      <c r="F159" s="36">
        <v>1.12</v>
      </c>
      <c r="G159" s="36">
        <v>31.0</v>
      </c>
      <c r="H159" s="36">
        <v>1.45</v>
      </c>
      <c r="I159" s="36">
        <v>45.5</v>
      </c>
      <c r="J159" s="36">
        <v>77.4</v>
      </c>
      <c r="K159" s="36">
        <v>134.0</v>
      </c>
      <c r="L159" s="36">
        <v>29.7</v>
      </c>
      <c r="M159" s="36">
        <v>107.0</v>
      </c>
      <c r="N159" s="36">
        <v>49.0</v>
      </c>
      <c r="O159" s="36">
        <v>31.0</v>
      </c>
      <c r="P159" s="36">
        <v>55.0</v>
      </c>
      <c r="Q159" s="36">
        <v>0.36</v>
      </c>
      <c r="R159" s="36">
        <v>0.69</v>
      </c>
      <c r="S159" s="36">
        <v>1.22</v>
      </c>
      <c r="T159" s="36">
        <v>1.91</v>
      </c>
      <c r="U159" s="21">
        <f t="shared" si="3"/>
        <v>1910</v>
      </c>
      <c r="V159" s="21">
        <f t="shared" si="4"/>
        <v>2500</v>
      </c>
    </row>
    <row r="160" ht="14.25" customHeight="1">
      <c r="A160" s="38">
        <v>0.39166666666666666</v>
      </c>
      <c r="B160" s="36">
        <v>189.0</v>
      </c>
      <c r="C160" s="36">
        <v>22.3</v>
      </c>
      <c r="D160" s="36">
        <v>1669.0</v>
      </c>
      <c r="E160" s="36">
        <v>1866.0</v>
      </c>
      <c r="F160" s="36">
        <v>1.12</v>
      </c>
      <c r="G160" s="36">
        <v>32.0</v>
      </c>
      <c r="H160" s="36">
        <v>1.42</v>
      </c>
      <c r="I160" s="36">
        <v>45.8</v>
      </c>
      <c r="J160" s="36">
        <v>77.3</v>
      </c>
      <c r="K160" s="36">
        <v>135.0</v>
      </c>
      <c r="L160" s="36">
        <v>29.3</v>
      </c>
      <c r="M160" s="36">
        <v>107.0</v>
      </c>
      <c r="N160" s="36">
        <v>50.0</v>
      </c>
      <c r="O160" s="36">
        <v>32.0</v>
      </c>
      <c r="P160" s="36">
        <v>56.0</v>
      </c>
      <c r="Q160" s="36">
        <v>0.37</v>
      </c>
      <c r="R160" s="36">
        <v>0.68</v>
      </c>
      <c r="S160" s="36">
        <v>1.18</v>
      </c>
      <c r="T160" s="36">
        <v>1.86</v>
      </c>
      <c r="U160" s="21">
        <f t="shared" si="3"/>
        <v>1860</v>
      </c>
      <c r="V160" s="21">
        <f t="shared" si="4"/>
        <v>2500</v>
      </c>
    </row>
    <row r="161" ht="14.25" customHeight="1">
      <c r="A161" s="38">
        <v>0.39305555555555555</v>
      </c>
      <c r="B161" s="36">
        <v>190.0</v>
      </c>
      <c r="C161" s="36">
        <v>22.7</v>
      </c>
      <c r="D161" s="36">
        <v>1706.0</v>
      </c>
      <c r="E161" s="36">
        <v>1904.0</v>
      </c>
      <c r="F161" s="36">
        <v>1.12</v>
      </c>
      <c r="G161" s="36">
        <v>33.0</v>
      </c>
      <c r="H161" s="36">
        <v>1.41</v>
      </c>
      <c r="I161" s="36">
        <v>46.6</v>
      </c>
      <c r="J161" s="36">
        <v>76.9</v>
      </c>
      <c r="K161" s="36">
        <v>135.0</v>
      </c>
      <c r="L161" s="36">
        <v>29.3</v>
      </c>
      <c r="M161" s="36">
        <v>107.0</v>
      </c>
      <c r="N161" s="36">
        <v>50.0</v>
      </c>
      <c r="O161" s="36">
        <v>33.0</v>
      </c>
      <c r="P161" s="36">
        <v>57.0</v>
      </c>
      <c r="Q161" s="36">
        <v>0.36</v>
      </c>
      <c r="R161" s="36">
        <v>0.66</v>
      </c>
      <c r="S161" s="36">
        <v>1.15</v>
      </c>
      <c r="T161" s="36">
        <v>1.81</v>
      </c>
      <c r="U161" s="21">
        <f t="shared" si="3"/>
        <v>1810</v>
      </c>
      <c r="V161" s="21">
        <f t="shared" si="4"/>
        <v>0</v>
      </c>
    </row>
    <row r="162" ht="14.25" customHeight="1">
      <c r="A162" s="38">
        <v>0.39444444444444443</v>
      </c>
      <c r="B162" s="36">
        <v>191.0</v>
      </c>
      <c r="C162" s="36">
        <v>23.3</v>
      </c>
      <c r="D162" s="36">
        <v>1745.0</v>
      </c>
      <c r="E162" s="36">
        <v>1957.0</v>
      </c>
      <c r="F162" s="36">
        <v>1.12</v>
      </c>
      <c r="G162" s="36">
        <v>33.0</v>
      </c>
      <c r="H162" s="36">
        <v>1.45</v>
      </c>
      <c r="I162" s="36">
        <v>48.1</v>
      </c>
      <c r="J162" s="36">
        <v>76.2</v>
      </c>
      <c r="K162" s="36">
        <v>136.0</v>
      </c>
      <c r="L162" s="36">
        <v>29.0</v>
      </c>
      <c r="M162" s="36">
        <v>107.0</v>
      </c>
      <c r="N162" s="36">
        <v>50.0</v>
      </c>
      <c r="O162" s="36">
        <v>33.0</v>
      </c>
      <c r="P162" s="36">
        <v>58.0</v>
      </c>
      <c r="Q162" s="36">
        <v>0.36</v>
      </c>
      <c r="R162" s="36">
        <v>0.65</v>
      </c>
      <c r="S162" s="36">
        <v>1.15</v>
      </c>
      <c r="T162" s="36">
        <v>1.81</v>
      </c>
      <c r="U162" s="21">
        <f t="shared" si="3"/>
        <v>1810</v>
      </c>
      <c r="V162" s="21">
        <f t="shared" si="4"/>
        <v>100</v>
      </c>
    </row>
    <row r="163" ht="14.25" customHeight="1">
      <c r="A163" s="38">
        <v>0.3958333333333333</v>
      </c>
      <c r="B163" s="36">
        <v>191.0</v>
      </c>
      <c r="C163" s="36">
        <v>23.2</v>
      </c>
      <c r="D163" s="36">
        <v>1739.0</v>
      </c>
      <c r="E163" s="36">
        <v>1954.0</v>
      </c>
      <c r="F163" s="36">
        <v>1.12</v>
      </c>
      <c r="G163" s="36">
        <v>33.0</v>
      </c>
      <c r="H163" s="36">
        <v>1.45</v>
      </c>
      <c r="I163" s="36">
        <v>48.3</v>
      </c>
      <c r="J163" s="36">
        <v>76.0</v>
      </c>
      <c r="K163" s="36">
        <v>136.0</v>
      </c>
      <c r="L163" s="36">
        <v>29.0</v>
      </c>
      <c r="M163" s="36">
        <v>107.0</v>
      </c>
      <c r="N163" s="36">
        <v>50.0</v>
      </c>
      <c r="O163" s="36">
        <v>33.0</v>
      </c>
      <c r="P163" s="36">
        <v>58.0</v>
      </c>
      <c r="Q163" s="36">
        <v>0.36</v>
      </c>
      <c r="R163" s="36">
        <v>0.65</v>
      </c>
      <c r="S163" s="36">
        <v>1.15</v>
      </c>
      <c r="T163" s="36">
        <v>1.8</v>
      </c>
      <c r="U163" s="21">
        <f t="shared" si="3"/>
        <v>1800</v>
      </c>
      <c r="V163" s="21">
        <f t="shared" si="4"/>
        <v>400</v>
      </c>
    </row>
    <row r="164" ht="14.25" customHeight="1">
      <c r="A164" s="38">
        <v>0.3972222222222222</v>
      </c>
      <c r="B164" s="36">
        <v>193.0</v>
      </c>
      <c r="C164" s="36">
        <v>22.6</v>
      </c>
      <c r="D164" s="36">
        <v>1698.0</v>
      </c>
      <c r="E164" s="36">
        <v>1911.0</v>
      </c>
      <c r="F164" s="36">
        <v>1.13</v>
      </c>
      <c r="G164" s="36">
        <v>33.0</v>
      </c>
      <c r="H164" s="36">
        <v>1.44</v>
      </c>
      <c r="I164" s="36">
        <v>47.4</v>
      </c>
      <c r="J164" s="36">
        <v>76.5</v>
      </c>
      <c r="K164" s="36">
        <v>137.0</v>
      </c>
      <c r="L164" s="36">
        <v>28.5</v>
      </c>
      <c r="M164" s="36">
        <v>107.0</v>
      </c>
      <c r="N164" s="36">
        <v>50.0</v>
      </c>
      <c r="O164" s="36">
        <v>33.0</v>
      </c>
      <c r="P164" s="36">
        <v>57.0</v>
      </c>
      <c r="Q164" s="36">
        <v>0.36</v>
      </c>
      <c r="R164" s="36">
        <v>0.66</v>
      </c>
      <c r="S164" s="36">
        <v>1.16</v>
      </c>
      <c r="T164" s="36">
        <v>1.82</v>
      </c>
      <c r="U164" s="21">
        <f t="shared" si="3"/>
        <v>1820</v>
      </c>
      <c r="V164" s="21">
        <f t="shared" si="4"/>
        <v>1600</v>
      </c>
    </row>
    <row r="165" ht="14.25" customHeight="1">
      <c r="A165" s="38">
        <v>0.39791666666666664</v>
      </c>
      <c r="B165" s="36">
        <v>194.0</v>
      </c>
      <c r="C165" s="36">
        <v>22.8</v>
      </c>
      <c r="D165" s="36">
        <v>1713.0</v>
      </c>
      <c r="E165" s="36">
        <v>1925.0</v>
      </c>
      <c r="F165" s="36">
        <v>1.12</v>
      </c>
      <c r="G165" s="36">
        <v>34.0</v>
      </c>
      <c r="H165" s="36">
        <v>1.42</v>
      </c>
      <c r="I165" s="36">
        <v>47.8</v>
      </c>
      <c r="J165" s="36">
        <v>76.3</v>
      </c>
      <c r="K165" s="36">
        <v>137.0</v>
      </c>
      <c r="L165" s="36">
        <v>28.5</v>
      </c>
      <c r="M165" s="36">
        <v>107.0</v>
      </c>
      <c r="N165" s="36">
        <v>50.0</v>
      </c>
      <c r="O165" s="36">
        <v>34.0</v>
      </c>
      <c r="P165" s="36">
        <v>57.0</v>
      </c>
      <c r="Q165" s="36">
        <v>0.36</v>
      </c>
      <c r="R165" s="36">
        <v>0.65</v>
      </c>
      <c r="S165" s="36">
        <v>1.13</v>
      </c>
      <c r="T165" s="36">
        <v>1.78</v>
      </c>
      <c r="U165" s="21">
        <f t="shared" si="3"/>
        <v>1780</v>
      </c>
      <c r="V165" s="21">
        <f t="shared" si="4"/>
        <v>78400</v>
      </c>
    </row>
    <row r="166" ht="14.25" customHeight="1">
      <c r="A166" s="38">
        <v>0.40069444444444446</v>
      </c>
      <c r="B166" s="36">
        <v>195.0</v>
      </c>
      <c r="C166" s="36">
        <v>23.0</v>
      </c>
      <c r="D166" s="36">
        <v>1725.0</v>
      </c>
      <c r="E166" s="36">
        <v>1960.0</v>
      </c>
      <c r="F166" s="36">
        <v>1.14</v>
      </c>
      <c r="G166" s="36">
        <v>29.0</v>
      </c>
      <c r="H166" s="36">
        <v>1.63</v>
      </c>
      <c r="I166" s="36">
        <v>47.7</v>
      </c>
      <c r="J166" s="36">
        <v>76.3</v>
      </c>
      <c r="K166" s="36">
        <v>137.0</v>
      </c>
      <c r="L166" s="36">
        <v>28.3</v>
      </c>
      <c r="M166" s="36">
        <v>107.0</v>
      </c>
      <c r="N166" s="36">
        <v>50.0</v>
      </c>
      <c r="O166" s="36">
        <v>29.0</v>
      </c>
      <c r="P166" s="36">
        <v>58.0</v>
      </c>
      <c r="Q166" s="36">
        <v>0.4</v>
      </c>
      <c r="R166" s="36">
        <v>0.82</v>
      </c>
      <c r="S166" s="36">
        <v>1.24</v>
      </c>
      <c r="T166" s="36">
        <v>2.06</v>
      </c>
      <c r="U166" s="21">
        <f t="shared" si="3"/>
        <v>2060</v>
      </c>
      <c r="V166" s="21">
        <f t="shared" si="4"/>
        <v>900</v>
      </c>
    </row>
    <row r="167" ht="14.25" customHeight="1">
      <c r="A167" s="38">
        <v>0.4013888888888889</v>
      </c>
      <c r="B167" s="36">
        <v>196.0</v>
      </c>
      <c r="C167" s="36">
        <v>22.9</v>
      </c>
      <c r="D167" s="36">
        <v>1718.0</v>
      </c>
      <c r="E167" s="36">
        <v>1961.0</v>
      </c>
      <c r="F167" s="36">
        <v>1.14</v>
      </c>
      <c r="G167" s="36">
        <v>29.0</v>
      </c>
      <c r="H167" s="36">
        <v>1.65</v>
      </c>
      <c r="I167" s="36">
        <v>47.5</v>
      </c>
      <c r="J167" s="36">
        <v>76.4</v>
      </c>
      <c r="K167" s="36">
        <v>137.0</v>
      </c>
      <c r="L167" s="36">
        <v>28.3</v>
      </c>
      <c r="M167" s="36">
        <v>107.0</v>
      </c>
      <c r="N167" s="36">
        <v>50.0</v>
      </c>
      <c r="O167" s="36">
        <v>29.0</v>
      </c>
      <c r="P167" s="36">
        <v>57.0</v>
      </c>
      <c r="Q167" s="36">
        <v>0.4</v>
      </c>
      <c r="R167" s="36">
        <v>0.83</v>
      </c>
      <c r="S167" s="36">
        <v>1.26</v>
      </c>
      <c r="T167" s="36">
        <v>2.09</v>
      </c>
      <c r="U167" s="21">
        <f t="shared" si="3"/>
        <v>2090</v>
      </c>
      <c r="V167" s="21">
        <f t="shared" si="4"/>
        <v>2500</v>
      </c>
    </row>
    <row r="168" ht="14.25" customHeight="1">
      <c r="A168" s="38">
        <v>0.4027777777777778</v>
      </c>
      <c r="B168" s="36">
        <v>197.0</v>
      </c>
      <c r="C168" s="36">
        <v>22.8</v>
      </c>
      <c r="D168" s="36">
        <v>1713.0</v>
      </c>
      <c r="E168" s="36">
        <v>1953.0</v>
      </c>
      <c r="F168" s="36">
        <v>1.14</v>
      </c>
      <c r="G168" s="36">
        <v>29.0</v>
      </c>
      <c r="H168" s="36">
        <v>1.61</v>
      </c>
      <c r="I168" s="36">
        <v>47.2</v>
      </c>
      <c r="J168" s="36">
        <v>76.6</v>
      </c>
      <c r="K168" s="36">
        <v>137.0</v>
      </c>
      <c r="L168" s="36">
        <v>28.3</v>
      </c>
      <c r="M168" s="36">
        <v>107.0</v>
      </c>
      <c r="N168" s="36">
        <v>50.0</v>
      </c>
      <c r="O168" s="36">
        <v>29.0</v>
      </c>
      <c r="P168" s="36">
        <v>57.0</v>
      </c>
      <c r="Q168" s="36">
        <v>0.39</v>
      </c>
      <c r="R168" s="36">
        <v>0.81</v>
      </c>
      <c r="S168" s="36">
        <v>1.24</v>
      </c>
      <c r="T168" s="36">
        <v>2.04</v>
      </c>
      <c r="U168" s="21">
        <f t="shared" si="3"/>
        <v>2040</v>
      </c>
      <c r="V168" s="21">
        <f t="shared" si="4"/>
        <v>0</v>
      </c>
    </row>
    <row r="169" ht="14.25" customHeight="1">
      <c r="A169" s="38">
        <v>0.4041666666666667</v>
      </c>
      <c r="B169" s="36">
        <v>197.0</v>
      </c>
      <c r="C169" s="36">
        <v>22.8</v>
      </c>
      <c r="D169" s="36">
        <v>1713.0</v>
      </c>
      <c r="E169" s="36">
        <v>1953.0</v>
      </c>
      <c r="F169" s="36">
        <v>1.14</v>
      </c>
      <c r="G169" s="36">
        <v>29.0</v>
      </c>
      <c r="H169" s="36">
        <v>1.61</v>
      </c>
      <c r="I169" s="36">
        <v>47.2</v>
      </c>
      <c r="J169" s="36">
        <v>76.6</v>
      </c>
      <c r="K169" s="36">
        <v>137.0</v>
      </c>
      <c r="L169" s="36">
        <v>28.3</v>
      </c>
      <c r="M169" s="36">
        <v>107.0</v>
      </c>
      <c r="N169" s="36">
        <v>50.0</v>
      </c>
      <c r="O169" s="36">
        <v>29.0</v>
      </c>
      <c r="P169" s="36">
        <v>57.0</v>
      </c>
      <c r="Q169" s="36">
        <v>0.39</v>
      </c>
      <c r="R169" s="36">
        <v>0.81</v>
      </c>
      <c r="S169" s="36">
        <v>1.24</v>
      </c>
      <c r="T169" s="36">
        <v>2.04</v>
      </c>
      <c r="U169" s="21">
        <f t="shared" si="3"/>
        <v>2040</v>
      </c>
      <c r="V169" s="21">
        <f t="shared" si="4"/>
        <v>100</v>
      </c>
    </row>
    <row r="170" ht="14.25" customHeight="1">
      <c r="A170" s="38">
        <v>0.40555555555555556</v>
      </c>
      <c r="B170" s="36">
        <v>198.0</v>
      </c>
      <c r="C170" s="36">
        <v>23.2</v>
      </c>
      <c r="D170" s="36">
        <v>1741.0</v>
      </c>
      <c r="E170" s="36">
        <v>1982.0</v>
      </c>
      <c r="F170" s="36">
        <v>1.14</v>
      </c>
      <c r="G170" s="36">
        <v>30.0</v>
      </c>
      <c r="H170" s="36">
        <v>1.62</v>
      </c>
      <c r="I170" s="36">
        <v>47.9</v>
      </c>
      <c r="J170" s="36">
        <v>76.2</v>
      </c>
      <c r="K170" s="36">
        <v>137.0</v>
      </c>
      <c r="L170" s="36">
        <v>28.1</v>
      </c>
      <c r="M170" s="36">
        <v>107.0</v>
      </c>
      <c r="N170" s="36">
        <v>50.0</v>
      </c>
      <c r="O170" s="36">
        <v>30.0</v>
      </c>
      <c r="P170" s="36">
        <v>58.0</v>
      </c>
      <c r="Q170" s="36">
        <v>0.4</v>
      </c>
      <c r="R170" s="36">
        <v>0.81</v>
      </c>
      <c r="S170" s="36">
        <v>1.22</v>
      </c>
      <c r="T170" s="36">
        <v>2.03</v>
      </c>
      <c r="U170" s="21">
        <f t="shared" si="3"/>
        <v>2030</v>
      </c>
      <c r="V170" s="21">
        <f t="shared" si="4"/>
        <v>96100</v>
      </c>
    </row>
    <row r="171" ht="14.25" customHeight="1">
      <c r="A171" s="38">
        <v>0.40625</v>
      </c>
      <c r="B171" s="36">
        <v>199.0</v>
      </c>
      <c r="C171" s="36">
        <v>24.2</v>
      </c>
      <c r="D171" s="36">
        <v>1812.0</v>
      </c>
      <c r="E171" s="36">
        <v>2040.0</v>
      </c>
      <c r="F171" s="36">
        <v>1.13</v>
      </c>
      <c r="G171" s="36">
        <v>35.0</v>
      </c>
      <c r="H171" s="36">
        <v>1.44</v>
      </c>
      <c r="I171" s="36">
        <v>50.2</v>
      </c>
      <c r="J171" s="36">
        <v>75.1</v>
      </c>
      <c r="K171" s="36">
        <v>137.0</v>
      </c>
      <c r="L171" s="36">
        <v>28.1</v>
      </c>
      <c r="M171" s="36">
        <v>107.0</v>
      </c>
      <c r="N171" s="36">
        <v>50.0</v>
      </c>
      <c r="O171" s="36">
        <v>35.0</v>
      </c>
      <c r="P171" s="36">
        <v>60.0</v>
      </c>
      <c r="Q171" s="36">
        <v>0.37</v>
      </c>
      <c r="R171" s="36">
        <v>0.63</v>
      </c>
      <c r="S171" s="36">
        <v>1.09</v>
      </c>
      <c r="T171" s="36">
        <v>1.72</v>
      </c>
      <c r="U171" s="21">
        <f t="shared" si="3"/>
        <v>1720</v>
      </c>
      <c r="V171" s="8">
        <v>0.0</v>
      </c>
    </row>
    <row r="172" ht="14.25" customHeight="1">
      <c r="A172" s="36" t="s">
        <v>81</v>
      </c>
      <c r="V172" s="8"/>
    </row>
    <row r="173" ht="14.25" customHeight="1">
      <c r="A173" s="38">
        <v>0.4076388888888889</v>
      </c>
      <c r="B173" s="36">
        <v>200.0</v>
      </c>
      <c r="C173" s="36">
        <v>24.6</v>
      </c>
      <c r="D173" s="36">
        <v>1846.0</v>
      </c>
      <c r="E173" s="36">
        <v>2084.0</v>
      </c>
      <c r="F173" s="36">
        <v>1.13</v>
      </c>
      <c r="G173" s="36">
        <v>35.0</v>
      </c>
      <c r="H173" s="36">
        <v>1.48</v>
      </c>
      <c r="I173" s="36">
        <v>51.7</v>
      </c>
      <c r="J173" s="36">
        <v>74.4</v>
      </c>
      <c r="K173" s="36">
        <v>138.0</v>
      </c>
      <c r="L173" s="36">
        <v>27.6</v>
      </c>
      <c r="M173" s="36">
        <v>107.0</v>
      </c>
      <c r="N173" s="36">
        <v>50.0</v>
      </c>
      <c r="O173" s="36">
        <v>35.0</v>
      </c>
      <c r="P173" s="36">
        <v>62.0</v>
      </c>
      <c r="Q173" s="36">
        <v>0.37</v>
      </c>
      <c r="R173" s="36">
        <v>0.64</v>
      </c>
      <c r="S173" s="36">
        <v>1.08</v>
      </c>
      <c r="T173" s="36">
        <v>1.72</v>
      </c>
      <c r="U173" s="21">
        <f t="shared" ref="U173:U184" si="5">T173*1000</f>
        <v>1720</v>
      </c>
      <c r="V173" s="21">
        <f t="shared" ref="V173:V183" si="6">(U173-U174)^2</f>
        <v>100</v>
      </c>
      <c r="W173" s="8">
        <f>SQRT(AVERAGE(V173:V317))</f>
        <v>15.93255014</v>
      </c>
    </row>
    <row r="174" ht="14.25" customHeight="1">
      <c r="A174" s="38">
        <v>0.40902777777777777</v>
      </c>
      <c r="B174" s="36">
        <v>201.0</v>
      </c>
      <c r="C174" s="36">
        <v>25.1</v>
      </c>
      <c r="D174" s="36">
        <v>1885.0</v>
      </c>
      <c r="E174" s="36">
        <v>2140.0</v>
      </c>
      <c r="F174" s="36">
        <v>1.14</v>
      </c>
      <c r="G174" s="36">
        <v>35.0</v>
      </c>
      <c r="H174" s="36">
        <v>1.53</v>
      </c>
      <c r="I174" s="36">
        <v>53.1</v>
      </c>
      <c r="J174" s="36">
        <v>73.7</v>
      </c>
      <c r="K174" s="36">
        <v>139.0</v>
      </c>
      <c r="L174" s="36">
        <v>27.1</v>
      </c>
      <c r="M174" s="36">
        <v>108.0</v>
      </c>
      <c r="N174" s="36">
        <v>49.0</v>
      </c>
      <c r="O174" s="36">
        <v>35.0</v>
      </c>
      <c r="P174" s="36">
        <v>63.0</v>
      </c>
      <c r="Q174" s="36">
        <v>0.37</v>
      </c>
      <c r="R174" s="36">
        <v>0.63</v>
      </c>
      <c r="S174" s="36">
        <v>1.1</v>
      </c>
      <c r="T174" s="36">
        <v>1.73</v>
      </c>
      <c r="U174" s="21">
        <f t="shared" si="5"/>
        <v>1730</v>
      </c>
      <c r="V174" s="21">
        <f t="shared" si="6"/>
        <v>0</v>
      </c>
    </row>
    <row r="175" ht="14.25" customHeight="1">
      <c r="A175" s="38">
        <v>0.41041666666666665</v>
      </c>
      <c r="B175" s="36">
        <v>202.0</v>
      </c>
      <c r="C175" s="36">
        <v>25.1</v>
      </c>
      <c r="D175" s="36">
        <v>1885.0</v>
      </c>
      <c r="E175" s="36">
        <v>2140.0</v>
      </c>
      <c r="F175" s="36">
        <v>1.14</v>
      </c>
      <c r="G175" s="36">
        <v>35.0</v>
      </c>
      <c r="H175" s="36">
        <v>1.53</v>
      </c>
      <c r="I175" s="36">
        <v>53.1</v>
      </c>
      <c r="J175" s="36">
        <v>73.7</v>
      </c>
      <c r="K175" s="36">
        <v>140.0</v>
      </c>
      <c r="L175" s="36">
        <v>26.6</v>
      </c>
      <c r="M175" s="36">
        <v>108.0</v>
      </c>
      <c r="N175" s="36">
        <v>49.0</v>
      </c>
      <c r="O175" s="36">
        <v>35.0</v>
      </c>
      <c r="P175" s="36">
        <v>63.0</v>
      </c>
      <c r="Q175" s="36">
        <v>0.37</v>
      </c>
      <c r="R175" s="36">
        <v>0.63</v>
      </c>
      <c r="S175" s="36">
        <v>1.1</v>
      </c>
      <c r="T175" s="36">
        <v>1.73</v>
      </c>
      <c r="U175" s="21">
        <f t="shared" si="5"/>
        <v>1730</v>
      </c>
      <c r="V175" s="21">
        <f t="shared" si="6"/>
        <v>100</v>
      </c>
    </row>
    <row r="176" ht="14.25" customHeight="1">
      <c r="A176" s="38">
        <v>0.4111111111111111</v>
      </c>
      <c r="B176" s="36">
        <v>202.0</v>
      </c>
      <c r="C176" s="36">
        <v>25.3</v>
      </c>
      <c r="D176" s="36">
        <v>1900.0</v>
      </c>
      <c r="E176" s="36">
        <v>2168.0</v>
      </c>
      <c r="F176" s="36">
        <v>1.14</v>
      </c>
      <c r="G176" s="36">
        <v>35.0</v>
      </c>
      <c r="H176" s="36">
        <v>1.55</v>
      </c>
      <c r="I176" s="36">
        <v>53.7</v>
      </c>
      <c r="J176" s="36">
        <v>73.4</v>
      </c>
      <c r="K176" s="36">
        <v>140.0</v>
      </c>
      <c r="L176" s="36">
        <v>26.5</v>
      </c>
      <c r="M176" s="36">
        <v>108.0</v>
      </c>
      <c r="N176" s="36">
        <v>49.0</v>
      </c>
      <c r="O176" s="36">
        <v>35.0</v>
      </c>
      <c r="P176" s="36">
        <v>63.0</v>
      </c>
      <c r="Q176" s="36">
        <v>0.37</v>
      </c>
      <c r="R176" s="36">
        <v>0.64</v>
      </c>
      <c r="S176" s="36">
        <v>1.1</v>
      </c>
      <c r="T176" s="36">
        <v>1.74</v>
      </c>
      <c r="U176" s="21">
        <f t="shared" si="5"/>
        <v>1740</v>
      </c>
      <c r="V176" s="21">
        <f t="shared" si="6"/>
        <v>100</v>
      </c>
    </row>
    <row r="177" ht="14.25" customHeight="1">
      <c r="A177" s="38">
        <v>0.41388888888888886</v>
      </c>
      <c r="B177" s="36">
        <v>205.0</v>
      </c>
      <c r="C177" s="36">
        <v>24.9</v>
      </c>
      <c r="D177" s="36">
        <v>1869.0</v>
      </c>
      <c r="E177" s="36">
        <v>2139.0</v>
      </c>
      <c r="F177" s="36">
        <v>1.14</v>
      </c>
      <c r="G177" s="36">
        <v>34.0</v>
      </c>
      <c r="H177" s="36">
        <v>1.54</v>
      </c>
      <c r="I177" s="36">
        <v>52.9</v>
      </c>
      <c r="J177" s="36">
        <v>73.8</v>
      </c>
      <c r="K177" s="36">
        <v>141.0</v>
      </c>
      <c r="L177" s="36">
        <v>26.1</v>
      </c>
      <c r="M177" s="36">
        <v>108.0</v>
      </c>
      <c r="N177" s="36">
        <v>49.0</v>
      </c>
      <c r="O177" s="36">
        <v>34.0</v>
      </c>
      <c r="P177" s="36">
        <v>62.0</v>
      </c>
      <c r="Q177" s="36">
        <v>0.36</v>
      </c>
      <c r="R177" s="36">
        <v>0.64</v>
      </c>
      <c r="S177" s="36">
        <v>1.11</v>
      </c>
      <c r="T177" s="36">
        <v>1.75</v>
      </c>
      <c r="U177" s="21">
        <f t="shared" si="5"/>
        <v>1750</v>
      </c>
      <c r="V177" s="21">
        <f t="shared" si="6"/>
        <v>100</v>
      </c>
    </row>
    <row r="178" ht="14.25" customHeight="1">
      <c r="A178" s="38">
        <v>0.4152777777777778</v>
      </c>
      <c r="B178" s="36">
        <v>205.0</v>
      </c>
      <c r="C178" s="36">
        <v>24.7</v>
      </c>
      <c r="D178" s="36">
        <v>1849.0</v>
      </c>
      <c r="E178" s="36">
        <v>2116.0</v>
      </c>
      <c r="F178" s="36">
        <v>1.14</v>
      </c>
      <c r="G178" s="36">
        <v>35.0</v>
      </c>
      <c r="H178" s="36">
        <v>1.5</v>
      </c>
      <c r="I178" s="36">
        <v>52.0</v>
      </c>
      <c r="J178" s="36">
        <v>74.2</v>
      </c>
      <c r="K178" s="36">
        <v>142.0</v>
      </c>
      <c r="L178" s="36">
        <v>25.6</v>
      </c>
      <c r="M178" s="36">
        <v>108.0</v>
      </c>
      <c r="N178" s="36">
        <v>50.0</v>
      </c>
      <c r="O178" s="36">
        <v>35.0</v>
      </c>
      <c r="P178" s="36">
        <v>62.0</v>
      </c>
      <c r="Q178" s="36">
        <v>0.36</v>
      </c>
      <c r="R178" s="36">
        <v>0.63</v>
      </c>
      <c r="S178" s="36">
        <v>1.11</v>
      </c>
      <c r="T178" s="36">
        <v>1.74</v>
      </c>
      <c r="U178" s="21">
        <f t="shared" si="5"/>
        <v>1740</v>
      </c>
      <c r="V178" s="21">
        <f t="shared" si="6"/>
        <v>100</v>
      </c>
    </row>
    <row r="179" ht="14.25" customHeight="1">
      <c r="A179" s="38">
        <v>0.4166666666666667</v>
      </c>
      <c r="B179" s="36">
        <v>206.0</v>
      </c>
      <c r="C179" s="36">
        <v>24.6</v>
      </c>
      <c r="D179" s="36">
        <v>1841.0</v>
      </c>
      <c r="E179" s="36">
        <v>2109.0</v>
      </c>
      <c r="F179" s="36">
        <v>1.15</v>
      </c>
      <c r="G179" s="36">
        <v>34.0</v>
      </c>
      <c r="H179" s="36">
        <v>1.5</v>
      </c>
      <c r="I179" s="36">
        <v>51.2</v>
      </c>
      <c r="J179" s="36">
        <v>74.6</v>
      </c>
      <c r="K179" s="36">
        <v>143.0</v>
      </c>
      <c r="L179" s="36">
        <v>25.2</v>
      </c>
      <c r="M179" s="36">
        <v>107.0</v>
      </c>
      <c r="N179" s="36">
        <v>50.0</v>
      </c>
      <c r="O179" s="36">
        <v>34.0</v>
      </c>
      <c r="P179" s="36">
        <v>61.0</v>
      </c>
      <c r="Q179" s="36">
        <v>0.36</v>
      </c>
      <c r="R179" s="36">
        <v>0.63</v>
      </c>
      <c r="S179" s="36">
        <v>1.13</v>
      </c>
      <c r="T179" s="36">
        <v>1.75</v>
      </c>
      <c r="U179" s="21">
        <f t="shared" si="5"/>
        <v>1750</v>
      </c>
      <c r="V179" s="21">
        <f t="shared" si="6"/>
        <v>900</v>
      </c>
    </row>
    <row r="180" ht="14.25" customHeight="1">
      <c r="A180" s="38">
        <v>0.4173611111111111</v>
      </c>
      <c r="B180" s="36">
        <v>207.0</v>
      </c>
      <c r="C180" s="36">
        <v>24.8</v>
      </c>
      <c r="D180" s="36">
        <v>1857.0</v>
      </c>
      <c r="E180" s="36">
        <v>2134.0</v>
      </c>
      <c r="F180" s="36">
        <v>1.15</v>
      </c>
      <c r="G180" s="36">
        <v>34.0</v>
      </c>
      <c r="H180" s="36">
        <v>1.52</v>
      </c>
      <c r="I180" s="36">
        <v>51.4</v>
      </c>
      <c r="J180" s="36">
        <v>74.5</v>
      </c>
      <c r="K180" s="36">
        <v>144.0</v>
      </c>
      <c r="L180" s="36">
        <v>24.7</v>
      </c>
      <c r="M180" s="36">
        <v>107.0</v>
      </c>
      <c r="N180" s="36">
        <v>51.0</v>
      </c>
      <c r="O180" s="36">
        <v>34.0</v>
      </c>
      <c r="P180" s="36">
        <v>62.0</v>
      </c>
      <c r="Q180" s="36">
        <v>0.35</v>
      </c>
      <c r="R180" s="36">
        <v>0.62</v>
      </c>
      <c r="S180" s="36">
        <v>1.15</v>
      </c>
      <c r="T180" s="36">
        <v>1.78</v>
      </c>
      <c r="U180" s="21">
        <f t="shared" si="5"/>
        <v>1780</v>
      </c>
      <c r="V180" s="21">
        <f t="shared" si="6"/>
        <v>900</v>
      </c>
    </row>
    <row r="181" ht="14.25" customHeight="1">
      <c r="A181" s="38">
        <v>0.41875</v>
      </c>
      <c r="B181" s="36">
        <v>208.0</v>
      </c>
      <c r="C181" s="36">
        <v>24.6</v>
      </c>
      <c r="D181" s="36">
        <v>1844.0</v>
      </c>
      <c r="E181" s="36">
        <v>2102.0</v>
      </c>
      <c r="F181" s="36">
        <v>1.14</v>
      </c>
      <c r="G181" s="36">
        <v>34.0</v>
      </c>
      <c r="H181" s="36">
        <v>1.48</v>
      </c>
      <c r="I181" s="36">
        <v>50.8</v>
      </c>
      <c r="J181" s="36">
        <v>74.8</v>
      </c>
      <c r="K181" s="36">
        <v>145.0</v>
      </c>
      <c r="L181" s="36">
        <v>24.3</v>
      </c>
      <c r="M181" s="36">
        <v>107.0</v>
      </c>
      <c r="N181" s="36">
        <v>51.0</v>
      </c>
      <c r="O181" s="36">
        <v>34.0</v>
      </c>
      <c r="P181" s="36">
        <v>62.0</v>
      </c>
      <c r="Q181" s="36">
        <v>0.36</v>
      </c>
      <c r="R181" s="36">
        <v>0.63</v>
      </c>
      <c r="S181" s="36">
        <v>1.12</v>
      </c>
      <c r="T181" s="36">
        <v>1.75</v>
      </c>
      <c r="U181" s="21">
        <f t="shared" si="5"/>
        <v>1750</v>
      </c>
      <c r="V181" s="21">
        <f t="shared" si="6"/>
        <v>100</v>
      </c>
    </row>
    <row r="182" ht="14.25" customHeight="1">
      <c r="A182" s="38">
        <v>0.4201388888888889</v>
      </c>
      <c r="B182" s="36">
        <v>209.0</v>
      </c>
      <c r="C182" s="36">
        <v>25.1</v>
      </c>
      <c r="D182" s="36">
        <v>1885.0</v>
      </c>
      <c r="E182" s="36">
        <v>2142.0</v>
      </c>
      <c r="F182" s="36">
        <v>1.14</v>
      </c>
      <c r="G182" s="36">
        <v>35.0</v>
      </c>
      <c r="H182" s="36">
        <v>1.49</v>
      </c>
      <c r="I182" s="36">
        <v>51.5</v>
      </c>
      <c r="J182" s="36">
        <v>74.4</v>
      </c>
      <c r="K182" s="36">
        <v>145.0</v>
      </c>
      <c r="L182" s="36">
        <v>24.3</v>
      </c>
      <c r="M182" s="36">
        <v>106.0</v>
      </c>
      <c r="N182" s="36">
        <v>51.0</v>
      </c>
      <c r="O182" s="36">
        <v>35.0</v>
      </c>
      <c r="P182" s="36">
        <v>63.0</v>
      </c>
      <c r="Q182" s="36">
        <v>0.36</v>
      </c>
      <c r="R182" s="36">
        <v>0.63</v>
      </c>
      <c r="S182" s="36">
        <v>1.1</v>
      </c>
      <c r="T182" s="36">
        <v>1.74</v>
      </c>
      <c r="U182" s="21">
        <f t="shared" si="5"/>
        <v>1740</v>
      </c>
      <c r="V182" s="21">
        <f t="shared" si="6"/>
        <v>0</v>
      </c>
    </row>
    <row r="183" ht="14.25" customHeight="1">
      <c r="A183" s="38">
        <v>0.42083333333333334</v>
      </c>
      <c r="B183" s="36">
        <v>210.0</v>
      </c>
      <c r="C183" s="36">
        <v>25.6</v>
      </c>
      <c r="D183" s="36">
        <v>1922.0</v>
      </c>
      <c r="E183" s="36">
        <v>2189.0</v>
      </c>
      <c r="F183" s="36">
        <v>1.14</v>
      </c>
      <c r="G183" s="36">
        <v>35.0</v>
      </c>
      <c r="H183" s="36">
        <v>1.52</v>
      </c>
      <c r="I183" s="36">
        <v>52.5</v>
      </c>
      <c r="J183" s="36">
        <v>74.0</v>
      </c>
      <c r="K183" s="36">
        <v>145.0</v>
      </c>
      <c r="L183" s="36">
        <v>24.3</v>
      </c>
      <c r="M183" s="36">
        <v>107.0</v>
      </c>
      <c r="N183" s="36">
        <v>51.0</v>
      </c>
      <c r="O183" s="36">
        <v>35.0</v>
      </c>
      <c r="P183" s="36">
        <v>64.0</v>
      </c>
      <c r="Q183" s="36">
        <v>0.37</v>
      </c>
      <c r="R183" s="36">
        <v>0.64</v>
      </c>
      <c r="S183" s="36">
        <v>1.09</v>
      </c>
      <c r="T183" s="36">
        <v>1.74</v>
      </c>
      <c r="U183" s="21">
        <f t="shared" si="5"/>
        <v>1740</v>
      </c>
      <c r="V183" s="21">
        <f t="shared" si="6"/>
        <v>900</v>
      </c>
    </row>
    <row r="184" ht="14.25" customHeight="1">
      <c r="A184" s="38">
        <v>0.4222222222222222</v>
      </c>
      <c r="B184" s="36">
        <v>211.0</v>
      </c>
      <c r="C184" s="36">
        <v>26.8</v>
      </c>
      <c r="D184" s="36">
        <v>2013.0</v>
      </c>
      <c r="E184" s="36">
        <v>2282.0</v>
      </c>
      <c r="F184" s="36">
        <v>1.13</v>
      </c>
      <c r="G184" s="36">
        <v>35.0</v>
      </c>
      <c r="H184" s="36">
        <v>1.56</v>
      </c>
      <c r="I184" s="36">
        <v>54.7</v>
      </c>
      <c r="J184" s="36">
        <v>72.9</v>
      </c>
      <c r="K184" s="36">
        <v>145.0</v>
      </c>
      <c r="L184" s="36">
        <v>24.3</v>
      </c>
      <c r="M184" s="36">
        <v>107.0</v>
      </c>
      <c r="N184" s="36">
        <v>51.0</v>
      </c>
      <c r="O184" s="36">
        <v>35.0</v>
      </c>
      <c r="P184" s="36">
        <v>67.0</v>
      </c>
      <c r="Q184" s="36">
        <v>0.38</v>
      </c>
      <c r="R184" s="36">
        <v>0.64</v>
      </c>
      <c r="S184" s="36">
        <v>1.07</v>
      </c>
      <c r="T184" s="36">
        <v>1.71</v>
      </c>
      <c r="U184" s="21">
        <f t="shared" si="5"/>
        <v>1710</v>
      </c>
      <c r="V184" s="8">
        <v>0.0</v>
      </c>
    </row>
    <row r="185" ht="14.25" customHeight="1">
      <c r="A185" s="36" t="s">
        <v>82</v>
      </c>
      <c r="V185" s="8"/>
    </row>
    <row r="186" ht="14.25" customHeight="1">
      <c r="A186" s="38">
        <v>0.4236111111111111</v>
      </c>
      <c r="B186" s="36">
        <v>211.0</v>
      </c>
      <c r="C186" s="36">
        <v>27.6</v>
      </c>
      <c r="D186" s="36">
        <v>2071.0</v>
      </c>
      <c r="E186" s="36">
        <v>2366.0</v>
      </c>
      <c r="F186" s="36">
        <v>1.14</v>
      </c>
      <c r="G186" s="36">
        <v>35.0</v>
      </c>
      <c r="H186" s="36">
        <v>1.62</v>
      </c>
      <c r="I186" s="36">
        <v>56.7</v>
      </c>
      <c r="J186" s="36">
        <v>71.9</v>
      </c>
      <c r="K186" s="36">
        <v>145.0</v>
      </c>
      <c r="L186" s="36">
        <v>24.3</v>
      </c>
      <c r="M186" s="36">
        <v>107.0</v>
      </c>
      <c r="N186" s="36">
        <v>50.0</v>
      </c>
      <c r="O186" s="36">
        <v>35.0</v>
      </c>
      <c r="P186" s="36">
        <v>69.0</v>
      </c>
      <c r="Q186" s="36">
        <v>0.38</v>
      </c>
      <c r="R186" s="36">
        <v>0.66</v>
      </c>
      <c r="S186" s="36">
        <v>1.05</v>
      </c>
      <c r="T186" s="36">
        <v>1.71</v>
      </c>
      <c r="U186" s="21">
        <f t="shared" ref="U186:U204" si="7">T186*1000</f>
        <v>1710</v>
      </c>
      <c r="V186" s="8">
        <v>0.0</v>
      </c>
    </row>
    <row r="187" ht="14.25" customHeight="1">
      <c r="A187" s="36" t="s">
        <v>88</v>
      </c>
      <c r="U187" s="21">
        <f t="shared" si="7"/>
        <v>0</v>
      </c>
    </row>
    <row r="188" ht="14.25" customHeight="1">
      <c r="U188" s="21">
        <f t="shared" si="7"/>
        <v>0</v>
      </c>
    </row>
    <row r="189" ht="14.25" customHeight="1">
      <c r="U189" s="21">
        <f t="shared" si="7"/>
        <v>0</v>
      </c>
    </row>
    <row r="190" ht="14.25" customHeight="1">
      <c r="U190" s="21">
        <f t="shared" si="7"/>
        <v>0</v>
      </c>
    </row>
    <row r="191" ht="14.25" customHeight="1">
      <c r="U191" s="21">
        <f t="shared" si="7"/>
        <v>0</v>
      </c>
    </row>
    <row r="192" ht="14.25" customHeight="1">
      <c r="U192" s="21">
        <f t="shared" si="7"/>
        <v>0</v>
      </c>
    </row>
    <row r="193" ht="14.25" customHeight="1">
      <c r="U193" s="21">
        <f t="shared" si="7"/>
        <v>0</v>
      </c>
    </row>
    <row r="194" ht="14.25" customHeight="1">
      <c r="U194" s="21">
        <f t="shared" si="7"/>
        <v>0</v>
      </c>
    </row>
    <row r="195" ht="14.25" customHeight="1">
      <c r="U195" s="21">
        <f t="shared" si="7"/>
        <v>0</v>
      </c>
    </row>
    <row r="196" ht="14.25" customHeight="1">
      <c r="U196" s="21">
        <f t="shared" si="7"/>
        <v>0</v>
      </c>
    </row>
    <row r="197" ht="14.25" customHeight="1">
      <c r="U197" s="21">
        <f t="shared" si="7"/>
        <v>0</v>
      </c>
    </row>
    <row r="198" ht="14.25" customHeight="1">
      <c r="U198" s="21">
        <f t="shared" si="7"/>
        <v>0</v>
      </c>
    </row>
    <row r="199" ht="14.25" customHeight="1">
      <c r="U199" s="21">
        <f t="shared" si="7"/>
        <v>0</v>
      </c>
    </row>
    <row r="200" ht="14.25" customHeight="1">
      <c r="U200" s="21">
        <f t="shared" si="7"/>
        <v>0</v>
      </c>
    </row>
    <row r="201" ht="14.25" customHeight="1">
      <c r="U201" s="21">
        <f t="shared" si="7"/>
        <v>0</v>
      </c>
    </row>
    <row r="202" ht="14.25" customHeight="1">
      <c r="U202" s="21">
        <f t="shared" si="7"/>
        <v>0</v>
      </c>
    </row>
    <row r="203" ht="14.25" customHeight="1">
      <c r="U203" s="21">
        <f t="shared" si="7"/>
        <v>0</v>
      </c>
    </row>
    <row r="204" ht="14.25" customHeight="1">
      <c r="U204" s="21">
        <f t="shared" si="7"/>
        <v>0</v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2" width="8.0"/>
    <col customWidth="1" min="23" max="44" width="6.63"/>
  </cols>
  <sheetData>
    <row r="1" ht="14.25" customHeight="1"/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8" t="s">
        <v>92</v>
      </c>
      <c r="V4" s="8" t="s">
        <v>85</v>
      </c>
      <c r="W4" s="8" t="s">
        <v>52</v>
      </c>
    </row>
    <row r="5" ht="14.25" customHeight="1">
      <c r="A5" s="36" t="s">
        <v>87</v>
      </c>
    </row>
    <row r="6" ht="14.25" customHeight="1">
      <c r="A6" s="38">
        <v>0.0875</v>
      </c>
      <c r="B6" s="36">
        <v>0.0</v>
      </c>
      <c r="C6" s="36">
        <v>9.3</v>
      </c>
      <c r="D6" s="36">
        <v>805.0</v>
      </c>
      <c r="E6" s="36">
        <v>795.0</v>
      </c>
      <c r="F6" s="36">
        <v>0.99</v>
      </c>
      <c r="G6" s="36">
        <v>19.0</v>
      </c>
      <c r="H6" s="36">
        <v>1.2</v>
      </c>
      <c r="I6" s="36">
        <v>22.6</v>
      </c>
      <c r="J6" s="36">
        <v>85.8</v>
      </c>
      <c r="K6" s="36">
        <v>84.0</v>
      </c>
      <c r="L6" s="36">
        <v>48.9</v>
      </c>
      <c r="M6" s="36">
        <v>104.0</v>
      </c>
      <c r="N6" s="36">
        <v>42.0</v>
      </c>
      <c r="O6" s="36">
        <v>19.0</v>
      </c>
      <c r="P6" s="36">
        <v>26.0</v>
      </c>
      <c r="Q6" s="36">
        <v>0.35</v>
      </c>
      <c r="R6" s="36">
        <v>1.11</v>
      </c>
      <c r="S6" s="36">
        <v>2.08</v>
      </c>
      <c r="T6" s="36">
        <v>3.19</v>
      </c>
      <c r="U6" s="21">
        <f t="shared" ref="U6:U121" si="1">T6*10000</f>
        <v>31900</v>
      </c>
      <c r="V6" s="21">
        <f t="shared" ref="V6:V120" si="2">(U6-U7)^2</f>
        <v>40000</v>
      </c>
      <c r="W6" s="8">
        <f>SQRT(AVERAGE(V6:V150))</f>
        <v>784.3079044</v>
      </c>
    </row>
    <row r="7" ht="14.25" customHeight="1">
      <c r="A7" s="38">
        <v>0.08888888888888889</v>
      </c>
      <c r="B7" s="36">
        <v>0.0</v>
      </c>
      <c r="C7" s="36">
        <v>9.4</v>
      </c>
      <c r="D7" s="36">
        <v>819.0</v>
      </c>
      <c r="E7" s="36">
        <v>805.0</v>
      </c>
      <c r="F7" s="36">
        <v>0.98</v>
      </c>
      <c r="G7" s="36">
        <v>19.0</v>
      </c>
      <c r="H7" s="36">
        <v>1.22</v>
      </c>
      <c r="I7" s="36">
        <v>22.9</v>
      </c>
      <c r="J7" s="36">
        <v>85.7</v>
      </c>
      <c r="K7" s="36">
        <v>85.0</v>
      </c>
      <c r="L7" s="36">
        <v>48.5</v>
      </c>
      <c r="M7" s="36">
        <v>104.0</v>
      </c>
      <c r="N7" s="36">
        <v>42.0</v>
      </c>
      <c r="O7" s="36">
        <v>19.0</v>
      </c>
      <c r="P7" s="36">
        <v>26.0</v>
      </c>
      <c r="Q7" s="36">
        <v>0.35</v>
      </c>
      <c r="R7" s="36">
        <v>1.13</v>
      </c>
      <c r="S7" s="36">
        <v>2.08</v>
      </c>
      <c r="T7" s="36">
        <v>3.21</v>
      </c>
      <c r="U7" s="21">
        <f t="shared" si="1"/>
        <v>32100</v>
      </c>
      <c r="V7" s="21">
        <f t="shared" si="2"/>
        <v>10000</v>
      </c>
    </row>
    <row r="8" ht="14.25" customHeight="1">
      <c r="A8" s="38">
        <v>0.09097222222222222</v>
      </c>
      <c r="B8" s="36">
        <v>0.0</v>
      </c>
      <c r="C8" s="36">
        <v>9.0</v>
      </c>
      <c r="D8" s="36">
        <v>783.0</v>
      </c>
      <c r="E8" s="36">
        <v>770.0</v>
      </c>
      <c r="F8" s="36">
        <v>0.98</v>
      </c>
      <c r="G8" s="36">
        <v>19.0</v>
      </c>
      <c r="H8" s="36">
        <v>1.18</v>
      </c>
      <c r="I8" s="36">
        <v>22.1</v>
      </c>
      <c r="J8" s="36">
        <v>86.2</v>
      </c>
      <c r="K8" s="36">
        <v>84.0</v>
      </c>
      <c r="L8" s="36">
        <v>48.9</v>
      </c>
      <c r="M8" s="36">
        <v>105.0</v>
      </c>
      <c r="N8" s="36">
        <v>42.0</v>
      </c>
      <c r="O8" s="36">
        <v>19.0</v>
      </c>
      <c r="P8" s="36">
        <v>25.0</v>
      </c>
      <c r="Q8" s="36">
        <v>0.35</v>
      </c>
      <c r="R8" s="36">
        <v>1.13</v>
      </c>
      <c r="S8" s="36">
        <v>2.07</v>
      </c>
      <c r="T8" s="36">
        <v>3.2</v>
      </c>
      <c r="U8" s="21">
        <f t="shared" si="1"/>
        <v>32000</v>
      </c>
      <c r="V8" s="21">
        <f t="shared" si="2"/>
        <v>0</v>
      </c>
    </row>
    <row r="9" ht="14.25" customHeight="1">
      <c r="A9" s="38">
        <v>0.09305555555555556</v>
      </c>
      <c r="B9" s="36">
        <v>0.0</v>
      </c>
      <c r="C9" s="36">
        <v>9.0</v>
      </c>
      <c r="D9" s="36">
        <v>782.0</v>
      </c>
      <c r="E9" s="36">
        <v>778.0</v>
      </c>
      <c r="F9" s="36">
        <v>0.99</v>
      </c>
      <c r="G9" s="36">
        <v>19.0</v>
      </c>
      <c r="H9" s="36">
        <v>1.18</v>
      </c>
      <c r="I9" s="36">
        <v>22.2</v>
      </c>
      <c r="J9" s="36">
        <v>86.1</v>
      </c>
      <c r="K9" s="36">
        <v>84.0</v>
      </c>
      <c r="L9" s="36">
        <v>49.1</v>
      </c>
      <c r="M9" s="36">
        <v>105.0</v>
      </c>
      <c r="N9" s="36">
        <v>42.0</v>
      </c>
      <c r="O9" s="36">
        <v>19.0</v>
      </c>
      <c r="P9" s="36">
        <v>25.0</v>
      </c>
      <c r="Q9" s="36">
        <v>0.36</v>
      </c>
      <c r="R9" s="36">
        <v>1.15</v>
      </c>
      <c r="S9" s="36">
        <v>2.05</v>
      </c>
      <c r="T9" s="36">
        <v>3.2</v>
      </c>
      <c r="U9" s="21">
        <f t="shared" si="1"/>
        <v>32000</v>
      </c>
      <c r="V9" s="21">
        <f t="shared" si="2"/>
        <v>490000</v>
      </c>
    </row>
    <row r="10" ht="14.25" customHeight="1">
      <c r="A10" s="38">
        <v>0.09513888888888888</v>
      </c>
      <c r="B10" s="36">
        <v>1.0</v>
      </c>
      <c r="C10" s="36">
        <v>9.3</v>
      </c>
      <c r="D10" s="36">
        <v>808.0</v>
      </c>
      <c r="E10" s="36">
        <v>808.0</v>
      </c>
      <c r="F10" s="36">
        <v>1.0</v>
      </c>
      <c r="G10" s="36">
        <v>19.0</v>
      </c>
      <c r="H10" s="36">
        <v>1.2</v>
      </c>
      <c r="I10" s="36">
        <v>22.9</v>
      </c>
      <c r="J10" s="36">
        <v>85.6</v>
      </c>
      <c r="K10" s="36">
        <v>84.0</v>
      </c>
      <c r="L10" s="36">
        <v>48.9</v>
      </c>
      <c r="M10" s="36">
        <v>104.0</v>
      </c>
      <c r="N10" s="36">
        <v>42.0</v>
      </c>
      <c r="O10" s="36">
        <v>19.0</v>
      </c>
      <c r="P10" s="36">
        <v>26.0</v>
      </c>
      <c r="Q10" s="36">
        <v>0.35</v>
      </c>
      <c r="R10" s="36">
        <v>1.09</v>
      </c>
      <c r="S10" s="36">
        <v>2.04</v>
      </c>
      <c r="T10" s="36">
        <v>3.13</v>
      </c>
      <c r="U10" s="21">
        <f t="shared" si="1"/>
        <v>31300</v>
      </c>
      <c r="V10" s="21">
        <f t="shared" si="2"/>
        <v>1690000</v>
      </c>
    </row>
    <row r="11" ht="14.25" customHeight="1">
      <c r="A11" s="38">
        <v>0.09722222222222222</v>
      </c>
      <c r="B11" s="36">
        <v>3.0</v>
      </c>
      <c r="C11" s="36">
        <v>9.4</v>
      </c>
      <c r="D11" s="36">
        <v>821.0</v>
      </c>
      <c r="E11" s="36">
        <v>814.0</v>
      </c>
      <c r="F11" s="36">
        <v>0.99</v>
      </c>
      <c r="G11" s="36">
        <v>20.0</v>
      </c>
      <c r="H11" s="36">
        <v>1.15</v>
      </c>
      <c r="I11" s="36">
        <v>23.0</v>
      </c>
      <c r="J11" s="36">
        <v>85.6</v>
      </c>
      <c r="K11" s="36">
        <v>85.0</v>
      </c>
      <c r="L11" s="36">
        <v>48.3</v>
      </c>
      <c r="M11" s="36">
        <v>104.0</v>
      </c>
      <c r="N11" s="36">
        <v>42.0</v>
      </c>
      <c r="O11" s="36">
        <v>20.0</v>
      </c>
      <c r="P11" s="36">
        <v>26.0</v>
      </c>
      <c r="Q11" s="36">
        <v>0.34</v>
      </c>
      <c r="R11" s="36">
        <v>1.03</v>
      </c>
      <c r="S11" s="36">
        <v>1.97</v>
      </c>
      <c r="T11" s="36">
        <v>3.0</v>
      </c>
      <c r="U11" s="21">
        <f t="shared" si="1"/>
        <v>30000</v>
      </c>
      <c r="V11" s="21">
        <f t="shared" si="2"/>
        <v>6250000</v>
      </c>
    </row>
    <row r="12" ht="14.25" customHeight="1">
      <c r="A12" s="38">
        <v>0.09861111111111111</v>
      </c>
      <c r="B12" s="36">
        <v>4.0</v>
      </c>
      <c r="C12" s="36">
        <v>9.1</v>
      </c>
      <c r="D12" s="36">
        <v>796.0</v>
      </c>
      <c r="E12" s="36">
        <v>777.0</v>
      </c>
      <c r="F12" s="36">
        <v>0.98</v>
      </c>
      <c r="G12" s="36">
        <v>22.0</v>
      </c>
      <c r="H12" s="36">
        <v>1.02</v>
      </c>
      <c r="I12" s="36">
        <v>22.3</v>
      </c>
      <c r="J12" s="36">
        <v>86.0</v>
      </c>
      <c r="K12" s="36">
        <v>86.0</v>
      </c>
      <c r="L12" s="36">
        <v>48.0</v>
      </c>
      <c r="M12" s="36">
        <v>104.0</v>
      </c>
      <c r="N12" s="36">
        <v>42.0</v>
      </c>
      <c r="O12" s="36">
        <v>22.0</v>
      </c>
      <c r="P12" s="36">
        <v>26.0</v>
      </c>
      <c r="Q12" s="36">
        <v>0.31</v>
      </c>
      <c r="R12" s="36">
        <v>0.86</v>
      </c>
      <c r="S12" s="36">
        <v>1.88</v>
      </c>
      <c r="T12" s="36">
        <v>2.75</v>
      </c>
      <c r="U12" s="21">
        <f t="shared" si="1"/>
        <v>27500</v>
      </c>
      <c r="V12" s="21">
        <f t="shared" si="2"/>
        <v>0</v>
      </c>
    </row>
    <row r="13" ht="14.25" customHeight="1">
      <c r="A13" s="38">
        <v>0.10138888888888889</v>
      </c>
      <c r="B13" s="36">
        <v>6.0</v>
      </c>
      <c r="C13" s="36">
        <v>9.1</v>
      </c>
      <c r="D13" s="36">
        <v>796.0</v>
      </c>
      <c r="E13" s="36">
        <v>777.0</v>
      </c>
      <c r="F13" s="36">
        <v>0.98</v>
      </c>
      <c r="G13" s="36">
        <v>22.0</v>
      </c>
      <c r="H13" s="36">
        <v>1.02</v>
      </c>
      <c r="I13" s="36">
        <v>22.3</v>
      </c>
      <c r="J13" s="36">
        <v>86.0</v>
      </c>
      <c r="K13" s="36">
        <v>86.0</v>
      </c>
      <c r="L13" s="36">
        <v>47.8</v>
      </c>
      <c r="M13" s="36">
        <v>104.0</v>
      </c>
      <c r="N13" s="36">
        <v>42.0</v>
      </c>
      <c r="O13" s="36">
        <v>22.0</v>
      </c>
      <c r="P13" s="36">
        <v>26.0</v>
      </c>
      <c r="Q13" s="36">
        <v>0.31</v>
      </c>
      <c r="R13" s="36">
        <v>0.86</v>
      </c>
      <c r="S13" s="36">
        <v>1.88</v>
      </c>
      <c r="T13" s="36">
        <v>2.75</v>
      </c>
      <c r="U13" s="21">
        <f t="shared" si="1"/>
        <v>27500</v>
      </c>
      <c r="V13" s="21">
        <f t="shared" si="2"/>
        <v>810000</v>
      </c>
    </row>
    <row r="14" ht="14.25" customHeight="1">
      <c r="A14" s="38">
        <v>0.10347222222222222</v>
      </c>
      <c r="B14" s="36">
        <v>7.0</v>
      </c>
      <c r="C14" s="36">
        <v>9.1</v>
      </c>
      <c r="D14" s="36">
        <v>788.0</v>
      </c>
      <c r="E14" s="36">
        <v>755.0</v>
      </c>
      <c r="F14" s="36">
        <v>0.96</v>
      </c>
      <c r="G14" s="36">
        <v>21.0</v>
      </c>
      <c r="H14" s="36">
        <v>1.02</v>
      </c>
      <c r="I14" s="36">
        <v>21.5</v>
      </c>
      <c r="J14" s="36">
        <v>86.5</v>
      </c>
      <c r="K14" s="36">
        <v>87.0</v>
      </c>
      <c r="L14" s="36">
        <v>47.5</v>
      </c>
      <c r="M14" s="36">
        <v>103.0</v>
      </c>
      <c r="N14" s="36">
        <v>43.0</v>
      </c>
      <c r="O14" s="36">
        <v>21.0</v>
      </c>
      <c r="P14" s="36">
        <v>25.0</v>
      </c>
      <c r="Q14" s="36">
        <v>0.32</v>
      </c>
      <c r="R14" s="36">
        <v>0.9</v>
      </c>
      <c r="S14" s="36">
        <v>1.95</v>
      </c>
      <c r="T14" s="36">
        <v>2.84</v>
      </c>
      <c r="U14" s="21">
        <f t="shared" si="1"/>
        <v>28400</v>
      </c>
      <c r="V14" s="21">
        <f t="shared" si="2"/>
        <v>360000</v>
      </c>
    </row>
    <row r="15" ht="14.25" customHeight="1">
      <c r="A15" s="38">
        <v>0.10555555555555556</v>
      </c>
      <c r="B15" s="36">
        <v>9.0</v>
      </c>
      <c r="C15" s="36">
        <v>9.6</v>
      </c>
      <c r="D15" s="36">
        <v>833.0</v>
      </c>
      <c r="E15" s="36">
        <v>791.0</v>
      </c>
      <c r="F15" s="36">
        <v>0.95</v>
      </c>
      <c r="G15" s="36">
        <v>21.0</v>
      </c>
      <c r="H15" s="36">
        <v>1.07</v>
      </c>
      <c r="I15" s="36">
        <v>22.1</v>
      </c>
      <c r="J15" s="36">
        <v>86.2</v>
      </c>
      <c r="K15" s="36">
        <v>87.0</v>
      </c>
      <c r="L15" s="36">
        <v>47.5</v>
      </c>
      <c r="M15" s="36">
        <v>102.0</v>
      </c>
      <c r="N15" s="36">
        <v>43.0</v>
      </c>
      <c r="O15" s="36">
        <v>21.0</v>
      </c>
      <c r="P15" s="36">
        <v>27.0</v>
      </c>
      <c r="Q15" s="36">
        <v>0.31</v>
      </c>
      <c r="R15" s="36">
        <v>0.9</v>
      </c>
      <c r="S15" s="36">
        <v>2.0</v>
      </c>
      <c r="T15" s="36">
        <v>2.9</v>
      </c>
      <c r="U15" s="21">
        <f t="shared" si="1"/>
        <v>29000</v>
      </c>
      <c r="V15" s="21">
        <f t="shared" si="2"/>
        <v>90000</v>
      </c>
    </row>
    <row r="16" ht="14.25" customHeight="1">
      <c r="A16" s="38">
        <v>0.10833333333333334</v>
      </c>
      <c r="B16" s="36">
        <v>10.0</v>
      </c>
      <c r="C16" s="36">
        <v>10.0</v>
      </c>
      <c r="D16" s="36">
        <v>867.0</v>
      </c>
      <c r="E16" s="36">
        <v>815.0</v>
      </c>
      <c r="F16" s="36">
        <v>0.94</v>
      </c>
      <c r="G16" s="36">
        <v>20.0</v>
      </c>
      <c r="H16" s="36">
        <v>1.1</v>
      </c>
      <c r="I16" s="36">
        <v>22.4</v>
      </c>
      <c r="J16" s="36">
        <v>85.9</v>
      </c>
      <c r="K16" s="36">
        <v>86.0</v>
      </c>
      <c r="L16" s="36">
        <v>48.0</v>
      </c>
      <c r="M16" s="36">
        <v>101.0</v>
      </c>
      <c r="N16" s="36">
        <v>43.0</v>
      </c>
      <c r="O16" s="36">
        <v>20.0</v>
      </c>
      <c r="P16" s="36">
        <v>28.0</v>
      </c>
      <c r="Q16" s="36">
        <v>0.31</v>
      </c>
      <c r="R16" s="36">
        <v>0.9</v>
      </c>
      <c r="S16" s="36">
        <v>2.03</v>
      </c>
      <c r="T16" s="36">
        <v>2.93</v>
      </c>
      <c r="U16" s="21">
        <f t="shared" si="1"/>
        <v>29300</v>
      </c>
      <c r="V16" s="21">
        <f t="shared" si="2"/>
        <v>490000</v>
      </c>
    </row>
    <row r="17" ht="14.25" customHeight="1">
      <c r="A17" s="38">
        <v>0.10972222222222222</v>
      </c>
      <c r="B17" s="36">
        <v>12.0</v>
      </c>
      <c r="C17" s="36">
        <v>9.8</v>
      </c>
      <c r="D17" s="36">
        <v>852.0</v>
      </c>
      <c r="E17" s="36">
        <v>799.0</v>
      </c>
      <c r="F17" s="36">
        <v>0.94</v>
      </c>
      <c r="G17" s="36">
        <v>21.0</v>
      </c>
      <c r="H17" s="36">
        <v>1.06</v>
      </c>
      <c r="I17" s="36">
        <v>22.3</v>
      </c>
      <c r="J17" s="36">
        <v>86.1</v>
      </c>
      <c r="K17" s="36">
        <v>86.0</v>
      </c>
      <c r="L17" s="36">
        <v>47.7</v>
      </c>
      <c r="M17" s="36">
        <v>101.0</v>
      </c>
      <c r="N17" s="36">
        <v>43.0</v>
      </c>
      <c r="O17" s="36">
        <v>21.0</v>
      </c>
      <c r="P17" s="36">
        <v>27.0</v>
      </c>
      <c r="Q17" s="36">
        <v>0.31</v>
      </c>
      <c r="R17" s="36">
        <v>0.9</v>
      </c>
      <c r="S17" s="36">
        <v>1.96</v>
      </c>
      <c r="T17" s="36">
        <v>2.86</v>
      </c>
      <c r="U17" s="21">
        <f t="shared" si="1"/>
        <v>28600</v>
      </c>
      <c r="V17" s="21">
        <f t="shared" si="2"/>
        <v>1690000</v>
      </c>
    </row>
    <row r="18" ht="14.25" customHeight="1">
      <c r="A18" s="38">
        <v>0.1125</v>
      </c>
      <c r="B18" s="36">
        <v>13.0</v>
      </c>
      <c r="C18" s="36">
        <v>10.3</v>
      </c>
      <c r="D18" s="36">
        <v>896.0</v>
      </c>
      <c r="E18" s="36">
        <v>842.0</v>
      </c>
      <c r="F18" s="36">
        <v>0.94</v>
      </c>
      <c r="G18" s="36">
        <v>20.0</v>
      </c>
      <c r="H18" s="36">
        <v>1.15</v>
      </c>
      <c r="I18" s="36">
        <v>23.1</v>
      </c>
      <c r="J18" s="36">
        <v>85.5</v>
      </c>
      <c r="K18" s="36">
        <v>86.0</v>
      </c>
      <c r="L18" s="36">
        <v>47.9</v>
      </c>
      <c r="M18" s="36">
        <v>100.0</v>
      </c>
      <c r="N18" s="36">
        <v>44.0</v>
      </c>
      <c r="O18" s="36">
        <v>20.0</v>
      </c>
      <c r="P18" s="36">
        <v>29.0</v>
      </c>
      <c r="Q18" s="36">
        <v>0.31</v>
      </c>
      <c r="R18" s="36">
        <v>0.92</v>
      </c>
      <c r="S18" s="36">
        <v>2.07</v>
      </c>
      <c r="T18" s="36">
        <v>2.99</v>
      </c>
      <c r="U18" s="21">
        <f t="shared" si="1"/>
        <v>29900</v>
      </c>
      <c r="V18" s="21">
        <f t="shared" si="2"/>
        <v>4000000</v>
      </c>
    </row>
    <row r="19" ht="14.25" customHeight="1">
      <c r="A19" s="38">
        <v>0.11527777777777778</v>
      </c>
      <c r="B19" s="36">
        <v>15.0</v>
      </c>
      <c r="C19" s="36">
        <v>10.8</v>
      </c>
      <c r="D19" s="36">
        <v>942.0</v>
      </c>
      <c r="E19" s="36">
        <v>904.0</v>
      </c>
      <c r="F19" s="36">
        <v>0.96</v>
      </c>
      <c r="G19" s="36">
        <v>19.0</v>
      </c>
      <c r="H19" s="36">
        <v>1.31</v>
      </c>
      <c r="I19" s="36">
        <v>24.5</v>
      </c>
      <c r="J19" s="36">
        <v>84.6</v>
      </c>
      <c r="K19" s="36">
        <v>86.0</v>
      </c>
      <c r="L19" s="36">
        <v>47.8</v>
      </c>
      <c r="M19" s="36">
        <v>101.0</v>
      </c>
      <c r="N19" s="36">
        <v>43.0</v>
      </c>
      <c r="O19" s="36">
        <v>19.0</v>
      </c>
      <c r="P19" s="36">
        <v>30.0</v>
      </c>
      <c r="Q19" s="36">
        <v>0.33</v>
      </c>
      <c r="R19" s="36">
        <v>1.06</v>
      </c>
      <c r="S19" s="36">
        <v>2.14</v>
      </c>
      <c r="T19" s="36">
        <v>3.19</v>
      </c>
      <c r="U19" s="21">
        <f t="shared" si="1"/>
        <v>31900</v>
      </c>
      <c r="V19" s="21">
        <f t="shared" si="2"/>
        <v>10000</v>
      </c>
    </row>
    <row r="20" ht="14.25" customHeight="1">
      <c r="A20" s="38">
        <v>0.11736111111111111</v>
      </c>
      <c r="B20" s="36">
        <v>17.0</v>
      </c>
      <c r="C20" s="36">
        <v>11.1</v>
      </c>
      <c r="D20" s="36">
        <v>963.0</v>
      </c>
      <c r="E20" s="36">
        <v>942.0</v>
      </c>
      <c r="F20" s="36">
        <v>0.98</v>
      </c>
      <c r="G20" s="36">
        <v>19.0</v>
      </c>
      <c r="H20" s="36">
        <v>1.38</v>
      </c>
      <c r="I20" s="36">
        <v>25.8</v>
      </c>
      <c r="J20" s="36">
        <v>83.8</v>
      </c>
      <c r="K20" s="36">
        <v>86.0</v>
      </c>
      <c r="L20" s="36">
        <v>47.7</v>
      </c>
      <c r="M20" s="36">
        <v>101.0</v>
      </c>
      <c r="N20" s="36">
        <v>43.0</v>
      </c>
      <c r="O20" s="36">
        <v>19.0</v>
      </c>
      <c r="P20" s="36">
        <v>31.0</v>
      </c>
      <c r="Q20" s="36">
        <v>0.33</v>
      </c>
      <c r="R20" s="36">
        <v>1.06</v>
      </c>
      <c r="S20" s="36">
        <v>2.14</v>
      </c>
      <c r="T20" s="36">
        <v>3.2</v>
      </c>
      <c r="U20" s="21">
        <f t="shared" si="1"/>
        <v>32000</v>
      </c>
      <c r="V20" s="21">
        <f t="shared" si="2"/>
        <v>160000</v>
      </c>
    </row>
    <row r="21" ht="14.25" customHeight="1">
      <c r="A21" s="38">
        <v>0.11944444444444445</v>
      </c>
      <c r="B21" s="36">
        <v>19.0</v>
      </c>
      <c r="C21" s="36">
        <v>11.2</v>
      </c>
      <c r="D21" s="36">
        <v>974.0</v>
      </c>
      <c r="E21" s="36">
        <v>962.0</v>
      </c>
      <c r="F21" s="36">
        <v>0.99</v>
      </c>
      <c r="G21" s="36">
        <v>19.0</v>
      </c>
      <c r="H21" s="36">
        <v>1.39</v>
      </c>
      <c r="I21" s="36">
        <v>26.4</v>
      </c>
      <c r="J21" s="36">
        <v>83.5</v>
      </c>
      <c r="K21" s="36">
        <v>86.0</v>
      </c>
      <c r="L21" s="36">
        <v>48.1</v>
      </c>
      <c r="M21" s="36">
        <v>102.0</v>
      </c>
      <c r="N21" s="36">
        <v>43.0</v>
      </c>
      <c r="O21" s="36">
        <v>19.0</v>
      </c>
      <c r="P21" s="36">
        <v>31.0</v>
      </c>
      <c r="Q21" s="36">
        <v>0.32</v>
      </c>
      <c r="R21" s="36">
        <v>1.02</v>
      </c>
      <c r="S21" s="36">
        <v>2.14</v>
      </c>
      <c r="T21" s="36">
        <v>3.16</v>
      </c>
      <c r="U21" s="21">
        <f t="shared" si="1"/>
        <v>31600</v>
      </c>
      <c r="V21" s="21">
        <f t="shared" si="2"/>
        <v>0</v>
      </c>
    </row>
    <row r="22" ht="14.25" customHeight="1">
      <c r="A22" s="38">
        <v>0.12152777777777778</v>
      </c>
      <c r="B22" s="36">
        <v>20.0</v>
      </c>
      <c r="C22" s="36">
        <v>11.2</v>
      </c>
      <c r="D22" s="36">
        <v>975.0</v>
      </c>
      <c r="E22" s="36">
        <v>962.0</v>
      </c>
      <c r="F22" s="36">
        <v>0.99</v>
      </c>
      <c r="G22" s="36">
        <v>19.0</v>
      </c>
      <c r="H22" s="36">
        <v>1.39</v>
      </c>
      <c r="I22" s="36">
        <v>26.4</v>
      </c>
      <c r="J22" s="36">
        <v>83.5</v>
      </c>
      <c r="K22" s="36">
        <v>85.0</v>
      </c>
      <c r="L22" s="36">
        <v>48.3</v>
      </c>
      <c r="M22" s="36">
        <v>102.0</v>
      </c>
      <c r="N22" s="36">
        <v>43.0</v>
      </c>
      <c r="O22" s="36">
        <v>19.0</v>
      </c>
      <c r="P22" s="36">
        <v>31.0</v>
      </c>
      <c r="Q22" s="36">
        <v>0.32</v>
      </c>
      <c r="R22" s="36">
        <v>1.02</v>
      </c>
      <c r="S22" s="36">
        <v>2.14</v>
      </c>
      <c r="T22" s="36">
        <v>3.16</v>
      </c>
      <c r="U22" s="21">
        <f t="shared" si="1"/>
        <v>31600</v>
      </c>
      <c r="V22" s="21">
        <f t="shared" si="2"/>
        <v>40000</v>
      </c>
    </row>
    <row r="23" ht="14.25" customHeight="1">
      <c r="A23" s="38">
        <v>0.12361111111111112</v>
      </c>
      <c r="B23" s="36">
        <v>22.0</v>
      </c>
      <c r="C23" s="36">
        <v>10.4</v>
      </c>
      <c r="D23" s="36">
        <v>903.0</v>
      </c>
      <c r="E23" s="36">
        <v>961.0</v>
      </c>
      <c r="F23" s="36">
        <v>1.06</v>
      </c>
      <c r="G23" s="36">
        <v>19.0</v>
      </c>
      <c r="H23" s="36">
        <v>1.39</v>
      </c>
      <c r="I23" s="36">
        <v>26.3</v>
      </c>
      <c r="J23" s="36">
        <v>83.5</v>
      </c>
      <c r="K23" s="36">
        <v>86.0</v>
      </c>
      <c r="L23" s="36">
        <v>47.8</v>
      </c>
      <c r="M23" s="36">
        <v>103.0</v>
      </c>
      <c r="N23" s="36">
        <v>43.0</v>
      </c>
      <c r="O23" s="36">
        <v>19.0</v>
      </c>
      <c r="P23" s="36">
        <v>29.0</v>
      </c>
      <c r="Q23" s="36">
        <v>0.33</v>
      </c>
      <c r="R23" s="36">
        <v>1.06</v>
      </c>
      <c r="S23" s="36">
        <v>2.12</v>
      </c>
      <c r="T23" s="36">
        <v>3.18</v>
      </c>
      <c r="U23" s="21">
        <f t="shared" si="1"/>
        <v>31800</v>
      </c>
      <c r="V23" s="21">
        <f t="shared" si="2"/>
        <v>1000000</v>
      </c>
    </row>
    <row r="24" ht="14.25" customHeight="1">
      <c r="A24" s="38">
        <v>0.12638888888888888</v>
      </c>
      <c r="B24" s="36">
        <v>24.0</v>
      </c>
      <c r="C24" s="36">
        <v>10.4</v>
      </c>
      <c r="D24" s="36">
        <v>902.0</v>
      </c>
      <c r="E24" s="36">
        <v>965.0</v>
      </c>
      <c r="F24" s="36">
        <v>1.07</v>
      </c>
      <c r="G24" s="36">
        <v>18.0</v>
      </c>
      <c r="H24" s="36">
        <v>1.44</v>
      </c>
      <c r="I24" s="36">
        <v>26.3</v>
      </c>
      <c r="J24" s="36">
        <v>83.5</v>
      </c>
      <c r="K24" s="36">
        <v>86.0</v>
      </c>
      <c r="L24" s="36">
        <v>47.6</v>
      </c>
      <c r="M24" s="36">
        <v>103.0</v>
      </c>
      <c r="N24" s="36">
        <v>43.0</v>
      </c>
      <c r="O24" s="36">
        <v>18.0</v>
      </c>
      <c r="P24" s="36">
        <v>29.0</v>
      </c>
      <c r="Q24" s="36">
        <v>0.33</v>
      </c>
      <c r="R24" s="36">
        <v>1.08</v>
      </c>
      <c r="S24" s="36">
        <v>2.2</v>
      </c>
      <c r="T24" s="36">
        <v>3.28</v>
      </c>
      <c r="U24" s="21">
        <f t="shared" si="1"/>
        <v>32800</v>
      </c>
      <c r="V24" s="21">
        <f t="shared" si="2"/>
        <v>1960000</v>
      </c>
    </row>
    <row r="25" ht="14.25" customHeight="1">
      <c r="A25" s="38">
        <v>0.12916666666666668</v>
      </c>
      <c r="B25" s="36">
        <v>25.0</v>
      </c>
      <c r="C25" s="36">
        <v>10.0</v>
      </c>
      <c r="D25" s="36">
        <v>869.0</v>
      </c>
      <c r="E25" s="36">
        <v>930.0</v>
      </c>
      <c r="F25" s="36">
        <v>1.07</v>
      </c>
      <c r="G25" s="36">
        <v>18.0</v>
      </c>
      <c r="H25" s="36">
        <v>1.43</v>
      </c>
      <c r="I25" s="36">
        <v>25.2</v>
      </c>
      <c r="J25" s="36">
        <v>84.2</v>
      </c>
      <c r="K25" s="36">
        <v>86.0</v>
      </c>
      <c r="L25" s="36">
        <v>47.6</v>
      </c>
      <c r="M25" s="36">
        <v>103.0</v>
      </c>
      <c r="N25" s="36">
        <v>43.0</v>
      </c>
      <c r="O25" s="36">
        <v>18.0</v>
      </c>
      <c r="P25" s="36">
        <v>28.0</v>
      </c>
      <c r="Q25" s="36">
        <v>0.35</v>
      </c>
      <c r="R25" s="36">
        <v>1.21</v>
      </c>
      <c r="S25" s="36">
        <v>2.21</v>
      </c>
      <c r="T25" s="36">
        <v>3.42</v>
      </c>
      <c r="U25" s="21">
        <f t="shared" si="1"/>
        <v>34200</v>
      </c>
      <c r="V25" s="21">
        <f t="shared" si="2"/>
        <v>10000</v>
      </c>
    </row>
    <row r="26" ht="14.25" customHeight="1">
      <c r="A26" s="38">
        <v>0.13125</v>
      </c>
      <c r="B26" s="36">
        <v>28.0</v>
      </c>
      <c r="C26" s="36">
        <v>10.0</v>
      </c>
      <c r="D26" s="36">
        <v>873.0</v>
      </c>
      <c r="E26" s="36">
        <v>923.0</v>
      </c>
      <c r="F26" s="36">
        <v>1.06</v>
      </c>
      <c r="G26" s="36">
        <v>18.0</v>
      </c>
      <c r="H26" s="36">
        <v>1.41</v>
      </c>
      <c r="I26" s="36">
        <v>24.7</v>
      </c>
      <c r="J26" s="36">
        <v>84.5</v>
      </c>
      <c r="K26" s="36">
        <v>86.0</v>
      </c>
      <c r="L26" s="36">
        <v>47.7</v>
      </c>
      <c r="M26" s="36">
        <v>102.0</v>
      </c>
      <c r="N26" s="36">
        <v>43.0</v>
      </c>
      <c r="O26" s="36">
        <v>18.0</v>
      </c>
      <c r="P26" s="36">
        <v>28.0</v>
      </c>
      <c r="Q26" s="36">
        <v>0.35</v>
      </c>
      <c r="R26" s="36">
        <v>1.21</v>
      </c>
      <c r="S26" s="36">
        <v>2.22</v>
      </c>
      <c r="T26" s="36">
        <v>3.43</v>
      </c>
      <c r="U26" s="21">
        <f t="shared" si="1"/>
        <v>34300</v>
      </c>
      <c r="V26" s="21">
        <f t="shared" si="2"/>
        <v>0</v>
      </c>
    </row>
    <row r="27" ht="14.25" customHeight="1">
      <c r="A27" s="38">
        <v>0.13402777777777777</v>
      </c>
      <c r="B27" s="36">
        <v>29.0</v>
      </c>
      <c r="C27" s="36">
        <v>9.8</v>
      </c>
      <c r="D27" s="36">
        <v>850.0</v>
      </c>
      <c r="E27" s="36">
        <v>904.0</v>
      </c>
      <c r="F27" s="36">
        <v>1.06</v>
      </c>
      <c r="G27" s="36">
        <v>17.0</v>
      </c>
      <c r="H27" s="36">
        <v>1.39</v>
      </c>
      <c r="I27" s="36">
        <v>24.3</v>
      </c>
      <c r="J27" s="36">
        <v>84.8</v>
      </c>
      <c r="K27" s="36">
        <v>86.0</v>
      </c>
      <c r="L27" s="36">
        <v>47.8</v>
      </c>
      <c r="M27" s="36">
        <v>103.0</v>
      </c>
      <c r="N27" s="36">
        <v>43.0</v>
      </c>
      <c r="O27" s="36">
        <v>17.0</v>
      </c>
      <c r="P27" s="36">
        <v>27.0</v>
      </c>
      <c r="Q27" s="36">
        <v>0.35</v>
      </c>
      <c r="R27" s="36">
        <v>1.2</v>
      </c>
      <c r="S27" s="36">
        <v>2.23</v>
      </c>
      <c r="T27" s="36">
        <v>3.43</v>
      </c>
      <c r="U27" s="21">
        <f t="shared" si="1"/>
        <v>34300</v>
      </c>
      <c r="V27" s="21">
        <f t="shared" si="2"/>
        <v>640000</v>
      </c>
    </row>
    <row r="28" ht="14.25" customHeight="1">
      <c r="A28" s="38">
        <v>0.1361111111111111</v>
      </c>
      <c r="B28" s="36">
        <v>31.0</v>
      </c>
      <c r="C28" s="36">
        <v>9.7</v>
      </c>
      <c r="D28" s="36">
        <v>840.0</v>
      </c>
      <c r="E28" s="36">
        <v>894.0</v>
      </c>
      <c r="F28" s="36">
        <v>1.06</v>
      </c>
      <c r="G28" s="36">
        <v>17.0</v>
      </c>
      <c r="H28" s="36">
        <v>1.4</v>
      </c>
      <c r="I28" s="36">
        <v>23.8</v>
      </c>
      <c r="J28" s="36">
        <v>85.1</v>
      </c>
      <c r="K28" s="36">
        <v>86.0</v>
      </c>
      <c r="L28" s="36">
        <v>47.9</v>
      </c>
      <c r="M28" s="36">
        <v>102.0</v>
      </c>
      <c r="N28" s="36">
        <v>43.0</v>
      </c>
      <c r="O28" s="36">
        <v>17.0</v>
      </c>
      <c r="P28" s="36">
        <v>27.0</v>
      </c>
      <c r="Q28" s="36">
        <v>0.36</v>
      </c>
      <c r="R28" s="36">
        <v>1.26</v>
      </c>
      <c r="S28" s="36">
        <v>2.25</v>
      </c>
      <c r="T28" s="36">
        <v>3.51</v>
      </c>
      <c r="U28" s="21">
        <f t="shared" si="1"/>
        <v>35100</v>
      </c>
      <c r="V28" s="21">
        <f t="shared" si="2"/>
        <v>40000</v>
      </c>
    </row>
    <row r="29" ht="14.25" customHeight="1">
      <c r="A29" s="38">
        <v>0.1388888888888889</v>
      </c>
      <c r="B29" s="36">
        <v>33.0</v>
      </c>
      <c r="C29" s="36">
        <v>10.1</v>
      </c>
      <c r="D29" s="36">
        <v>877.0</v>
      </c>
      <c r="E29" s="36">
        <v>867.0</v>
      </c>
      <c r="F29" s="36">
        <v>0.99</v>
      </c>
      <c r="G29" s="36">
        <v>17.0</v>
      </c>
      <c r="H29" s="36">
        <v>1.37</v>
      </c>
      <c r="I29" s="36">
        <v>23.4</v>
      </c>
      <c r="J29" s="36">
        <v>85.4</v>
      </c>
      <c r="K29" s="36">
        <v>86.0</v>
      </c>
      <c r="L29" s="36">
        <v>48.0</v>
      </c>
      <c r="M29" s="36">
        <v>102.0</v>
      </c>
      <c r="N29" s="36">
        <v>43.0</v>
      </c>
      <c r="O29" s="36">
        <v>17.0</v>
      </c>
      <c r="P29" s="36">
        <v>28.0</v>
      </c>
      <c r="Q29" s="36">
        <v>0.35</v>
      </c>
      <c r="R29" s="36">
        <v>1.23</v>
      </c>
      <c r="S29" s="36">
        <v>2.3</v>
      </c>
      <c r="T29" s="36">
        <v>3.53</v>
      </c>
      <c r="U29" s="21">
        <f t="shared" si="1"/>
        <v>35300</v>
      </c>
      <c r="V29" s="21">
        <f t="shared" si="2"/>
        <v>810000</v>
      </c>
    </row>
    <row r="30" ht="14.25" customHeight="1">
      <c r="A30" s="38">
        <v>0.14097222222222222</v>
      </c>
      <c r="B30" s="36">
        <v>34.0</v>
      </c>
      <c r="C30" s="36">
        <v>10.2</v>
      </c>
      <c r="D30" s="36">
        <v>884.0</v>
      </c>
      <c r="E30" s="36">
        <v>865.0</v>
      </c>
      <c r="F30" s="36">
        <v>0.98</v>
      </c>
      <c r="G30" s="36">
        <v>17.0</v>
      </c>
      <c r="H30" s="36">
        <v>1.34</v>
      </c>
      <c r="I30" s="36">
        <v>23.5</v>
      </c>
      <c r="J30" s="36">
        <v>85.3</v>
      </c>
      <c r="K30" s="36">
        <v>85.0</v>
      </c>
      <c r="L30" s="36">
        <v>48.5</v>
      </c>
      <c r="M30" s="36">
        <v>102.0</v>
      </c>
      <c r="N30" s="36">
        <v>44.0</v>
      </c>
      <c r="O30" s="36">
        <v>17.0</v>
      </c>
      <c r="P30" s="36">
        <v>28.0</v>
      </c>
      <c r="Q30" s="36">
        <v>0.33</v>
      </c>
      <c r="R30" s="36">
        <v>1.12</v>
      </c>
      <c r="S30" s="36">
        <v>2.32</v>
      </c>
      <c r="T30" s="36">
        <v>3.44</v>
      </c>
      <c r="U30" s="21">
        <f t="shared" si="1"/>
        <v>34400</v>
      </c>
      <c r="V30" s="21">
        <f t="shared" si="2"/>
        <v>40000</v>
      </c>
    </row>
    <row r="31" ht="14.25" customHeight="1">
      <c r="A31" s="38">
        <v>0.14305555555555555</v>
      </c>
      <c r="B31" s="36">
        <v>36.0</v>
      </c>
      <c r="C31" s="36">
        <v>10.3</v>
      </c>
      <c r="D31" s="36">
        <v>898.0</v>
      </c>
      <c r="E31" s="36">
        <v>873.0</v>
      </c>
      <c r="F31" s="36">
        <v>0.97</v>
      </c>
      <c r="G31" s="36">
        <v>17.0</v>
      </c>
      <c r="H31" s="36">
        <v>1.36</v>
      </c>
      <c r="I31" s="36">
        <v>23.6</v>
      </c>
      <c r="J31" s="36">
        <v>85.2</v>
      </c>
      <c r="K31" s="36">
        <v>84.0</v>
      </c>
      <c r="L31" s="36">
        <v>49.0</v>
      </c>
      <c r="M31" s="36">
        <v>101.0</v>
      </c>
      <c r="N31" s="36">
        <v>44.0</v>
      </c>
      <c r="O31" s="36">
        <v>17.0</v>
      </c>
      <c r="P31" s="36">
        <v>29.0</v>
      </c>
      <c r="Q31" s="36">
        <v>0.32</v>
      </c>
      <c r="R31" s="36">
        <v>1.11</v>
      </c>
      <c r="S31" s="36">
        <v>2.35</v>
      </c>
      <c r="T31" s="36">
        <v>3.46</v>
      </c>
      <c r="U31" s="21">
        <f t="shared" si="1"/>
        <v>34600</v>
      </c>
      <c r="V31" s="21">
        <f t="shared" si="2"/>
        <v>1000000</v>
      </c>
    </row>
    <row r="32" ht="14.25" customHeight="1">
      <c r="A32" s="38">
        <v>0.1451388888888889</v>
      </c>
      <c r="B32" s="36">
        <v>37.0</v>
      </c>
      <c r="C32" s="36">
        <v>10.5</v>
      </c>
      <c r="D32" s="36">
        <v>914.0</v>
      </c>
      <c r="E32" s="36">
        <v>898.0</v>
      </c>
      <c r="F32" s="36">
        <v>0.98</v>
      </c>
      <c r="G32" s="36">
        <v>18.0</v>
      </c>
      <c r="H32" s="36">
        <v>1.37</v>
      </c>
      <c r="I32" s="36">
        <v>24.5</v>
      </c>
      <c r="J32" s="36">
        <v>84.7</v>
      </c>
      <c r="K32" s="36">
        <v>84.0</v>
      </c>
      <c r="L32" s="36">
        <v>49.2</v>
      </c>
      <c r="M32" s="36">
        <v>102.0</v>
      </c>
      <c r="N32" s="36">
        <v>43.0</v>
      </c>
      <c r="O32" s="36">
        <v>18.0</v>
      </c>
      <c r="P32" s="36">
        <v>29.0</v>
      </c>
      <c r="Q32" s="36">
        <v>0.33</v>
      </c>
      <c r="R32" s="36">
        <v>1.12</v>
      </c>
      <c r="S32" s="36">
        <v>2.24</v>
      </c>
      <c r="T32" s="36">
        <v>3.36</v>
      </c>
      <c r="U32" s="21">
        <f t="shared" si="1"/>
        <v>33600</v>
      </c>
      <c r="V32" s="21">
        <f t="shared" si="2"/>
        <v>10000</v>
      </c>
    </row>
    <row r="33" ht="14.25" customHeight="1">
      <c r="A33" s="38">
        <v>0.14722222222222223</v>
      </c>
      <c r="B33" s="36">
        <v>39.0</v>
      </c>
      <c r="C33" s="36">
        <v>10.2</v>
      </c>
      <c r="D33" s="36">
        <v>887.0</v>
      </c>
      <c r="E33" s="36">
        <v>868.0</v>
      </c>
      <c r="F33" s="36">
        <v>0.98</v>
      </c>
      <c r="G33" s="36">
        <v>18.0</v>
      </c>
      <c r="H33" s="36">
        <v>1.33</v>
      </c>
      <c r="I33" s="36">
        <v>23.7</v>
      </c>
      <c r="J33" s="36">
        <v>85.2</v>
      </c>
      <c r="K33" s="36">
        <v>83.0</v>
      </c>
      <c r="L33" s="36">
        <v>49.5</v>
      </c>
      <c r="M33" s="36">
        <v>102.0</v>
      </c>
      <c r="N33" s="36">
        <v>44.0</v>
      </c>
      <c r="O33" s="36">
        <v>18.0</v>
      </c>
      <c r="P33" s="36">
        <v>29.0</v>
      </c>
      <c r="Q33" s="36">
        <v>0.33</v>
      </c>
      <c r="R33" s="36">
        <v>1.13</v>
      </c>
      <c r="S33" s="36">
        <v>2.25</v>
      </c>
      <c r="T33" s="36">
        <v>3.37</v>
      </c>
      <c r="U33" s="21">
        <f t="shared" si="1"/>
        <v>33700</v>
      </c>
      <c r="V33" s="21">
        <f t="shared" si="2"/>
        <v>810000</v>
      </c>
    </row>
    <row r="34" ht="14.25" customHeight="1">
      <c r="A34" s="38">
        <v>0.14930555555555555</v>
      </c>
      <c r="B34" s="36">
        <v>40.0</v>
      </c>
      <c r="C34" s="36">
        <v>10.0</v>
      </c>
      <c r="D34" s="36">
        <v>873.0</v>
      </c>
      <c r="E34" s="36">
        <v>838.0</v>
      </c>
      <c r="F34" s="36">
        <v>0.96</v>
      </c>
      <c r="G34" s="36">
        <v>18.0</v>
      </c>
      <c r="H34" s="36">
        <v>1.25</v>
      </c>
      <c r="I34" s="36">
        <v>22.9</v>
      </c>
      <c r="J34" s="36">
        <v>85.6</v>
      </c>
      <c r="K34" s="36">
        <v>83.0</v>
      </c>
      <c r="L34" s="36">
        <v>49.5</v>
      </c>
      <c r="M34" s="36">
        <v>101.0</v>
      </c>
      <c r="N34" s="36">
        <v>43.0</v>
      </c>
      <c r="O34" s="36">
        <v>18.0</v>
      </c>
      <c r="P34" s="36">
        <v>28.0</v>
      </c>
      <c r="Q34" s="36">
        <v>0.34</v>
      </c>
      <c r="R34" s="36">
        <v>1.13</v>
      </c>
      <c r="S34" s="36">
        <v>2.15</v>
      </c>
      <c r="T34" s="36">
        <v>3.28</v>
      </c>
      <c r="U34" s="21">
        <f t="shared" si="1"/>
        <v>32800</v>
      </c>
      <c r="V34" s="21">
        <f t="shared" si="2"/>
        <v>250000</v>
      </c>
    </row>
    <row r="35" ht="14.25" customHeight="1">
      <c r="A35" s="38">
        <v>0.15138888888888888</v>
      </c>
      <c r="B35" s="36">
        <v>42.0</v>
      </c>
      <c r="C35" s="36">
        <v>9.6</v>
      </c>
      <c r="D35" s="36">
        <v>835.0</v>
      </c>
      <c r="E35" s="36">
        <v>821.0</v>
      </c>
      <c r="F35" s="36">
        <v>0.98</v>
      </c>
      <c r="G35" s="36">
        <v>19.0</v>
      </c>
      <c r="H35" s="36">
        <v>1.22</v>
      </c>
      <c r="I35" s="36">
        <v>22.6</v>
      </c>
      <c r="J35" s="36">
        <v>85.8</v>
      </c>
      <c r="K35" s="36">
        <v>83.0</v>
      </c>
      <c r="L35" s="36">
        <v>49.9</v>
      </c>
      <c r="M35" s="36">
        <v>101.0</v>
      </c>
      <c r="N35" s="36">
        <v>43.0</v>
      </c>
      <c r="O35" s="36">
        <v>19.0</v>
      </c>
      <c r="P35" s="36">
        <v>27.0</v>
      </c>
      <c r="Q35" s="36">
        <v>0.34</v>
      </c>
      <c r="R35" s="36">
        <v>1.1</v>
      </c>
      <c r="S35" s="36">
        <v>2.13</v>
      </c>
      <c r="T35" s="36">
        <v>3.23</v>
      </c>
      <c r="U35" s="21">
        <f t="shared" si="1"/>
        <v>32300</v>
      </c>
      <c r="V35" s="21">
        <f t="shared" si="2"/>
        <v>810000</v>
      </c>
    </row>
    <row r="36" ht="14.25" customHeight="1">
      <c r="A36" s="38">
        <v>0.15347222222222223</v>
      </c>
      <c r="B36" s="36">
        <v>43.0</v>
      </c>
      <c r="C36" s="36">
        <v>9.5</v>
      </c>
      <c r="D36" s="36">
        <v>830.0</v>
      </c>
      <c r="E36" s="36">
        <v>818.0</v>
      </c>
      <c r="F36" s="36">
        <v>0.99</v>
      </c>
      <c r="G36" s="36">
        <v>19.0</v>
      </c>
      <c r="H36" s="36">
        <v>1.19</v>
      </c>
      <c r="I36" s="36">
        <v>22.7</v>
      </c>
      <c r="J36" s="36">
        <v>85.8</v>
      </c>
      <c r="K36" s="36">
        <v>83.0</v>
      </c>
      <c r="L36" s="36">
        <v>50.0</v>
      </c>
      <c r="M36" s="36">
        <v>101.0</v>
      </c>
      <c r="N36" s="36">
        <v>43.0</v>
      </c>
      <c r="O36" s="36">
        <v>19.0</v>
      </c>
      <c r="P36" s="36">
        <v>27.0</v>
      </c>
      <c r="Q36" s="36">
        <v>0.35</v>
      </c>
      <c r="R36" s="36">
        <v>1.1</v>
      </c>
      <c r="S36" s="36">
        <v>2.05</v>
      </c>
      <c r="T36" s="36">
        <v>3.14</v>
      </c>
      <c r="U36" s="21">
        <f t="shared" si="1"/>
        <v>31400</v>
      </c>
      <c r="V36" s="21">
        <f t="shared" si="2"/>
        <v>250000</v>
      </c>
    </row>
    <row r="37" ht="14.25" customHeight="1">
      <c r="A37" s="38">
        <v>0.15625</v>
      </c>
      <c r="B37" s="36">
        <v>45.0</v>
      </c>
      <c r="C37" s="36">
        <v>9.2</v>
      </c>
      <c r="D37" s="36">
        <v>798.0</v>
      </c>
      <c r="E37" s="36">
        <v>792.0</v>
      </c>
      <c r="F37" s="36">
        <v>0.99</v>
      </c>
      <c r="G37" s="36">
        <v>19.0</v>
      </c>
      <c r="H37" s="36">
        <v>1.17</v>
      </c>
      <c r="I37" s="36">
        <v>22.0</v>
      </c>
      <c r="J37" s="36">
        <v>86.2</v>
      </c>
      <c r="K37" s="36">
        <v>83.0</v>
      </c>
      <c r="L37" s="36">
        <v>49.4</v>
      </c>
      <c r="M37" s="36">
        <v>102.0</v>
      </c>
      <c r="N37" s="36">
        <v>43.0</v>
      </c>
      <c r="O37" s="36">
        <v>19.0</v>
      </c>
      <c r="P37" s="36">
        <v>26.0</v>
      </c>
      <c r="Q37" s="36">
        <v>0.35</v>
      </c>
      <c r="R37" s="36">
        <v>1.12</v>
      </c>
      <c r="S37" s="36">
        <v>2.06</v>
      </c>
      <c r="T37" s="36">
        <v>3.19</v>
      </c>
      <c r="U37" s="21">
        <f t="shared" si="1"/>
        <v>31900</v>
      </c>
      <c r="V37" s="21">
        <f t="shared" si="2"/>
        <v>1210000</v>
      </c>
    </row>
    <row r="38" ht="14.25" customHeight="1">
      <c r="A38" s="38">
        <v>0.15902777777777777</v>
      </c>
      <c r="B38" s="36">
        <v>47.0</v>
      </c>
      <c r="C38" s="36">
        <v>9.1</v>
      </c>
      <c r="D38" s="36">
        <v>788.0</v>
      </c>
      <c r="E38" s="36">
        <v>791.0</v>
      </c>
      <c r="F38" s="36">
        <v>1.0</v>
      </c>
      <c r="G38" s="36">
        <v>18.0</v>
      </c>
      <c r="H38" s="36">
        <v>1.2</v>
      </c>
      <c r="I38" s="36">
        <v>21.9</v>
      </c>
      <c r="J38" s="36">
        <v>86.3</v>
      </c>
      <c r="K38" s="36">
        <v>84.0</v>
      </c>
      <c r="L38" s="36">
        <v>48.9</v>
      </c>
      <c r="M38" s="36">
        <v>103.0</v>
      </c>
      <c r="N38" s="36">
        <v>42.0</v>
      </c>
      <c r="O38" s="36">
        <v>18.0</v>
      </c>
      <c r="P38" s="36">
        <v>25.0</v>
      </c>
      <c r="Q38" s="36">
        <v>0.35</v>
      </c>
      <c r="R38" s="36">
        <v>1.15</v>
      </c>
      <c r="S38" s="36">
        <v>2.15</v>
      </c>
      <c r="T38" s="36">
        <v>3.3</v>
      </c>
      <c r="U38" s="21">
        <f t="shared" si="1"/>
        <v>33000</v>
      </c>
      <c r="V38" s="21">
        <f t="shared" si="2"/>
        <v>810000</v>
      </c>
    </row>
    <row r="39" ht="14.25" customHeight="1">
      <c r="A39" s="38">
        <v>0.16111111111111112</v>
      </c>
      <c r="B39" s="36">
        <v>48.0</v>
      </c>
      <c r="C39" s="36">
        <v>8.6</v>
      </c>
      <c r="D39" s="36">
        <v>750.0</v>
      </c>
      <c r="E39" s="36">
        <v>743.0</v>
      </c>
      <c r="F39" s="36">
        <v>0.99</v>
      </c>
      <c r="G39" s="36">
        <v>19.0</v>
      </c>
      <c r="H39" s="36">
        <v>1.11</v>
      </c>
      <c r="I39" s="36">
        <v>20.7</v>
      </c>
      <c r="J39" s="36">
        <v>87.0</v>
      </c>
      <c r="K39" s="36">
        <v>84.0</v>
      </c>
      <c r="L39" s="36">
        <v>49.1</v>
      </c>
      <c r="M39" s="36">
        <v>103.0</v>
      </c>
      <c r="N39" s="36">
        <v>43.0</v>
      </c>
      <c r="O39" s="36">
        <v>19.0</v>
      </c>
      <c r="P39" s="36">
        <v>24.0</v>
      </c>
      <c r="Q39" s="36">
        <v>0.34</v>
      </c>
      <c r="R39" s="36">
        <v>1.09</v>
      </c>
      <c r="S39" s="36">
        <v>2.11</v>
      </c>
      <c r="T39" s="36">
        <v>3.21</v>
      </c>
      <c r="U39" s="21">
        <f t="shared" si="1"/>
        <v>32100</v>
      </c>
      <c r="V39" s="21">
        <f t="shared" si="2"/>
        <v>640000</v>
      </c>
    </row>
    <row r="40" ht="14.25" customHeight="1">
      <c r="A40" s="38">
        <v>0.16319444444444445</v>
      </c>
      <c r="B40" s="36">
        <v>50.0</v>
      </c>
      <c r="C40" s="36">
        <v>8.7</v>
      </c>
      <c r="D40" s="36">
        <v>754.0</v>
      </c>
      <c r="E40" s="36">
        <v>762.0</v>
      </c>
      <c r="F40" s="36">
        <v>1.01</v>
      </c>
      <c r="G40" s="36">
        <v>19.0</v>
      </c>
      <c r="H40" s="36">
        <v>1.12</v>
      </c>
      <c r="I40" s="36">
        <v>21.4</v>
      </c>
      <c r="J40" s="36">
        <v>86.6</v>
      </c>
      <c r="K40" s="36">
        <v>85.0</v>
      </c>
      <c r="L40" s="36">
        <v>48.8</v>
      </c>
      <c r="M40" s="36">
        <v>103.0</v>
      </c>
      <c r="N40" s="36">
        <v>43.0</v>
      </c>
      <c r="O40" s="36">
        <v>19.0</v>
      </c>
      <c r="P40" s="36">
        <v>24.0</v>
      </c>
      <c r="Q40" s="36">
        <v>0.34</v>
      </c>
      <c r="R40" s="36">
        <v>1.07</v>
      </c>
      <c r="S40" s="36">
        <v>2.06</v>
      </c>
      <c r="T40" s="36">
        <v>3.13</v>
      </c>
      <c r="U40" s="21">
        <f t="shared" si="1"/>
        <v>31300</v>
      </c>
      <c r="V40" s="21">
        <f t="shared" si="2"/>
        <v>0</v>
      </c>
    </row>
    <row r="41" ht="14.25" customHeight="1">
      <c r="A41" s="38">
        <v>0.16527777777777777</v>
      </c>
      <c r="B41" s="36">
        <v>52.0</v>
      </c>
      <c r="C41" s="36">
        <v>8.7</v>
      </c>
      <c r="D41" s="36">
        <v>755.0</v>
      </c>
      <c r="E41" s="36">
        <v>776.0</v>
      </c>
      <c r="F41" s="36">
        <v>1.03</v>
      </c>
      <c r="G41" s="36">
        <v>19.0</v>
      </c>
      <c r="H41" s="36">
        <v>1.14</v>
      </c>
      <c r="I41" s="36">
        <v>21.8</v>
      </c>
      <c r="J41" s="36">
        <v>86.4</v>
      </c>
      <c r="K41" s="36">
        <v>85.0</v>
      </c>
      <c r="L41" s="36">
        <v>48.6</v>
      </c>
      <c r="M41" s="36">
        <v>103.0</v>
      </c>
      <c r="N41" s="36">
        <v>43.0</v>
      </c>
      <c r="O41" s="36">
        <v>19.0</v>
      </c>
      <c r="P41" s="36">
        <v>24.0</v>
      </c>
      <c r="Q41" s="36">
        <v>0.34</v>
      </c>
      <c r="R41" s="36">
        <v>1.05</v>
      </c>
      <c r="S41" s="36">
        <v>2.08</v>
      </c>
      <c r="T41" s="36">
        <v>3.13</v>
      </c>
      <c r="U41" s="21">
        <f t="shared" si="1"/>
        <v>31300</v>
      </c>
      <c r="V41" s="21">
        <f t="shared" si="2"/>
        <v>40000</v>
      </c>
    </row>
    <row r="42" ht="14.25" customHeight="1">
      <c r="A42" s="38">
        <v>0.1673611111111111</v>
      </c>
      <c r="B42" s="36">
        <v>53.0</v>
      </c>
      <c r="C42" s="36">
        <v>8.7</v>
      </c>
      <c r="D42" s="36">
        <v>758.0</v>
      </c>
      <c r="E42" s="36">
        <v>759.0</v>
      </c>
      <c r="F42" s="36">
        <v>1.0</v>
      </c>
      <c r="G42" s="36">
        <v>19.0</v>
      </c>
      <c r="H42" s="36">
        <v>1.11</v>
      </c>
      <c r="I42" s="36">
        <v>21.5</v>
      </c>
      <c r="J42" s="36">
        <v>86.6</v>
      </c>
      <c r="K42" s="36">
        <v>87.0</v>
      </c>
      <c r="L42" s="36">
        <v>47.5</v>
      </c>
      <c r="M42" s="36">
        <v>104.0</v>
      </c>
      <c r="N42" s="36">
        <v>43.0</v>
      </c>
      <c r="O42" s="36">
        <v>19.0</v>
      </c>
      <c r="P42" s="36">
        <v>24.0</v>
      </c>
      <c r="Q42" s="36">
        <v>0.34</v>
      </c>
      <c r="R42" s="36">
        <v>1.06</v>
      </c>
      <c r="S42" s="36">
        <v>2.05</v>
      </c>
      <c r="T42" s="36">
        <v>3.11</v>
      </c>
      <c r="U42" s="21">
        <f t="shared" si="1"/>
        <v>31100</v>
      </c>
      <c r="V42" s="21">
        <f t="shared" si="2"/>
        <v>1960000</v>
      </c>
    </row>
    <row r="43" ht="14.25" customHeight="1">
      <c r="A43" s="38">
        <v>0.16944444444444445</v>
      </c>
      <c r="B43" s="36">
        <v>55.0</v>
      </c>
      <c r="C43" s="36">
        <v>8.5</v>
      </c>
      <c r="D43" s="36">
        <v>740.0</v>
      </c>
      <c r="E43" s="36">
        <v>741.0</v>
      </c>
      <c r="F43" s="36">
        <v>1.0</v>
      </c>
      <c r="G43" s="36">
        <v>18.0</v>
      </c>
      <c r="H43" s="36">
        <v>1.12</v>
      </c>
      <c r="I43" s="36">
        <v>20.6</v>
      </c>
      <c r="J43" s="36">
        <v>87.1</v>
      </c>
      <c r="K43" s="36">
        <v>87.0</v>
      </c>
      <c r="L43" s="36">
        <v>47.5</v>
      </c>
      <c r="M43" s="36">
        <v>103.0</v>
      </c>
      <c r="N43" s="36">
        <v>43.0</v>
      </c>
      <c r="O43" s="36">
        <v>18.0</v>
      </c>
      <c r="P43" s="36">
        <v>24.0</v>
      </c>
      <c r="Q43" s="36">
        <v>0.34</v>
      </c>
      <c r="R43" s="36">
        <v>1.11</v>
      </c>
      <c r="S43" s="36">
        <v>2.15</v>
      </c>
      <c r="T43" s="36">
        <v>3.25</v>
      </c>
      <c r="U43" s="21">
        <f t="shared" si="1"/>
        <v>32500</v>
      </c>
      <c r="V43" s="21">
        <f t="shared" si="2"/>
        <v>490000</v>
      </c>
    </row>
    <row r="44" ht="14.25" customHeight="1">
      <c r="A44" s="38">
        <v>0.17222222222222222</v>
      </c>
      <c r="B44" s="36">
        <v>57.0</v>
      </c>
      <c r="C44" s="36">
        <v>8.6</v>
      </c>
      <c r="D44" s="36">
        <v>749.0</v>
      </c>
      <c r="E44" s="36">
        <v>759.0</v>
      </c>
      <c r="F44" s="36">
        <v>1.01</v>
      </c>
      <c r="G44" s="36">
        <v>19.0</v>
      </c>
      <c r="H44" s="36">
        <v>1.12</v>
      </c>
      <c r="I44" s="36">
        <v>21.2</v>
      </c>
      <c r="J44" s="36">
        <v>86.7</v>
      </c>
      <c r="K44" s="36">
        <v>87.0</v>
      </c>
      <c r="L44" s="36">
        <v>47.4</v>
      </c>
      <c r="M44" s="36">
        <v>103.0</v>
      </c>
      <c r="N44" s="36">
        <v>43.0</v>
      </c>
      <c r="O44" s="36">
        <v>19.0</v>
      </c>
      <c r="P44" s="36">
        <v>24.0</v>
      </c>
      <c r="Q44" s="36">
        <v>0.34</v>
      </c>
      <c r="R44" s="36">
        <v>1.08</v>
      </c>
      <c r="S44" s="36">
        <v>2.11</v>
      </c>
      <c r="T44" s="36">
        <v>3.18</v>
      </c>
      <c r="U44" s="21">
        <f t="shared" si="1"/>
        <v>31800</v>
      </c>
      <c r="V44" s="21">
        <f t="shared" si="2"/>
        <v>490000</v>
      </c>
    </row>
    <row r="45" ht="14.25" customHeight="1">
      <c r="A45" s="38">
        <v>0.17430555555555555</v>
      </c>
      <c r="B45" s="36">
        <v>59.0</v>
      </c>
      <c r="C45" s="36">
        <v>8.7</v>
      </c>
      <c r="D45" s="36">
        <v>753.0</v>
      </c>
      <c r="E45" s="36">
        <v>762.0</v>
      </c>
      <c r="F45" s="36">
        <v>1.01</v>
      </c>
      <c r="G45" s="36">
        <v>18.0</v>
      </c>
      <c r="H45" s="36">
        <v>1.14</v>
      </c>
      <c r="I45" s="36">
        <v>21.0</v>
      </c>
      <c r="J45" s="36">
        <v>86.8</v>
      </c>
      <c r="K45" s="36">
        <v>86.0</v>
      </c>
      <c r="L45" s="36">
        <v>47.7</v>
      </c>
      <c r="M45" s="36">
        <v>103.0</v>
      </c>
      <c r="N45" s="36">
        <v>43.0</v>
      </c>
      <c r="O45" s="36">
        <v>18.0</v>
      </c>
      <c r="P45" s="36">
        <v>24.0</v>
      </c>
      <c r="Q45" s="36">
        <v>0.34</v>
      </c>
      <c r="R45" s="36">
        <v>1.1</v>
      </c>
      <c r="S45" s="36">
        <v>2.15</v>
      </c>
      <c r="T45" s="36">
        <v>3.25</v>
      </c>
      <c r="U45" s="21">
        <f t="shared" si="1"/>
        <v>32500</v>
      </c>
      <c r="V45" s="21">
        <f t="shared" si="2"/>
        <v>90000</v>
      </c>
    </row>
    <row r="46" ht="14.25" customHeight="1">
      <c r="A46" s="38">
        <v>0.17708333333333334</v>
      </c>
      <c r="B46" s="36">
        <v>60.0</v>
      </c>
      <c r="C46" s="36">
        <v>8.9</v>
      </c>
      <c r="D46" s="36">
        <v>771.0</v>
      </c>
      <c r="E46" s="36">
        <v>776.0</v>
      </c>
      <c r="F46" s="36">
        <v>1.01</v>
      </c>
      <c r="G46" s="36">
        <v>19.0</v>
      </c>
      <c r="H46" s="36">
        <v>1.15</v>
      </c>
      <c r="I46" s="36">
        <v>21.4</v>
      </c>
      <c r="J46" s="36">
        <v>86.6</v>
      </c>
      <c r="K46" s="36">
        <v>86.0</v>
      </c>
      <c r="L46" s="36">
        <v>47.7</v>
      </c>
      <c r="M46" s="36">
        <v>102.0</v>
      </c>
      <c r="N46" s="36">
        <v>43.0</v>
      </c>
      <c r="O46" s="36">
        <v>19.0</v>
      </c>
      <c r="P46" s="36">
        <v>25.0</v>
      </c>
      <c r="Q46" s="36">
        <v>0.34</v>
      </c>
      <c r="R46" s="36">
        <v>1.09</v>
      </c>
      <c r="S46" s="36">
        <v>2.13</v>
      </c>
      <c r="T46" s="36">
        <v>3.22</v>
      </c>
      <c r="U46" s="21">
        <f t="shared" si="1"/>
        <v>32200</v>
      </c>
      <c r="V46" s="21">
        <f t="shared" si="2"/>
        <v>160000</v>
      </c>
    </row>
    <row r="47" ht="14.25" customHeight="1">
      <c r="A47" s="38">
        <v>0.17916666666666667</v>
      </c>
      <c r="B47" s="36">
        <v>61.0</v>
      </c>
      <c r="C47" s="36">
        <v>8.9</v>
      </c>
      <c r="D47" s="36">
        <v>771.0</v>
      </c>
      <c r="E47" s="36">
        <v>762.0</v>
      </c>
      <c r="F47" s="36">
        <v>0.99</v>
      </c>
      <c r="G47" s="36">
        <v>19.0</v>
      </c>
      <c r="H47" s="36">
        <v>1.11</v>
      </c>
      <c r="I47" s="36">
        <v>20.9</v>
      </c>
      <c r="J47" s="36">
        <v>86.9</v>
      </c>
      <c r="K47" s="36">
        <v>86.0</v>
      </c>
      <c r="L47" s="36">
        <v>47.6</v>
      </c>
      <c r="M47" s="36">
        <v>101.0</v>
      </c>
      <c r="N47" s="36">
        <v>44.0</v>
      </c>
      <c r="O47" s="36">
        <v>19.0</v>
      </c>
      <c r="P47" s="36">
        <v>25.0</v>
      </c>
      <c r="Q47" s="36">
        <v>0.34</v>
      </c>
      <c r="R47" s="36">
        <v>1.07</v>
      </c>
      <c r="S47" s="36">
        <v>2.11</v>
      </c>
      <c r="T47" s="36">
        <v>3.18</v>
      </c>
      <c r="U47" s="21">
        <f t="shared" si="1"/>
        <v>31800</v>
      </c>
      <c r="V47" s="21">
        <f t="shared" si="2"/>
        <v>40000</v>
      </c>
    </row>
    <row r="48" ht="14.25" customHeight="1">
      <c r="A48" s="38">
        <v>0.18125</v>
      </c>
      <c r="B48" s="36">
        <v>63.0</v>
      </c>
      <c r="C48" s="36">
        <v>9.0</v>
      </c>
      <c r="D48" s="36">
        <v>782.0</v>
      </c>
      <c r="E48" s="36">
        <v>770.0</v>
      </c>
      <c r="F48" s="36">
        <v>0.98</v>
      </c>
      <c r="G48" s="36">
        <v>19.0</v>
      </c>
      <c r="H48" s="36">
        <v>1.11</v>
      </c>
      <c r="I48" s="36">
        <v>21.0</v>
      </c>
      <c r="J48" s="36">
        <v>86.9</v>
      </c>
      <c r="K48" s="36">
        <v>86.0</v>
      </c>
      <c r="L48" s="36">
        <v>47.7</v>
      </c>
      <c r="M48" s="36">
        <v>100.0</v>
      </c>
      <c r="N48" s="36">
        <v>44.0</v>
      </c>
      <c r="O48" s="36">
        <v>19.0</v>
      </c>
      <c r="P48" s="36">
        <v>25.0</v>
      </c>
      <c r="Q48" s="36">
        <v>0.34</v>
      </c>
      <c r="R48" s="36">
        <v>1.06</v>
      </c>
      <c r="S48" s="36">
        <v>2.1</v>
      </c>
      <c r="T48" s="36">
        <v>3.16</v>
      </c>
      <c r="U48" s="21">
        <f t="shared" si="1"/>
        <v>31600</v>
      </c>
      <c r="V48" s="21">
        <f t="shared" si="2"/>
        <v>810000</v>
      </c>
    </row>
    <row r="49" ht="14.25" customHeight="1">
      <c r="A49" s="38">
        <v>0.18333333333333332</v>
      </c>
      <c r="B49" s="36">
        <v>64.0</v>
      </c>
      <c r="C49" s="36">
        <v>9.3</v>
      </c>
      <c r="D49" s="36">
        <v>813.0</v>
      </c>
      <c r="E49" s="36">
        <v>792.0</v>
      </c>
      <c r="F49" s="36">
        <v>0.97</v>
      </c>
      <c r="G49" s="36">
        <v>18.0</v>
      </c>
      <c r="H49" s="36">
        <v>1.15</v>
      </c>
      <c r="I49" s="36">
        <v>21.2</v>
      </c>
      <c r="J49" s="36">
        <v>86.7</v>
      </c>
      <c r="K49" s="36">
        <v>86.0</v>
      </c>
      <c r="L49" s="36">
        <v>47.6</v>
      </c>
      <c r="M49" s="36">
        <v>99.0</v>
      </c>
      <c r="N49" s="36">
        <v>45.0</v>
      </c>
      <c r="O49" s="36">
        <v>18.0</v>
      </c>
      <c r="P49" s="36">
        <v>26.0</v>
      </c>
      <c r="Q49" s="36">
        <v>0.33</v>
      </c>
      <c r="R49" s="36">
        <v>1.06</v>
      </c>
      <c r="S49" s="36">
        <v>2.19</v>
      </c>
      <c r="T49" s="36">
        <v>3.25</v>
      </c>
      <c r="U49" s="21">
        <f t="shared" si="1"/>
        <v>32500</v>
      </c>
      <c r="V49" s="21">
        <f t="shared" si="2"/>
        <v>0</v>
      </c>
    </row>
    <row r="50" ht="14.25" customHeight="1">
      <c r="A50" s="38">
        <v>0.18541666666666667</v>
      </c>
      <c r="B50" s="36">
        <v>66.0</v>
      </c>
      <c r="C50" s="36">
        <v>9.5</v>
      </c>
      <c r="D50" s="36">
        <v>830.0</v>
      </c>
      <c r="E50" s="36">
        <v>804.0</v>
      </c>
      <c r="F50" s="36">
        <v>0.97</v>
      </c>
      <c r="G50" s="36">
        <v>18.0</v>
      </c>
      <c r="H50" s="36">
        <v>1.17</v>
      </c>
      <c r="I50" s="36">
        <v>21.6</v>
      </c>
      <c r="J50" s="36">
        <v>86.4</v>
      </c>
      <c r="K50" s="36">
        <v>86.0</v>
      </c>
      <c r="L50" s="36">
        <v>47.9</v>
      </c>
      <c r="M50" s="36">
        <v>100.0</v>
      </c>
      <c r="N50" s="36">
        <v>44.0</v>
      </c>
      <c r="O50" s="36">
        <v>18.0</v>
      </c>
      <c r="P50" s="36">
        <v>27.0</v>
      </c>
      <c r="Q50" s="36">
        <v>0.34</v>
      </c>
      <c r="R50" s="36">
        <v>1.1</v>
      </c>
      <c r="S50" s="36">
        <v>2.16</v>
      </c>
      <c r="T50" s="36">
        <v>3.25</v>
      </c>
      <c r="U50" s="21">
        <f t="shared" si="1"/>
        <v>32500</v>
      </c>
      <c r="V50" s="21">
        <f t="shared" si="2"/>
        <v>160000</v>
      </c>
    </row>
    <row r="51" ht="14.25" customHeight="1">
      <c r="A51" s="38">
        <v>0.1875</v>
      </c>
      <c r="B51" s="36">
        <v>67.0</v>
      </c>
      <c r="C51" s="36">
        <v>9.8</v>
      </c>
      <c r="D51" s="36">
        <v>851.0</v>
      </c>
      <c r="E51" s="36">
        <v>809.0</v>
      </c>
      <c r="F51" s="36">
        <v>0.95</v>
      </c>
      <c r="G51" s="36">
        <v>19.0</v>
      </c>
      <c r="H51" s="36">
        <v>1.17</v>
      </c>
      <c r="I51" s="36">
        <v>21.9</v>
      </c>
      <c r="J51" s="36">
        <v>86.3</v>
      </c>
      <c r="K51" s="36">
        <v>86.0</v>
      </c>
      <c r="L51" s="36">
        <v>47.7</v>
      </c>
      <c r="M51" s="36">
        <v>100.0</v>
      </c>
      <c r="N51" s="36">
        <v>44.0</v>
      </c>
      <c r="O51" s="36">
        <v>19.0</v>
      </c>
      <c r="P51" s="36">
        <v>27.0</v>
      </c>
      <c r="Q51" s="36">
        <v>0.33</v>
      </c>
      <c r="R51" s="36">
        <v>1.07</v>
      </c>
      <c r="S51" s="36">
        <v>2.14</v>
      </c>
      <c r="T51" s="36">
        <v>3.21</v>
      </c>
      <c r="U51" s="21">
        <f t="shared" si="1"/>
        <v>32100</v>
      </c>
      <c r="V51" s="21">
        <f t="shared" si="2"/>
        <v>250000</v>
      </c>
    </row>
    <row r="52" ht="14.25" customHeight="1">
      <c r="A52" s="38">
        <v>0.18958333333333333</v>
      </c>
      <c r="B52" s="36">
        <v>70.0</v>
      </c>
      <c r="C52" s="36">
        <v>9.9</v>
      </c>
      <c r="D52" s="36">
        <v>863.0</v>
      </c>
      <c r="E52" s="36">
        <v>829.0</v>
      </c>
      <c r="F52" s="36">
        <v>0.96</v>
      </c>
      <c r="G52" s="36">
        <v>19.0</v>
      </c>
      <c r="H52" s="36">
        <v>1.19</v>
      </c>
      <c r="I52" s="36">
        <v>22.6</v>
      </c>
      <c r="J52" s="36">
        <v>85.9</v>
      </c>
      <c r="K52" s="36">
        <v>86.0</v>
      </c>
      <c r="L52" s="36">
        <v>47.8</v>
      </c>
      <c r="M52" s="36">
        <v>100.0</v>
      </c>
      <c r="N52" s="36">
        <v>44.0</v>
      </c>
      <c r="O52" s="36">
        <v>19.0</v>
      </c>
      <c r="P52" s="36">
        <v>28.0</v>
      </c>
      <c r="Q52" s="36">
        <v>0.34</v>
      </c>
      <c r="R52" s="36">
        <v>1.06</v>
      </c>
      <c r="S52" s="36">
        <v>2.1</v>
      </c>
      <c r="T52" s="36">
        <v>3.16</v>
      </c>
      <c r="U52" s="21">
        <f t="shared" si="1"/>
        <v>31600</v>
      </c>
      <c r="V52" s="21">
        <f t="shared" si="2"/>
        <v>810000</v>
      </c>
    </row>
    <row r="53" ht="14.25" customHeight="1">
      <c r="A53" s="38">
        <v>0.19166666666666668</v>
      </c>
      <c r="B53" s="36">
        <v>71.0</v>
      </c>
      <c r="C53" s="36">
        <v>10.0</v>
      </c>
      <c r="D53" s="36">
        <v>871.0</v>
      </c>
      <c r="E53" s="36">
        <v>841.0</v>
      </c>
      <c r="F53" s="36">
        <v>0.97</v>
      </c>
      <c r="G53" s="36">
        <v>20.0</v>
      </c>
      <c r="H53" s="36">
        <v>1.18</v>
      </c>
      <c r="I53" s="36">
        <v>23.1</v>
      </c>
      <c r="J53" s="36">
        <v>85.5</v>
      </c>
      <c r="K53" s="36">
        <v>86.0</v>
      </c>
      <c r="L53" s="36">
        <v>47.8</v>
      </c>
      <c r="M53" s="36">
        <v>101.0</v>
      </c>
      <c r="N53" s="36">
        <v>44.0</v>
      </c>
      <c r="O53" s="36">
        <v>20.0</v>
      </c>
      <c r="P53" s="36">
        <v>28.0</v>
      </c>
      <c r="Q53" s="36">
        <v>0.34</v>
      </c>
      <c r="R53" s="36">
        <v>1.05</v>
      </c>
      <c r="S53" s="36">
        <v>2.02</v>
      </c>
      <c r="T53" s="36">
        <v>3.07</v>
      </c>
      <c r="U53" s="21">
        <f t="shared" si="1"/>
        <v>30700</v>
      </c>
      <c r="V53" s="21">
        <f t="shared" si="2"/>
        <v>0</v>
      </c>
    </row>
    <row r="54" ht="14.25" customHeight="1">
      <c r="A54" s="38">
        <v>0.19444444444444445</v>
      </c>
      <c r="B54" s="36">
        <v>73.0</v>
      </c>
      <c r="C54" s="36">
        <v>10.0</v>
      </c>
      <c r="D54" s="36">
        <v>871.0</v>
      </c>
      <c r="E54" s="36">
        <v>841.0</v>
      </c>
      <c r="F54" s="36">
        <v>0.97</v>
      </c>
      <c r="G54" s="36">
        <v>20.0</v>
      </c>
      <c r="H54" s="36">
        <v>1.18</v>
      </c>
      <c r="I54" s="36">
        <v>23.1</v>
      </c>
      <c r="J54" s="36">
        <v>85.5</v>
      </c>
      <c r="K54" s="36">
        <v>86.0</v>
      </c>
      <c r="L54" s="36">
        <v>47.7</v>
      </c>
      <c r="M54" s="36">
        <v>101.0</v>
      </c>
      <c r="N54" s="36">
        <v>44.0</v>
      </c>
      <c r="O54" s="36">
        <v>20.0</v>
      </c>
      <c r="P54" s="36">
        <v>28.0</v>
      </c>
      <c r="Q54" s="36">
        <v>0.34</v>
      </c>
      <c r="R54" s="36">
        <v>1.05</v>
      </c>
      <c r="S54" s="36">
        <v>2.02</v>
      </c>
      <c r="T54" s="36">
        <v>3.07</v>
      </c>
      <c r="U54" s="21">
        <f t="shared" si="1"/>
        <v>30700</v>
      </c>
      <c r="V54" s="21">
        <f t="shared" si="2"/>
        <v>360000</v>
      </c>
    </row>
    <row r="55" ht="14.25" customHeight="1">
      <c r="A55" s="38">
        <v>0.19652777777777777</v>
      </c>
      <c r="B55" s="36">
        <v>74.0</v>
      </c>
      <c r="C55" s="36">
        <v>10.2</v>
      </c>
      <c r="D55" s="36">
        <v>883.0</v>
      </c>
      <c r="E55" s="36">
        <v>853.0</v>
      </c>
      <c r="F55" s="36">
        <v>0.97</v>
      </c>
      <c r="G55" s="36">
        <v>19.0</v>
      </c>
      <c r="H55" s="36">
        <v>1.23</v>
      </c>
      <c r="I55" s="36">
        <v>23.5</v>
      </c>
      <c r="J55" s="36">
        <v>85.3</v>
      </c>
      <c r="K55" s="36">
        <v>86.0</v>
      </c>
      <c r="L55" s="36">
        <v>47.8</v>
      </c>
      <c r="M55" s="36">
        <v>101.0</v>
      </c>
      <c r="N55" s="36">
        <v>44.0</v>
      </c>
      <c r="O55" s="36">
        <v>19.0</v>
      </c>
      <c r="P55" s="36">
        <v>28.0</v>
      </c>
      <c r="Q55" s="36">
        <v>0.34</v>
      </c>
      <c r="R55" s="36">
        <v>1.07</v>
      </c>
      <c r="S55" s="36">
        <v>2.07</v>
      </c>
      <c r="T55" s="36">
        <v>3.13</v>
      </c>
      <c r="U55" s="21">
        <f t="shared" si="1"/>
        <v>31300</v>
      </c>
      <c r="V55" s="21">
        <f t="shared" si="2"/>
        <v>40000</v>
      </c>
    </row>
    <row r="56" ht="14.25" customHeight="1">
      <c r="A56" s="38">
        <v>0.1986111111111111</v>
      </c>
      <c r="B56" s="36">
        <v>76.0</v>
      </c>
      <c r="C56" s="36">
        <v>10.0</v>
      </c>
      <c r="D56" s="36">
        <v>870.0</v>
      </c>
      <c r="E56" s="36">
        <v>830.0</v>
      </c>
      <c r="F56" s="36">
        <v>0.95</v>
      </c>
      <c r="G56" s="36">
        <v>19.0</v>
      </c>
      <c r="H56" s="36">
        <v>1.2</v>
      </c>
      <c r="I56" s="36">
        <v>22.9</v>
      </c>
      <c r="J56" s="36">
        <v>85.6</v>
      </c>
      <c r="K56" s="36">
        <v>85.0</v>
      </c>
      <c r="L56" s="36">
        <v>48.2</v>
      </c>
      <c r="M56" s="36">
        <v>101.0</v>
      </c>
      <c r="N56" s="36">
        <v>44.0</v>
      </c>
      <c r="O56" s="36">
        <v>19.0</v>
      </c>
      <c r="P56" s="36">
        <v>28.0</v>
      </c>
      <c r="Q56" s="36">
        <v>0.34</v>
      </c>
      <c r="R56" s="36">
        <v>1.07</v>
      </c>
      <c r="S56" s="36">
        <v>2.08</v>
      </c>
      <c r="T56" s="36">
        <v>3.15</v>
      </c>
      <c r="U56" s="21">
        <f t="shared" si="1"/>
        <v>31500</v>
      </c>
      <c r="V56" s="21">
        <f t="shared" si="2"/>
        <v>10000</v>
      </c>
    </row>
    <row r="57" ht="14.25" customHeight="1">
      <c r="A57" s="38">
        <v>0.20069444444444445</v>
      </c>
      <c r="B57" s="36">
        <v>77.0</v>
      </c>
      <c r="C57" s="36">
        <v>10.0</v>
      </c>
      <c r="D57" s="36">
        <v>872.0</v>
      </c>
      <c r="E57" s="36">
        <v>836.0</v>
      </c>
      <c r="F57" s="36">
        <v>0.96</v>
      </c>
      <c r="G57" s="36">
        <v>19.0</v>
      </c>
      <c r="H57" s="36">
        <v>1.2</v>
      </c>
      <c r="I57" s="36">
        <v>22.8</v>
      </c>
      <c r="J57" s="36">
        <v>85.7</v>
      </c>
      <c r="K57" s="36">
        <v>85.0</v>
      </c>
      <c r="L57" s="36">
        <v>48.7</v>
      </c>
      <c r="M57" s="36">
        <v>100.0</v>
      </c>
      <c r="N57" s="36">
        <v>44.0</v>
      </c>
      <c r="O57" s="36">
        <v>19.0</v>
      </c>
      <c r="P57" s="36">
        <v>28.0</v>
      </c>
      <c r="Q57" s="36">
        <v>0.33</v>
      </c>
      <c r="R57" s="36">
        <v>1.03</v>
      </c>
      <c r="S57" s="36">
        <v>2.13</v>
      </c>
      <c r="T57" s="36">
        <v>3.16</v>
      </c>
      <c r="U57" s="21">
        <f t="shared" si="1"/>
        <v>31600</v>
      </c>
      <c r="V57" s="21">
        <f t="shared" si="2"/>
        <v>90000</v>
      </c>
    </row>
    <row r="58" ht="14.25" customHeight="1">
      <c r="A58" s="38">
        <v>0.20347222222222222</v>
      </c>
      <c r="B58" s="36">
        <v>79.0</v>
      </c>
      <c r="C58" s="36">
        <v>10.0</v>
      </c>
      <c r="D58" s="36">
        <v>870.0</v>
      </c>
      <c r="E58" s="36">
        <v>830.0</v>
      </c>
      <c r="F58" s="36">
        <v>0.95</v>
      </c>
      <c r="G58" s="36">
        <v>19.0</v>
      </c>
      <c r="H58" s="36">
        <v>1.19</v>
      </c>
      <c r="I58" s="36">
        <v>22.4</v>
      </c>
      <c r="J58" s="36">
        <v>86.0</v>
      </c>
      <c r="K58" s="36">
        <v>84.0</v>
      </c>
      <c r="L58" s="36">
        <v>49.0</v>
      </c>
      <c r="M58" s="36">
        <v>100.0</v>
      </c>
      <c r="N58" s="36">
        <v>44.0</v>
      </c>
      <c r="O58" s="36">
        <v>19.0</v>
      </c>
      <c r="P58" s="36">
        <v>28.0</v>
      </c>
      <c r="Q58" s="36">
        <v>0.34</v>
      </c>
      <c r="R58" s="36">
        <v>1.08</v>
      </c>
      <c r="S58" s="36">
        <v>2.11</v>
      </c>
      <c r="T58" s="36">
        <v>3.19</v>
      </c>
      <c r="U58" s="21">
        <f t="shared" si="1"/>
        <v>31900</v>
      </c>
      <c r="V58" s="21">
        <f t="shared" si="2"/>
        <v>360000</v>
      </c>
    </row>
    <row r="59" ht="14.25" customHeight="1">
      <c r="A59" s="38">
        <v>0.20555555555555555</v>
      </c>
      <c r="B59" s="36">
        <v>81.0</v>
      </c>
      <c r="C59" s="36">
        <v>9.9</v>
      </c>
      <c r="D59" s="36">
        <v>858.0</v>
      </c>
      <c r="E59" s="36">
        <v>818.0</v>
      </c>
      <c r="F59" s="36">
        <v>0.95</v>
      </c>
      <c r="G59" s="36">
        <v>18.0</v>
      </c>
      <c r="H59" s="36">
        <v>1.19</v>
      </c>
      <c r="I59" s="36">
        <v>22.0</v>
      </c>
      <c r="J59" s="36">
        <v>86.2</v>
      </c>
      <c r="K59" s="36">
        <v>83.0</v>
      </c>
      <c r="L59" s="36">
        <v>49.7</v>
      </c>
      <c r="M59" s="36">
        <v>100.0</v>
      </c>
      <c r="N59" s="36">
        <v>44.0</v>
      </c>
      <c r="O59" s="36">
        <v>18.0</v>
      </c>
      <c r="P59" s="36">
        <v>28.0</v>
      </c>
      <c r="Q59" s="36">
        <v>0.34</v>
      </c>
      <c r="R59" s="36">
        <v>1.1</v>
      </c>
      <c r="S59" s="36">
        <v>2.15</v>
      </c>
      <c r="T59" s="36">
        <v>3.25</v>
      </c>
      <c r="U59" s="21">
        <f t="shared" si="1"/>
        <v>32500</v>
      </c>
      <c r="V59" s="21">
        <f t="shared" si="2"/>
        <v>0</v>
      </c>
    </row>
    <row r="60" ht="14.25" customHeight="1">
      <c r="A60" s="38">
        <v>0.2076388888888889</v>
      </c>
      <c r="B60" s="36">
        <v>82.0</v>
      </c>
      <c r="C60" s="36">
        <v>9.9</v>
      </c>
      <c r="D60" s="36">
        <v>858.0</v>
      </c>
      <c r="E60" s="36">
        <v>818.0</v>
      </c>
      <c r="F60" s="36">
        <v>0.95</v>
      </c>
      <c r="G60" s="36">
        <v>18.0</v>
      </c>
      <c r="H60" s="36">
        <v>1.19</v>
      </c>
      <c r="I60" s="36">
        <v>22.0</v>
      </c>
      <c r="J60" s="36">
        <v>86.2</v>
      </c>
      <c r="K60" s="36">
        <v>83.0</v>
      </c>
      <c r="L60" s="36">
        <v>49.7</v>
      </c>
      <c r="M60" s="36">
        <v>100.0</v>
      </c>
      <c r="N60" s="36">
        <v>44.0</v>
      </c>
      <c r="O60" s="36">
        <v>18.0</v>
      </c>
      <c r="P60" s="36">
        <v>28.0</v>
      </c>
      <c r="Q60" s="36">
        <v>0.34</v>
      </c>
      <c r="R60" s="36">
        <v>1.1</v>
      </c>
      <c r="S60" s="36">
        <v>2.15</v>
      </c>
      <c r="T60" s="36">
        <v>3.25</v>
      </c>
      <c r="U60" s="21">
        <f t="shared" si="1"/>
        <v>32500</v>
      </c>
      <c r="V60" s="21">
        <f t="shared" si="2"/>
        <v>360000</v>
      </c>
    </row>
    <row r="61" ht="14.25" customHeight="1">
      <c r="A61" s="38">
        <v>0.20972222222222223</v>
      </c>
      <c r="B61" s="36">
        <v>84.0</v>
      </c>
      <c r="C61" s="36">
        <v>10.1</v>
      </c>
      <c r="D61" s="36">
        <v>882.0</v>
      </c>
      <c r="E61" s="36">
        <v>841.0</v>
      </c>
      <c r="F61" s="36">
        <v>0.95</v>
      </c>
      <c r="G61" s="36">
        <v>18.0</v>
      </c>
      <c r="H61" s="36">
        <v>1.24</v>
      </c>
      <c r="I61" s="36">
        <v>22.6</v>
      </c>
      <c r="J61" s="36">
        <v>85.9</v>
      </c>
      <c r="K61" s="36">
        <v>82.0</v>
      </c>
      <c r="L61" s="36">
        <v>50.1</v>
      </c>
      <c r="M61" s="36">
        <v>99.0</v>
      </c>
      <c r="N61" s="36">
        <v>45.0</v>
      </c>
      <c r="O61" s="36">
        <v>18.0</v>
      </c>
      <c r="P61" s="36">
        <v>28.0</v>
      </c>
      <c r="Q61" s="36">
        <v>0.33</v>
      </c>
      <c r="R61" s="36">
        <v>1.08</v>
      </c>
      <c r="S61" s="36">
        <v>2.23</v>
      </c>
      <c r="T61" s="36">
        <v>3.31</v>
      </c>
      <c r="U61" s="21">
        <f t="shared" si="1"/>
        <v>33100</v>
      </c>
      <c r="V61" s="21">
        <f t="shared" si="2"/>
        <v>10000</v>
      </c>
    </row>
    <row r="62" ht="14.25" customHeight="1">
      <c r="A62" s="38">
        <v>0.2125</v>
      </c>
      <c r="B62" s="36">
        <v>85.0</v>
      </c>
      <c r="C62" s="36">
        <v>10.1</v>
      </c>
      <c r="D62" s="36">
        <v>875.0</v>
      </c>
      <c r="E62" s="36">
        <v>835.0</v>
      </c>
      <c r="F62" s="36">
        <v>0.95</v>
      </c>
      <c r="G62" s="36">
        <v>18.0</v>
      </c>
      <c r="H62" s="36">
        <v>1.25</v>
      </c>
      <c r="I62" s="36">
        <v>22.6</v>
      </c>
      <c r="J62" s="36">
        <v>85.9</v>
      </c>
      <c r="K62" s="36">
        <v>82.0</v>
      </c>
      <c r="L62" s="36">
        <v>50.1</v>
      </c>
      <c r="M62" s="36">
        <v>99.0</v>
      </c>
      <c r="N62" s="36">
        <v>45.0</v>
      </c>
      <c r="O62" s="36">
        <v>18.0</v>
      </c>
      <c r="P62" s="36">
        <v>28.0</v>
      </c>
      <c r="Q62" s="36">
        <v>0.33</v>
      </c>
      <c r="R62" s="36">
        <v>1.09</v>
      </c>
      <c r="S62" s="36">
        <v>2.24</v>
      </c>
      <c r="T62" s="36">
        <v>3.32</v>
      </c>
      <c r="U62" s="21">
        <f t="shared" si="1"/>
        <v>33200</v>
      </c>
      <c r="V62" s="21">
        <f t="shared" si="2"/>
        <v>10000</v>
      </c>
    </row>
    <row r="63" ht="14.25" customHeight="1">
      <c r="A63" s="38">
        <v>0.21458333333333332</v>
      </c>
      <c r="B63" s="36">
        <v>87.0</v>
      </c>
      <c r="C63" s="36">
        <v>10.0</v>
      </c>
      <c r="D63" s="36">
        <v>873.0</v>
      </c>
      <c r="E63" s="36">
        <v>832.0</v>
      </c>
      <c r="F63" s="36">
        <v>0.95</v>
      </c>
      <c r="G63" s="36">
        <v>18.0</v>
      </c>
      <c r="H63" s="36">
        <v>1.25</v>
      </c>
      <c r="I63" s="36">
        <v>22.7</v>
      </c>
      <c r="J63" s="36">
        <v>85.8</v>
      </c>
      <c r="K63" s="36">
        <v>82.0</v>
      </c>
      <c r="L63" s="36">
        <v>50.4</v>
      </c>
      <c r="M63" s="36">
        <v>100.0</v>
      </c>
      <c r="N63" s="36">
        <v>44.0</v>
      </c>
      <c r="O63" s="36">
        <v>18.0</v>
      </c>
      <c r="P63" s="36">
        <v>28.0</v>
      </c>
      <c r="Q63" s="36">
        <v>0.33</v>
      </c>
      <c r="R63" s="36">
        <v>1.09</v>
      </c>
      <c r="S63" s="36">
        <v>2.22</v>
      </c>
      <c r="T63" s="36">
        <v>3.31</v>
      </c>
      <c r="U63" s="21">
        <f t="shared" si="1"/>
        <v>33100</v>
      </c>
      <c r="V63" s="21">
        <f t="shared" si="2"/>
        <v>0</v>
      </c>
    </row>
    <row r="64" ht="14.25" customHeight="1">
      <c r="A64" s="38">
        <v>0.21597222222222223</v>
      </c>
      <c r="B64" s="36">
        <v>89.0</v>
      </c>
      <c r="C64" s="36">
        <v>10.0</v>
      </c>
      <c r="D64" s="36">
        <v>873.0</v>
      </c>
      <c r="E64" s="36">
        <v>832.0</v>
      </c>
      <c r="F64" s="36">
        <v>0.95</v>
      </c>
      <c r="G64" s="36">
        <v>18.0</v>
      </c>
      <c r="H64" s="36">
        <v>1.25</v>
      </c>
      <c r="I64" s="36">
        <v>22.7</v>
      </c>
      <c r="J64" s="36">
        <v>85.8</v>
      </c>
      <c r="K64" s="36">
        <v>83.0</v>
      </c>
      <c r="L64" s="36">
        <v>49.4</v>
      </c>
      <c r="M64" s="36">
        <v>100.0</v>
      </c>
      <c r="N64" s="36">
        <v>44.0</v>
      </c>
      <c r="O64" s="36">
        <v>18.0</v>
      </c>
      <c r="P64" s="36">
        <v>28.0</v>
      </c>
      <c r="Q64" s="36">
        <v>0.33</v>
      </c>
      <c r="R64" s="36">
        <v>1.09</v>
      </c>
      <c r="S64" s="36">
        <v>2.22</v>
      </c>
      <c r="T64" s="36">
        <v>3.31</v>
      </c>
      <c r="U64" s="21">
        <f t="shared" si="1"/>
        <v>33100</v>
      </c>
      <c r="V64" s="21">
        <f t="shared" si="2"/>
        <v>90000</v>
      </c>
    </row>
    <row r="65" ht="14.25" customHeight="1">
      <c r="A65" s="38">
        <v>0.21805555555555556</v>
      </c>
      <c r="B65" s="36">
        <v>90.0</v>
      </c>
      <c r="C65" s="36">
        <v>10.5</v>
      </c>
      <c r="D65" s="36">
        <v>913.0</v>
      </c>
      <c r="E65" s="36">
        <v>874.0</v>
      </c>
      <c r="F65" s="36">
        <v>0.96</v>
      </c>
      <c r="G65" s="36">
        <v>18.0</v>
      </c>
      <c r="H65" s="36">
        <v>1.3</v>
      </c>
      <c r="I65" s="36">
        <v>23.8</v>
      </c>
      <c r="J65" s="36">
        <v>85.1</v>
      </c>
      <c r="K65" s="36">
        <v>89.0</v>
      </c>
      <c r="L65" s="36">
        <v>46.0</v>
      </c>
      <c r="M65" s="36">
        <v>100.0</v>
      </c>
      <c r="N65" s="36">
        <v>44.0</v>
      </c>
      <c r="O65" s="36">
        <v>18.0</v>
      </c>
      <c r="P65" s="36">
        <v>29.0</v>
      </c>
      <c r="Q65" s="36">
        <v>0.32</v>
      </c>
      <c r="R65" s="36">
        <v>1.05</v>
      </c>
      <c r="S65" s="36">
        <v>2.23</v>
      </c>
      <c r="T65" s="36">
        <v>3.28</v>
      </c>
      <c r="U65" s="21">
        <f t="shared" si="1"/>
        <v>32800</v>
      </c>
      <c r="V65" s="21">
        <f t="shared" si="2"/>
        <v>1960000</v>
      </c>
    </row>
    <row r="66" ht="14.25" customHeight="1">
      <c r="A66" s="38">
        <v>0.22152777777777777</v>
      </c>
      <c r="B66" s="36">
        <v>92.0</v>
      </c>
      <c r="C66" s="36">
        <v>11.2</v>
      </c>
      <c r="D66" s="36">
        <v>977.0</v>
      </c>
      <c r="E66" s="36">
        <v>921.0</v>
      </c>
      <c r="F66" s="36">
        <v>0.94</v>
      </c>
      <c r="G66" s="36">
        <v>18.0</v>
      </c>
      <c r="H66" s="36">
        <v>1.38</v>
      </c>
      <c r="I66" s="36">
        <v>24.2</v>
      </c>
      <c r="J66" s="36">
        <v>84.8</v>
      </c>
      <c r="K66" s="36">
        <v>90.0</v>
      </c>
      <c r="L66" s="36">
        <v>45.2</v>
      </c>
      <c r="M66" s="36">
        <v>99.0</v>
      </c>
      <c r="N66" s="36">
        <v>44.0</v>
      </c>
      <c r="O66" s="36">
        <v>18.0</v>
      </c>
      <c r="P66" s="36">
        <v>31.0</v>
      </c>
      <c r="Q66" s="36">
        <v>0.32</v>
      </c>
      <c r="R66" s="36">
        <v>1.11</v>
      </c>
      <c r="S66" s="36">
        <v>2.32</v>
      </c>
      <c r="T66" s="36">
        <v>3.42</v>
      </c>
      <c r="U66" s="21">
        <f t="shared" si="1"/>
        <v>34200</v>
      </c>
      <c r="V66" s="21">
        <f t="shared" si="2"/>
        <v>640000</v>
      </c>
    </row>
    <row r="67" ht="14.25" customHeight="1">
      <c r="A67" s="38">
        <v>0.22361111111111112</v>
      </c>
      <c r="B67" s="36">
        <v>94.0</v>
      </c>
      <c r="C67" s="36">
        <v>11.2</v>
      </c>
      <c r="D67" s="36">
        <v>972.0</v>
      </c>
      <c r="E67" s="36">
        <v>905.0</v>
      </c>
      <c r="F67" s="36">
        <v>0.93</v>
      </c>
      <c r="G67" s="36">
        <v>17.0</v>
      </c>
      <c r="H67" s="36">
        <v>1.38</v>
      </c>
      <c r="I67" s="36">
        <v>23.6</v>
      </c>
      <c r="J67" s="36">
        <v>85.2</v>
      </c>
      <c r="K67" s="36">
        <v>90.0</v>
      </c>
      <c r="L67" s="36">
        <v>45.5</v>
      </c>
      <c r="M67" s="36">
        <v>99.0</v>
      </c>
      <c r="N67" s="36">
        <v>45.0</v>
      </c>
      <c r="O67" s="36">
        <v>17.0</v>
      </c>
      <c r="P67" s="36">
        <v>31.0</v>
      </c>
      <c r="Q67" s="36">
        <v>0.32</v>
      </c>
      <c r="R67" s="36">
        <v>1.13</v>
      </c>
      <c r="S67" s="36">
        <v>2.37</v>
      </c>
      <c r="T67" s="36">
        <v>3.5</v>
      </c>
      <c r="U67" s="21">
        <f t="shared" si="1"/>
        <v>35000</v>
      </c>
      <c r="V67" s="21">
        <f t="shared" si="2"/>
        <v>1690000</v>
      </c>
    </row>
    <row r="68" ht="14.25" customHeight="1">
      <c r="A68" s="38">
        <v>0.22569444444444445</v>
      </c>
      <c r="B68" s="36">
        <v>95.0</v>
      </c>
      <c r="C68" s="36">
        <v>11.5</v>
      </c>
      <c r="D68" s="36">
        <v>1000.0</v>
      </c>
      <c r="E68" s="36">
        <v>925.0</v>
      </c>
      <c r="F68" s="36">
        <v>0.92</v>
      </c>
      <c r="G68" s="36">
        <v>18.0</v>
      </c>
      <c r="H68" s="36">
        <v>1.35</v>
      </c>
      <c r="I68" s="36">
        <v>23.9</v>
      </c>
      <c r="J68" s="36">
        <v>85.0</v>
      </c>
      <c r="K68" s="36">
        <v>90.0</v>
      </c>
      <c r="L68" s="36">
        <v>45.2</v>
      </c>
      <c r="M68" s="36">
        <v>98.0</v>
      </c>
      <c r="N68" s="36">
        <v>45.0</v>
      </c>
      <c r="O68" s="36">
        <v>18.0</v>
      </c>
      <c r="P68" s="36">
        <v>32.0</v>
      </c>
      <c r="Q68" s="36">
        <v>0.34</v>
      </c>
      <c r="R68" s="36">
        <v>1.13</v>
      </c>
      <c r="S68" s="36">
        <v>2.24</v>
      </c>
      <c r="T68" s="36">
        <v>3.37</v>
      </c>
      <c r="U68" s="21">
        <f t="shared" si="1"/>
        <v>33700</v>
      </c>
      <c r="V68" s="21">
        <f t="shared" si="2"/>
        <v>1000000</v>
      </c>
    </row>
    <row r="69" ht="14.25" customHeight="1">
      <c r="A69" s="38">
        <v>0.22777777777777777</v>
      </c>
      <c r="B69" s="36">
        <v>97.0</v>
      </c>
      <c r="C69" s="36">
        <v>11.7</v>
      </c>
      <c r="D69" s="36">
        <v>1016.0</v>
      </c>
      <c r="E69" s="36">
        <v>931.0</v>
      </c>
      <c r="F69" s="36">
        <v>0.92</v>
      </c>
      <c r="G69" s="36">
        <v>18.0</v>
      </c>
      <c r="H69" s="36">
        <v>1.31</v>
      </c>
      <c r="I69" s="36">
        <v>24.1</v>
      </c>
      <c r="J69" s="36">
        <v>84.9</v>
      </c>
      <c r="K69" s="36">
        <v>91.0</v>
      </c>
      <c r="L69" s="36">
        <v>45.0</v>
      </c>
      <c r="M69" s="36">
        <v>98.0</v>
      </c>
      <c r="N69" s="36">
        <v>45.0</v>
      </c>
      <c r="O69" s="36">
        <v>18.0</v>
      </c>
      <c r="P69" s="36">
        <v>33.0</v>
      </c>
      <c r="Q69" s="36">
        <v>0.34</v>
      </c>
      <c r="R69" s="36">
        <v>1.1</v>
      </c>
      <c r="S69" s="36">
        <v>2.17</v>
      </c>
      <c r="T69" s="36">
        <v>3.27</v>
      </c>
      <c r="U69" s="21">
        <f t="shared" si="1"/>
        <v>32700</v>
      </c>
      <c r="V69" s="21">
        <f t="shared" si="2"/>
        <v>10000</v>
      </c>
    </row>
    <row r="70" ht="14.25" customHeight="1">
      <c r="A70" s="38">
        <v>0.2298611111111111</v>
      </c>
      <c r="B70" s="36">
        <v>98.0</v>
      </c>
      <c r="C70" s="36">
        <v>12.1</v>
      </c>
      <c r="D70" s="36">
        <v>1057.0</v>
      </c>
      <c r="E70" s="36">
        <v>971.0</v>
      </c>
      <c r="F70" s="36">
        <v>0.92</v>
      </c>
      <c r="G70" s="36">
        <v>18.0</v>
      </c>
      <c r="H70" s="36">
        <v>1.36</v>
      </c>
      <c r="I70" s="36">
        <v>25.0</v>
      </c>
      <c r="J70" s="36">
        <v>84.3</v>
      </c>
      <c r="K70" s="36">
        <v>91.0</v>
      </c>
      <c r="L70" s="36">
        <v>44.7</v>
      </c>
      <c r="M70" s="36">
        <v>98.0</v>
      </c>
      <c r="N70" s="36">
        <v>45.0</v>
      </c>
      <c r="O70" s="36">
        <v>18.0</v>
      </c>
      <c r="P70" s="36">
        <v>34.0</v>
      </c>
      <c r="Q70" s="36">
        <v>0.34</v>
      </c>
      <c r="R70" s="36">
        <v>1.12</v>
      </c>
      <c r="S70" s="36">
        <v>2.14</v>
      </c>
      <c r="T70" s="36">
        <v>3.26</v>
      </c>
      <c r="U70" s="21">
        <f t="shared" si="1"/>
        <v>32600</v>
      </c>
      <c r="V70" s="21">
        <f t="shared" si="2"/>
        <v>0</v>
      </c>
    </row>
    <row r="71" ht="14.25" customHeight="1">
      <c r="A71" s="38">
        <v>0.23194444444444445</v>
      </c>
      <c r="B71" s="36">
        <v>100.0</v>
      </c>
      <c r="C71" s="36">
        <v>12.1</v>
      </c>
      <c r="D71" s="36">
        <v>1056.0</v>
      </c>
      <c r="E71" s="36">
        <v>971.0</v>
      </c>
      <c r="F71" s="36">
        <v>0.92</v>
      </c>
      <c r="G71" s="36">
        <v>18.0</v>
      </c>
      <c r="H71" s="36">
        <v>1.36</v>
      </c>
      <c r="I71" s="36">
        <v>25.0</v>
      </c>
      <c r="J71" s="36">
        <v>84.3</v>
      </c>
      <c r="K71" s="36">
        <v>91.0</v>
      </c>
      <c r="L71" s="36">
        <v>44.7</v>
      </c>
      <c r="M71" s="36">
        <v>98.0</v>
      </c>
      <c r="N71" s="36">
        <v>45.0</v>
      </c>
      <c r="O71" s="36">
        <v>18.0</v>
      </c>
      <c r="P71" s="36">
        <v>34.0</v>
      </c>
      <c r="Q71" s="36">
        <v>0.34</v>
      </c>
      <c r="R71" s="36">
        <v>1.12</v>
      </c>
      <c r="S71" s="36">
        <v>2.14</v>
      </c>
      <c r="T71" s="36">
        <v>3.26</v>
      </c>
      <c r="U71" s="21">
        <f t="shared" si="1"/>
        <v>32600</v>
      </c>
      <c r="V71" s="21">
        <f t="shared" si="2"/>
        <v>0</v>
      </c>
    </row>
    <row r="72" ht="14.25" customHeight="1">
      <c r="A72" s="38">
        <v>0.23402777777777778</v>
      </c>
      <c r="B72" s="36">
        <v>101.0</v>
      </c>
      <c r="C72" s="36">
        <v>12.1</v>
      </c>
      <c r="D72" s="36">
        <v>1056.0</v>
      </c>
      <c r="E72" s="36">
        <v>971.0</v>
      </c>
      <c r="F72" s="36">
        <v>0.92</v>
      </c>
      <c r="G72" s="36">
        <v>18.0</v>
      </c>
      <c r="H72" s="36">
        <v>1.36</v>
      </c>
      <c r="I72" s="36">
        <v>25.0</v>
      </c>
      <c r="J72" s="36">
        <v>84.3</v>
      </c>
      <c r="K72" s="36">
        <v>91.0</v>
      </c>
      <c r="L72" s="36">
        <v>44.6</v>
      </c>
      <c r="M72" s="36">
        <v>98.0</v>
      </c>
      <c r="N72" s="36">
        <v>45.0</v>
      </c>
      <c r="O72" s="36">
        <v>18.0</v>
      </c>
      <c r="P72" s="36">
        <v>34.0</v>
      </c>
      <c r="Q72" s="36">
        <v>0.34</v>
      </c>
      <c r="R72" s="36">
        <v>1.12</v>
      </c>
      <c r="S72" s="36">
        <v>2.14</v>
      </c>
      <c r="T72" s="36">
        <v>3.26</v>
      </c>
      <c r="U72" s="21">
        <f t="shared" si="1"/>
        <v>32600</v>
      </c>
      <c r="V72" s="21">
        <f t="shared" si="2"/>
        <v>5760000</v>
      </c>
    </row>
    <row r="73" ht="14.25" customHeight="1">
      <c r="A73" s="38">
        <v>0.2361111111111111</v>
      </c>
      <c r="B73" s="36">
        <v>103.0</v>
      </c>
      <c r="C73" s="36">
        <v>12.0</v>
      </c>
      <c r="D73" s="36">
        <v>1040.0</v>
      </c>
      <c r="E73" s="36">
        <v>958.0</v>
      </c>
      <c r="F73" s="36">
        <v>0.92</v>
      </c>
      <c r="G73" s="36">
        <v>20.0</v>
      </c>
      <c r="H73" s="36">
        <v>1.28</v>
      </c>
      <c r="I73" s="36">
        <v>25.3</v>
      </c>
      <c r="J73" s="36">
        <v>84.1</v>
      </c>
      <c r="K73" s="36">
        <v>92.0</v>
      </c>
      <c r="L73" s="36">
        <v>44.0</v>
      </c>
      <c r="M73" s="36">
        <v>97.0</v>
      </c>
      <c r="N73" s="36">
        <v>45.0</v>
      </c>
      <c r="O73" s="36">
        <v>20.0</v>
      </c>
      <c r="P73" s="36">
        <v>33.0</v>
      </c>
      <c r="Q73" s="36">
        <v>0.33</v>
      </c>
      <c r="R73" s="36">
        <v>1.0</v>
      </c>
      <c r="S73" s="36">
        <v>2.02</v>
      </c>
      <c r="T73" s="36">
        <v>3.02</v>
      </c>
      <c r="U73" s="21">
        <f t="shared" si="1"/>
        <v>30200</v>
      </c>
      <c r="V73" s="21">
        <f t="shared" si="2"/>
        <v>1000000</v>
      </c>
    </row>
    <row r="74" ht="14.25" customHeight="1">
      <c r="A74" s="38">
        <v>0.23819444444444443</v>
      </c>
      <c r="B74" s="36">
        <v>104.0</v>
      </c>
      <c r="C74" s="36">
        <v>12.4</v>
      </c>
      <c r="D74" s="36">
        <v>1075.0</v>
      </c>
      <c r="E74" s="36">
        <v>991.0</v>
      </c>
      <c r="F74" s="36">
        <v>0.92</v>
      </c>
      <c r="G74" s="36">
        <v>21.0</v>
      </c>
      <c r="H74" s="36">
        <v>1.28</v>
      </c>
      <c r="I74" s="36">
        <v>26.3</v>
      </c>
      <c r="J74" s="36">
        <v>83.5</v>
      </c>
      <c r="K74" s="36">
        <v>93.0</v>
      </c>
      <c r="L74" s="36">
        <v>43.8</v>
      </c>
      <c r="M74" s="36">
        <v>97.0</v>
      </c>
      <c r="N74" s="36">
        <v>45.0</v>
      </c>
      <c r="O74" s="36">
        <v>21.0</v>
      </c>
      <c r="P74" s="36">
        <v>35.0</v>
      </c>
      <c r="Q74" s="36">
        <v>0.34</v>
      </c>
      <c r="R74" s="36">
        <v>0.99</v>
      </c>
      <c r="S74" s="36">
        <v>1.92</v>
      </c>
      <c r="T74" s="36">
        <v>2.92</v>
      </c>
      <c r="U74" s="21">
        <f t="shared" si="1"/>
        <v>29200</v>
      </c>
      <c r="V74" s="21">
        <f t="shared" si="2"/>
        <v>10000</v>
      </c>
    </row>
    <row r="75" ht="14.25" customHeight="1">
      <c r="A75" s="38">
        <v>0.24027777777777778</v>
      </c>
      <c r="B75" s="36">
        <v>106.0</v>
      </c>
      <c r="C75" s="36">
        <v>12.4</v>
      </c>
      <c r="D75" s="36">
        <v>1080.0</v>
      </c>
      <c r="E75" s="36">
        <v>993.0</v>
      </c>
      <c r="F75" s="36">
        <v>0.92</v>
      </c>
      <c r="G75" s="36">
        <v>21.0</v>
      </c>
      <c r="H75" s="36">
        <v>1.28</v>
      </c>
      <c r="I75" s="36">
        <v>26.5</v>
      </c>
      <c r="J75" s="36">
        <v>83.4</v>
      </c>
      <c r="K75" s="36">
        <v>93.0</v>
      </c>
      <c r="L75" s="36">
        <v>43.7</v>
      </c>
      <c r="M75" s="36">
        <v>98.0</v>
      </c>
      <c r="N75" s="36">
        <v>45.0</v>
      </c>
      <c r="O75" s="36">
        <v>21.0</v>
      </c>
      <c r="P75" s="36">
        <v>35.0</v>
      </c>
      <c r="Q75" s="36">
        <v>0.34</v>
      </c>
      <c r="R75" s="36">
        <v>0.99</v>
      </c>
      <c r="S75" s="36">
        <v>1.92</v>
      </c>
      <c r="T75" s="36">
        <v>2.91</v>
      </c>
      <c r="U75" s="21">
        <f t="shared" si="1"/>
        <v>29100</v>
      </c>
      <c r="V75" s="21">
        <f t="shared" si="2"/>
        <v>490000</v>
      </c>
    </row>
    <row r="76" ht="14.25" customHeight="1">
      <c r="A76" s="38">
        <v>0.2423611111111111</v>
      </c>
      <c r="B76" s="36">
        <v>107.0</v>
      </c>
      <c r="C76" s="36">
        <v>12.7</v>
      </c>
      <c r="D76" s="36">
        <v>1104.0</v>
      </c>
      <c r="E76" s="36">
        <v>1011.0</v>
      </c>
      <c r="F76" s="36">
        <v>0.92</v>
      </c>
      <c r="G76" s="36">
        <v>20.0</v>
      </c>
      <c r="H76" s="36">
        <v>1.3</v>
      </c>
      <c r="I76" s="36">
        <v>26.2</v>
      </c>
      <c r="J76" s="36">
        <v>83.6</v>
      </c>
      <c r="K76" s="36">
        <v>93.0</v>
      </c>
      <c r="L76" s="36">
        <v>43.9</v>
      </c>
      <c r="M76" s="36">
        <v>97.0</v>
      </c>
      <c r="N76" s="36">
        <v>45.0</v>
      </c>
      <c r="O76" s="36">
        <v>20.0</v>
      </c>
      <c r="P76" s="36">
        <v>36.0</v>
      </c>
      <c r="Q76" s="36">
        <v>0.34</v>
      </c>
      <c r="R76" s="36">
        <v>1.01</v>
      </c>
      <c r="S76" s="36">
        <v>1.97</v>
      </c>
      <c r="T76" s="36">
        <v>2.98</v>
      </c>
      <c r="U76" s="21">
        <f t="shared" si="1"/>
        <v>29800</v>
      </c>
      <c r="V76" s="21">
        <f t="shared" si="2"/>
        <v>40000</v>
      </c>
    </row>
    <row r="77" ht="14.25" customHeight="1">
      <c r="A77" s="38">
        <v>0.24375</v>
      </c>
      <c r="B77" s="36">
        <v>108.0</v>
      </c>
      <c r="C77" s="36">
        <v>13.1</v>
      </c>
      <c r="D77" s="36">
        <v>1140.0</v>
      </c>
      <c r="E77" s="36">
        <v>1026.0</v>
      </c>
      <c r="F77" s="36">
        <v>0.9</v>
      </c>
      <c r="G77" s="36">
        <v>20.0</v>
      </c>
      <c r="H77" s="36">
        <v>1.31</v>
      </c>
      <c r="I77" s="36">
        <v>26.5</v>
      </c>
      <c r="J77" s="36">
        <v>83.4</v>
      </c>
      <c r="K77" s="36">
        <v>92.0</v>
      </c>
      <c r="L77" s="36">
        <v>44.3</v>
      </c>
      <c r="M77" s="36">
        <v>97.0</v>
      </c>
      <c r="N77" s="36">
        <v>45.0</v>
      </c>
      <c r="O77" s="36">
        <v>20.0</v>
      </c>
      <c r="P77" s="36">
        <v>37.0</v>
      </c>
      <c r="Q77" s="36">
        <v>0.33</v>
      </c>
      <c r="R77" s="36">
        <v>0.98</v>
      </c>
      <c r="S77" s="36">
        <v>1.98</v>
      </c>
      <c r="T77" s="36">
        <v>2.96</v>
      </c>
      <c r="U77" s="21">
        <f t="shared" si="1"/>
        <v>29600</v>
      </c>
      <c r="V77" s="21">
        <f t="shared" si="2"/>
        <v>10000</v>
      </c>
    </row>
    <row r="78" ht="14.25" customHeight="1">
      <c r="A78" s="38">
        <v>0.2465277777777778</v>
      </c>
      <c r="B78" s="36">
        <v>110.0</v>
      </c>
      <c r="C78" s="36">
        <v>13.5</v>
      </c>
      <c r="D78" s="36">
        <v>1175.0</v>
      </c>
      <c r="E78" s="36">
        <v>1077.0</v>
      </c>
      <c r="F78" s="36">
        <v>0.92</v>
      </c>
      <c r="G78" s="36">
        <v>20.0</v>
      </c>
      <c r="H78" s="36">
        <v>1.38</v>
      </c>
      <c r="I78" s="36">
        <v>28.0</v>
      </c>
      <c r="J78" s="36">
        <v>82.4</v>
      </c>
      <c r="K78" s="36">
        <v>94.0</v>
      </c>
      <c r="L78" s="36">
        <v>43.0</v>
      </c>
      <c r="M78" s="36">
        <v>97.0</v>
      </c>
      <c r="N78" s="36">
        <v>46.0</v>
      </c>
      <c r="O78" s="36">
        <v>20.0</v>
      </c>
      <c r="P78" s="36">
        <v>38.0</v>
      </c>
      <c r="Q78" s="36">
        <v>0.34</v>
      </c>
      <c r="R78" s="36">
        <v>0.99</v>
      </c>
      <c r="S78" s="36">
        <v>1.96</v>
      </c>
      <c r="T78" s="36">
        <v>2.95</v>
      </c>
      <c r="U78" s="21">
        <f t="shared" si="1"/>
        <v>29500</v>
      </c>
      <c r="V78" s="21">
        <f t="shared" si="2"/>
        <v>10000</v>
      </c>
    </row>
    <row r="79" ht="14.25" customHeight="1">
      <c r="A79" s="38">
        <v>0.24791666666666667</v>
      </c>
      <c r="B79" s="36">
        <v>112.0</v>
      </c>
      <c r="C79" s="36">
        <v>13.4</v>
      </c>
      <c r="D79" s="36">
        <v>1165.0</v>
      </c>
      <c r="E79" s="36">
        <v>1066.0</v>
      </c>
      <c r="F79" s="36">
        <v>0.92</v>
      </c>
      <c r="G79" s="36">
        <v>20.0</v>
      </c>
      <c r="H79" s="36">
        <v>1.37</v>
      </c>
      <c r="I79" s="36">
        <v>27.9</v>
      </c>
      <c r="J79" s="36">
        <v>82.5</v>
      </c>
      <c r="K79" s="36">
        <v>95.0</v>
      </c>
      <c r="L79" s="36">
        <v>42.7</v>
      </c>
      <c r="M79" s="36">
        <v>97.0</v>
      </c>
      <c r="N79" s="36">
        <v>45.0</v>
      </c>
      <c r="O79" s="36">
        <v>20.0</v>
      </c>
      <c r="P79" s="36">
        <v>37.0</v>
      </c>
      <c r="Q79" s="36">
        <v>0.34</v>
      </c>
      <c r="R79" s="36">
        <v>1.0</v>
      </c>
      <c r="S79" s="36">
        <v>1.94</v>
      </c>
      <c r="T79" s="36">
        <v>2.94</v>
      </c>
      <c r="U79" s="21">
        <f t="shared" si="1"/>
        <v>29400</v>
      </c>
      <c r="V79" s="21">
        <f t="shared" si="2"/>
        <v>10000</v>
      </c>
    </row>
    <row r="80" ht="14.25" customHeight="1">
      <c r="A80" s="38">
        <v>0.25</v>
      </c>
      <c r="B80" s="36">
        <v>113.0</v>
      </c>
      <c r="C80" s="36">
        <v>13.4</v>
      </c>
      <c r="D80" s="36">
        <v>1166.0</v>
      </c>
      <c r="E80" s="36">
        <v>1072.0</v>
      </c>
      <c r="F80" s="36">
        <v>0.92</v>
      </c>
      <c r="G80" s="36">
        <v>20.0</v>
      </c>
      <c r="H80" s="36">
        <v>1.36</v>
      </c>
      <c r="I80" s="36">
        <v>27.9</v>
      </c>
      <c r="J80" s="36">
        <v>82.5</v>
      </c>
      <c r="K80" s="36">
        <v>95.0</v>
      </c>
      <c r="L80" s="36">
        <v>42.6</v>
      </c>
      <c r="M80" s="36">
        <v>97.0</v>
      </c>
      <c r="N80" s="36">
        <v>45.0</v>
      </c>
      <c r="O80" s="36">
        <v>20.0</v>
      </c>
      <c r="P80" s="36">
        <v>38.0</v>
      </c>
      <c r="Q80" s="36">
        <v>0.34</v>
      </c>
      <c r="R80" s="36">
        <v>0.99</v>
      </c>
      <c r="S80" s="36">
        <v>1.94</v>
      </c>
      <c r="T80" s="36">
        <v>2.93</v>
      </c>
      <c r="U80" s="21">
        <f t="shared" si="1"/>
        <v>29300</v>
      </c>
      <c r="V80" s="21">
        <f t="shared" si="2"/>
        <v>1440000</v>
      </c>
    </row>
    <row r="81" ht="14.25" customHeight="1">
      <c r="A81" s="38">
        <v>0.25277777777777777</v>
      </c>
      <c r="B81" s="36">
        <v>115.0</v>
      </c>
      <c r="C81" s="36">
        <v>13.8</v>
      </c>
      <c r="D81" s="36">
        <v>1198.0</v>
      </c>
      <c r="E81" s="36">
        <v>1105.0</v>
      </c>
      <c r="F81" s="36">
        <v>0.92</v>
      </c>
      <c r="G81" s="36">
        <v>20.0</v>
      </c>
      <c r="H81" s="36">
        <v>1.43</v>
      </c>
      <c r="I81" s="36">
        <v>28.1</v>
      </c>
      <c r="J81" s="36">
        <v>82.4</v>
      </c>
      <c r="K81" s="36">
        <v>95.0</v>
      </c>
      <c r="L81" s="36">
        <v>42.3</v>
      </c>
      <c r="M81" s="36">
        <v>97.0</v>
      </c>
      <c r="N81" s="36">
        <v>45.0</v>
      </c>
      <c r="O81" s="36">
        <v>20.0</v>
      </c>
      <c r="P81" s="36">
        <v>39.0</v>
      </c>
      <c r="Q81" s="36">
        <v>0.34</v>
      </c>
      <c r="R81" s="36">
        <v>1.04</v>
      </c>
      <c r="S81" s="36">
        <v>2.02</v>
      </c>
      <c r="T81" s="36">
        <v>3.05</v>
      </c>
      <c r="U81" s="21">
        <f t="shared" si="1"/>
        <v>30500</v>
      </c>
      <c r="V81" s="21">
        <f t="shared" si="2"/>
        <v>490000</v>
      </c>
    </row>
    <row r="82" ht="14.25" customHeight="1">
      <c r="A82" s="38">
        <v>0.2548611111111111</v>
      </c>
      <c r="B82" s="36">
        <v>116.0</v>
      </c>
      <c r="C82" s="36">
        <v>13.7</v>
      </c>
      <c r="D82" s="36">
        <v>1194.0</v>
      </c>
      <c r="E82" s="36">
        <v>1097.0</v>
      </c>
      <c r="F82" s="36">
        <v>0.92</v>
      </c>
      <c r="G82" s="36">
        <v>19.0</v>
      </c>
      <c r="H82" s="36">
        <v>1.43</v>
      </c>
      <c r="I82" s="36">
        <v>27.5</v>
      </c>
      <c r="J82" s="36">
        <v>82.8</v>
      </c>
      <c r="K82" s="36">
        <v>96.0</v>
      </c>
      <c r="L82" s="36">
        <v>41.6</v>
      </c>
      <c r="M82" s="36">
        <v>97.0</v>
      </c>
      <c r="N82" s="36">
        <v>45.0</v>
      </c>
      <c r="O82" s="36">
        <v>19.0</v>
      </c>
      <c r="P82" s="36">
        <v>38.0</v>
      </c>
      <c r="Q82" s="36">
        <v>0.33</v>
      </c>
      <c r="R82" s="36">
        <v>1.04</v>
      </c>
      <c r="S82" s="36">
        <v>2.08</v>
      </c>
      <c r="T82" s="36">
        <v>3.12</v>
      </c>
      <c r="U82" s="21">
        <f t="shared" si="1"/>
        <v>31200</v>
      </c>
      <c r="V82" s="21">
        <f t="shared" si="2"/>
        <v>250000</v>
      </c>
    </row>
    <row r="83" ht="14.25" customHeight="1">
      <c r="A83" s="38">
        <v>0.2569444444444444</v>
      </c>
      <c r="B83" s="36">
        <v>117.0</v>
      </c>
      <c r="C83" s="36">
        <v>13.7</v>
      </c>
      <c r="D83" s="36">
        <v>1192.0</v>
      </c>
      <c r="E83" s="36">
        <v>1098.0</v>
      </c>
      <c r="F83" s="36">
        <v>0.92</v>
      </c>
      <c r="G83" s="36">
        <v>20.0</v>
      </c>
      <c r="H83" s="36">
        <v>1.42</v>
      </c>
      <c r="I83" s="36">
        <v>27.7</v>
      </c>
      <c r="J83" s="36">
        <v>82.6</v>
      </c>
      <c r="K83" s="36">
        <v>98.0</v>
      </c>
      <c r="L83" s="36">
        <v>40.5</v>
      </c>
      <c r="M83" s="36">
        <v>97.0</v>
      </c>
      <c r="N83" s="36">
        <v>46.0</v>
      </c>
      <c r="O83" s="36">
        <v>20.0</v>
      </c>
      <c r="P83" s="36">
        <v>38.0</v>
      </c>
      <c r="Q83" s="36">
        <v>0.34</v>
      </c>
      <c r="R83" s="36">
        <v>1.06</v>
      </c>
      <c r="S83" s="36">
        <v>2.02</v>
      </c>
      <c r="T83" s="36">
        <v>3.07</v>
      </c>
      <c r="U83" s="21">
        <f t="shared" si="1"/>
        <v>30700</v>
      </c>
      <c r="V83" s="21">
        <f t="shared" si="2"/>
        <v>0</v>
      </c>
    </row>
    <row r="84" ht="14.25" customHeight="1">
      <c r="A84" s="38">
        <v>0.2590277777777778</v>
      </c>
      <c r="B84" s="36">
        <v>118.0</v>
      </c>
      <c r="C84" s="36">
        <v>13.7</v>
      </c>
      <c r="D84" s="36">
        <v>1192.0</v>
      </c>
      <c r="E84" s="36">
        <v>1098.0</v>
      </c>
      <c r="F84" s="36">
        <v>0.92</v>
      </c>
      <c r="G84" s="36">
        <v>20.0</v>
      </c>
      <c r="H84" s="36">
        <v>1.42</v>
      </c>
      <c r="I84" s="36">
        <v>27.7</v>
      </c>
      <c r="J84" s="36">
        <v>82.6</v>
      </c>
      <c r="K84" s="36">
        <v>98.0</v>
      </c>
      <c r="L84" s="36">
        <v>40.3</v>
      </c>
      <c r="M84" s="36">
        <v>97.0</v>
      </c>
      <c r="N84" s="36">
        <v>46.0</v>
      </c>
      <c r="O84" s="36">
        <v>20.0</v>
      </c>
      <c r="P84" s="36">
        <v>38.0</v>
      </c>
      <c r="Q84" s="36">
        <v>0.34</v>
      </c>
      <c r="R84" s="36">
        <v>1.06</v>
      </c>
      <c r="S84" s="36">
        <v>2.02</v>
      </c>
      <c r="T84" s="36">
        <v>3.07</v>
      </c>
      <c r="U84" s="21">
        <f t="shared" si="1"/>
        <v>30700</v>
      </c>
      <c r="V84" s="21">
        <f t="shared" si="2"/>
        <v>360000</v>
      </c>
    </row>
    <row r="85" ht="14.25" customHeight="1">
      <c r="A85" s="38">
        <v>0.2611111111111111</v>
      </c>
      <c r="B85" s="36">
        <v>120.0</v>
      </c>
      <c r="C85" s="36">
        <v>14.3</v>
      </c>
      <c r="D85" s="36">
        <v>1242.0</v>
      </c>
      <c r="E85" s="36">
        <v>1129.0</v>
      </c>
      <c r="F85" s="36">
        <v>0.91</v>
      </c>
      <c r="G85" s="36">
        <v>19.0</v>
      </c>
      <c r="H85" s="36">
        <v>1.45</v>
      </c>
      <c r="I85" s="36">
        <v>27.7</v>
      </c>
      <c r="J85" s="36">
        <v>82.6</v>
      </c>
      <c r="K85" s="36">
        <v>99.0</v>
      </c>
      <c r="L85" s="36">
        <v>40.1</v>
      </c>
      <c r="M85" s="36">
        <v>97.0</v>
      </c>
      <c r="N85" s="36">
        <v>46.0</v>
      </c>
      <c r="O85" s="36">
        <v>19.0</v>
      </c>
      <c r="P85" s="36">
        <v>40.0</v>
      </c>
      <c r="Q85" s="36">
        <v>0.34</v>
      </c>
      <c r="R85" s="36">
        <v>1.06</v>
      </c>
      <c r="S85" s="36">
        <v>2.07</v>
      </c>
      <c r="T85" s="36">
        <v>3.13</v>
      </c>
      <c r="U85" s="21">
        <f t="shared" si="1"/>
        <v>31300</v>
      </c>
      <c r="V85" s="21">
        <f t="shared" si="2"/>
        <v>90000</v>
      </c>
    </row>
    <row r="86" ht="14.25" customHeight="1">
      <c r="A86" s="38">
        <v>0.26319444444444445</v>
      </c>
      <c r="B86" s="36">
        <v>122.0</v>
      </c>
      <c r="C86" s="36">
        <v>15.1</v>
      </c>
      <c r="D86" s="36">
        <v>1314.0</v>
      </c>
      <c r="E86" s="36">
        <v>1199.0</v>
      </c>
      <c r="F86" s="36">
        <v>0.91</v>
      </c>
      <c r="G86" s="36">
        <v>19.0</v>
      </c>
      <c r="H86" s="36">
        <v>1.54</v>
      </c>
      <c r="I86" s="36">
        <v>29.3</v>
      </c>
      <c r="J86" s="36">
        <v>81.7</v>
      </c>
      <c r="K86" s="36">
        <v>98.0</v>
      </c>
      <c r="L86" s="36">
        <v>40.3</v>
      </c>
      <c r="M86" s="36">
        <v>97.0</v>
      </c>
      <c r="N86" s="36">
        <v>46.0</v>
      </c>
      <c r="O86" s="36">
        <v>19.0</v>
      </c>
      <c r="P86" s="36">
        <v>42.0</v>
      </c>
      <c r="Q86" s="36">
        <v>0.35</v>
      </c>
      <c r="R86" s="36">
        <v>1.1</v>
      </c>
      <c r="S86" s="36">
        <v>2.06</v>
      </c>
      <c r="T86" s="36">
        <v>3.16</v>
      </c>
      <c r="U86" s="21">
        <f t="shared" si="1"/>
        <v>31600</v>
      </c>
      <c r="V86" s="21">
        <f t="shared" si="2"/>
        <v>0</v>
      </c>
    </row>
    <row r="87" ht="14.25" customHeight="1">
      <c r="A87" s="38">
        <v>0.26944444444444443</v>
      </c>
      <c r="B87" s="36">
        <v>127.0</v>
      </c>
      <c r="C87" s="36">
        <v>16.0</v>
      </c>
      <c r="D87" s="36">
        <v>1388.0</v>
      </c>
      <c r="E87" s="36">
        <v>1252.0</v>
      </c>
      <c r="F87" s="36">
        <v>0.9</v>
      </c>
      <c r="G87" s="36">
        <v>19.0</v>
      </c>
      <c r="H87" s="36">
        <v>1.59</v>
      </c>
      <c r="I87" s="36">
        <v>30.2</v>
      </c>
      <c r="J87" s="36">
        <v>81.1</v>
      </c>
      <c r="K87" s="36">
        <v>98.0</v>
      </c>
      <c r="L87" s="36">
        <v>40.3</v>
      </c>
      <c r="M87" s="36">
        <v>96.0</v>
      </c>
      <c r="N87" s="36">
        <v>47.0</v>
      </c>
      <c r="O87" s="36">
        <v>19.0</v>
      </c>
      <c r="P87" s="36">
        <v>45.0</v>
      </c>
      <c r="Q87" s="36">
        <v>0.35</v>
      </c>
      <c r="R87" s="36">
        <v>1.1</v>
      </c>
      <c r="S87" s="36">
        <v>2.07</v>
      </c>
      <c r="T87" s="36">
        <v>3.16</v>
      </c>
      <c r="U87" s="21">
        <f t="shared" si="1"/>
        <v>31600</v>
      </c>
      <c r="V87" s="21">
        <f t="shared" si="2"/>
        <v>2250000</v>
      </c>
    </row>
    <row r="88" ht="14.25" customHeight="1">
      <c r="A88" s="38">
        <v>0.27152777777777776</v>
      </c>
      <c r="B88" s="36">
        <v>128.0</v>
      </c>
      <c r="C88" s="36">
        <v>15.7</v>
      </c>
      <c r="D88" s="36">
        <v>1363.0</v>
      </c>
      <c r="E88" s="36">
        <v>1240.0</v>
      </c>
      <c r="F88" s="36">
        <v>0.91</v>
      </c>
      <c r="G88" s="36">
        <v>20.0</v>
      </c>
      <c r="H88" s="36">
        <v>1.52</v>
      </c>
      <c r="I88" s="36">
        <v>30.4</v>
      </c>
      <c r="J88" s="36">
        <v>80.9</v>
      </c>
      <c r="K88" s="36">
        <v>99.0</v>
      </c>
      <c r="L88" s="36">
        <v>40.0</v>
      </c>
      <c r="M88" s="36">
        <v>96.0</v>
      </c>
      <c r="N88" s="36">
        <v>47.0</v>
      </c>
      <c r="O88" s="36">
        <v>20.0</v>
      </c>
      <c r="P88" s="36">
        <v>44.0</v>
      </c>
      <c r="Q88" s="36">
        <v>0.35</v>
      </c>
      <c r="R88" s="36">
        <v>1.04</v>
      </c>
      <c r="S88" s="36">
        <v>1.97</v>
      </c>
      <c r="T88" s="36">
        <v>3.01</v>
      </c>
      <c r="U88" s="21">
        <f t="shared" si="1"/>
        <v>30100</v>
      </c>
      <c r="V88" s="21">
        <f t="shared" si="2"/>
        <v>40000</v>
      </c>
    </row>
    <row r="89" ht="14.25" customHeight="1">
      <c r="A89" s="38">
        <v>0.27361111111111114</v>
      </c>
      <c r="B89" s="36">
        <v>130.0</v>
      </c>
      <c r="C89" s="36">
        <v>16.4</v>
      </c>
      <c r="D89" s="36">
        <v>1431.0</v>
      </c>
      <c r="E89" s="36">
        <v>1315.0</v>
      </c>
      <c r="F89" s="36">
        <v>0.92</v>
      </c>
      <c r="G89" s="36">
        <v>20.0</v>
      </c>
      <c r="H89" s="36">
        <v>1.63</v>
      </c>
      <c r="I89" s="36">
        <v>32.2</v>
      </c>
      <c r="J89" s="36">
        <v>79.8</v>
      </c>
      <c r="K89" s="36">
        <v>100.0</v>
      </c>
      <c r="L89" s="36">
        <v>39.6</v>
      </c>
      <c r="M89" s="36">
        <v>96.0</v>
      </c>
      <c r="N89" s="36">
        <v>47.0</v>
      </c>
      <c r="O89" s="36">
        <v>20.0</v>
      </c>
      <c r="P89" s="36">
        <v>46.0</v>
      </c>
      <c r="Q89" s="36">
        <v>0.34</v>
      </c>
      <c r="R89" s="36">
        <v>1.02</v>
      </c>
      <c r="S89" s="36">
        <v>2.01</v>
      </c>
      <c r="T89" s="36">
        <v>3.03</v>
      </c>
      <c r="U89" s="21">
        <f t="shared" si="1"/>
        <v>30300</v>
      </c>
      <c r="V89" s="21">
        <f t="shared" si="2"/>
        <v>0</v>
      </c>
    </row>
    <row r="90" ht="14.25" customHeight="1">
      <c r="A90" s="38">
        <v>0.27569444444444446</v>
      </c>
      <c r="B90" s="36">
        <v>131.0</v>
      </c>
      <c r="C90" s="36">
        <v>16.4</v>
      </c>
      <c r="D90" s="36">
        <v>1431.0</v>
      </c>
      <c r="E90" s="36">
        <v>1314.0</v>
      </c>
      <c r="F90" s="36">
        <v>0.92</v>
      </c>
      <c r="G90" s="36">
        <v>20.0</v>
      </c>
      <c r="H90" s="36">
        <v>1.63</v>
      </c>
      <c r="I90" s="36">
        <v>32.2</v>
      </c>
      <c r="J90" s="36">
        <v>79.8</v>
      </c>
      <c r="K90" s="36">
        <v>100.0</v>
      </c>
      <c r="L90" s="36">
        <v>39.5</v>
      </c>
      <c r="M90" s="36">
        <v>96.0</v>
      </c>
      <c r="N90" s="36">
        <v>47.0</v>
      </c>
      <c r="O90" s="36">
        <v>20.0</v>
      </c>
      <c r="P90" s="36">
        <v>46.0</v>
      </c>
      <c r="Q90" s="36">
        <v>0.34</v>
      </c>
      <c r="R90" s="36">
        <v>1.02</v>
      </c>
      <c r="S90" s="36">
        <v>2.01</v>
      </c>
      <c r="T90" s="36">
        <v>3.03</v>
      </c>
      <c r="U90" s="21">
        <f t="shared" si="1"/>
        <v>30300</v>
      </c>
      <c r="V90" s="21">
        <f t="shared" si="2"/>
        <v>40000</v>
      </c>
    </row>
    <row r="91" ht="14.25" customHeight="1">
      <c r="A91" s="38">
        <v>0.27708333333333335</v>
      </c>
      <c r="B91" s="36">
        <v>133.0</v>
      </c>
      <c r="C91" s="36">
        <v>15.8</v>
      </c>
      <c r="D91" s="36">
        <v>1376.0</v>
      </c>
      <c r="E91" s="36">
        <v>1294.0</v>
      </c>
      <c r="F91" s="36">
        <v>0.94</v>
      </c>
      <c r="G91" s="36">
        <v>20.0</v>
      </c>
      <c r="H91" s="36">
        <v>1.61</v>
      </c>
      <c r="I91" s="36">
        <v>32.2</v>
      </c>
      <c r="J91" s="36">
        <v>79.8</v>
      </c>
      <c r="K91" s="36">
        <v>100.0</v>
      </c>
      <c r="L91" s="36">
        <v>39.4</v>
      </c>
      <c r="M91" s="36">
        <v>98.0</v>
      </c>
      <c r="N91" s="36">
        <v>46.0</v>
      </c>
      <c r="O91" s="36">
        <v>20.0</v>
      </c>
      <c r="P91" s="36">
        <v>44.0</v>
      </c>
      <c r="Q91" s="36">
        <v>0.33</v>
      </c>
      <c r="R91" s="36">
        <v>1.01</v>
      </c>
      <c r="S91" s="36">
        <v>2.0</v>
      </c>
      <c r="T91" s="36">
        <v>3.01</v>
      </c>
      <c r="U91" s="21">
        <f t="shared" si="1"/>
        <v>30100</v>
      </c>
      <c r="V91" s="21">
        <f t="shared" si="2"/>
        <v>1960000</v>
      </c>
    </row>
    <row r="92" ht="14.25" customHeight="1">
      <c r="A92" s="38">
        <v>0.27847222222222223</v>
      </c>
      <c r="B92" s="36">
        <v>133.0</v>
      </c>
      <c r="C92" s="36">
        <v>15.0</v>
      </c>
      <c r="D92" s="36">
        <v>1309.0</v>
      </c>
      <c r="E92" s="36">
        <v>1245.0</v>
      </c>
      <c r="F92" s="36">
        <v>0.95</v>
      </c>
      <c r="G92" s="36">
        <v>21.0</v>
      </c>
      <c r="H92" s="36">
        <v>1.53</v>
      </c>
      <c r="I92" s="36">
        <v>31.9</v>
      </c>
      <c r="J92" s="36">
        <v>80.0</v>
      </c>
      <c r="K92" s="36">
        <v>100.0</v>
      </c>
      <c r="L92" s="36">
        <v>39.4</v>
      </c>
      <c r="M92" s="36">
        <v>99.0</v>
      </c>
      <c r="N92" s="36">
        <v>46.0</v>
      </c>
      <c r="O92" s="36">
        <v>21.0</v>
      </c>
      <c r="P92" s="36">
        <v>42.0</v>
      </c>
      <c r="Q92" s="36">
        <v>0.34</v>
      </c>
      <c r="R92" s="36">
        <v>0.98</v>
      </c>
      <c r="S92" s="36">
        <v>1.89</v>
      </c>
      <c r="T92" s="36">
        <v>2.87</v>
      </c>
      <c r="U92" s="21">
        <f t="shared" si="1"/>
        <v>28700</v>
      </c>
      <c r="V92" s="21">
        <f t="shared" si="2"/>
        <v>640000</v>
      </c>
    </row>
    <row r="93" ht="14.25" customHeight="1">
      <c r="A93" s="38">
        <v>0.28055555555555556</v>
      </c>
      <c r="B93" s="36">
        <v>135.0</v>
      </c>
      <c r="C93" s="36">
        <v>14.6</v>
      </c>
      <c r="D93" s="36">
        <v>1270.0</v>
      </c>
      <c r="E93" s="36">
        <v>1212.0</v>
      </c>
      <c r="F93" s="36">
        <v>0.96</v>
      </c>
      <c r="G93" s="36">
        <v>22.0</v>
      </c>
      <c r="H93" s="36">
        <v>1.45</v>
      </c>
      <c r="I93" s="36">
        <v>31.1</v>
      </c>
      <c r="J93" s="36">
        <v>80.5</v>
      </c>
      <c r="K93" s="36">
        <v>100.0</v>
      </c>
      <c r="L93" s="36">
        <v>39.3</v>
      </c>
      <c r="M93" s="36">
        <v>99.0</v>
      </c>
      <c r="N93" s="36">
        <v>46.0</v>
      </c>
      <c r="O93" s="36">
        <v>22.0</v>
      </c>
      <c r="P93" s="36">
        <v>41.0</v>
      </c>
      <c r="Q93" s="36">
        <v>0.33</v>
      </c>
      <c r="R93" s="36">
        <v>0.92</v>
      </c>
      <c r="S93" s="36">
        <v>1.87</v>
      </c>
      <c r="T93" s="36">
        <v>2.79</v>
      </c>
      <c r="U93" s="21">
        <f t="shared" si="1"/>
        <v>27900</v>
      </c>
      <c r="V93" s="21">
        <f t="shared" si="2"/>
        <v>490000</v>
      </c>
    </row>
    <row r="94" ht="14.25" customHeight="1">
      <c r="A94" s="38">
        <v>0.28194444444444444</v>
      </c>
      <c r="B94" s="36">
        <v>136.0</v>
      </c>
      <c r="C94" s="36">
        <v>14.4</v>
      </c>
      <c r="D94" s="36">
        <v>1252.0</v>
      </c>
      <c r="E94" s="36">
        <v>1191.0</v>
      </c>
      <c r="F94" s="36">
        <v>0.95</v>
      </c>
      <c r="G94" s="36">
        <v>22.0</v>
      </c>
      <c r="H94" s="36">
        <v>1.38</v>
      </c>
      <c r="I94" s="36">
        <v>30.5</v>
      </c>
      <c r="J94" s="36">
        <v>80.9</v>
      </c>
      <c r="K94" s="36">
        <v>100.0</v>
      </c>
      <c r="L94" s="36">
        <v>39.3</v>
      </c>
      <c r="M94" s="36">
        <v>99.0</v>
      </c>
      <c r="N94" s="36">
        <v>46.0</v>
      </c>
      <c r="O94" s="36">
        <v>22.0</v>
      </c>
      <c r="P94" s="36">
        <v>40.0</v>
      </c>
      <c r="Q94" s="36">
        <v>0.33</v>
      </c>
      <c r="R94" s="36">
        <v>0.89</v>
      </c>
      <c r="S94" s="36">
        <v>1.83</v>
      </c>
      <c r="T94" s="36">
        <v>2.72</v>
      </c>
      <c r="U94" s="21">
        <f t="shared" si="1"/>
        <v>27200</v>
      </c>
      <c r="V94" s="21">
        <f t="shared" si="2"/>
        <v>160000</v>
      </c>
    </row>
    <row r="95" ht="14.25" customHeight="1">
      <c r="A95" s="38">
        <v>0.28402777777777777</v>
      </c>
      <c r="B95" s="36">
        <v>137.0</v>
      </c>
      <c r="C95" s="36">
        <v>14.9</v>
      </c>
      <c r="D95" s="36">
        <v>1297.0</v>
      </c>
      <c r="E95" s="36">
        <v>1232.0</v>
      </c>
      <c r="F95" s="36">
        <v>0.95</v>
      </c>
      <c r="G95" s="36">
        <v>22.0</v>
      </c>
      <c r="H95" s="36">
        <v>1.44</v>
      </c>
      <c r="I95" s="36">
        <v>31.3</v>
      </c>
      <c r="J95" s="36">
        <v>80.4</v>
      </c>
      <c r="K95" s="36">
        <v>100.0</v>
      </c>
      <c r="L95" s="36">
        <v>39.3</v>
      </c>
      <c r="M95" s="36">
        <v>98.0</v>
      </c>
      <c r="N95" s="36">
        <v>46.0</v>
      </c>
      <c r="O95" s="36">
        <v>22.0</v>
      </c>
      <c r="P95" s="36">
        <v>42.0</v>
      </c>
      <c r="Q95" s="36">
        <v>0.33</v>
      </c>
      <c r="R95" s="36">
        <v>0.91</v>
      </c>
      <c r="S95" s="36">
        <v>1.85</v>
      </c>
      <c r="T95" s="36">
        <v>2.76</v>
      </c>
      <c r="U95" s="21">
        <f t="shared" si="1"/>
        <v>27600</v>
      </c>
      <c r="V95" s="21">
        <f t="shared" si="2"/>
        <v>360000</v>
      </c>
    </row>
    <row r="96" ht="14.25" customHeight="1">
      <c r="A96" s="38">
        <v>0.2861111111111111</v>
      </c>
      <c r="B96" s="36">
        <v>139.0</v>
      </c>
      <c r="C96" s="36">
        <v>14.6</v>
      </c>
      <c r="D96" s="36">
        <v>1267.0</v>
      </c>
      <c r="E96" s="36">
        <v>1202.0</v>
      </c>
      <c r="F96" s="36">
        <v>0.95</v>
      </c>
      <c r="G96" s="36">
        <v>22.0</v>
      </c>
      <c r="H96" s="36">
        <v>1.38</v>
      </c>
      <c r="I96" s="36">
        <v>30.7</v>
      </c>
      <c r="J96" s="36">
        <v>80.8</v>
      </c>
      <c r="K96" s="36">
        <v>100.0</v>
      </c>
      <c r="L96" s="36">
        <v>39.2</v>
      </c>
      <c r="M96" s="36">
        <v>99.0</v>
      </c>
      <c r="N96" s="36">
        <v>46.0</v>
      </c>
      <c r="O96" s="36">
        <v>22.0</v>
      </c>
      <c r="P96" s="36">
        <v>41.0</v>
      </c>
      <c r="Q96" s="36">
        <v>0.34</v>
      </c>
      <c r="R96" s="36">
        <v>0.91</v>
      </c>
      <c r="S96" s="36">
        <v>1.79</v>
      </c>
      <c r="T96" s="36">
        <v>2.7</v>
      </c>
      <c r="U96" s="21">
        <f t="shared" si="1"/>
        <v>27000</v>
      </c>
      <c r="V96" s="21">
        <f t="shared" si="2"/>
        <v>10000</v>
      </c>
    </row>
    <row r="97" ht="14.25" customHeight="1">
      <c r="A97" s="38">
        <v>0.2881944444444444</v>
      </c>
      <c r="B97" s="36">
        <v>140.0</v>
      </c>
      <c r="C97" s="36">
        <v>15.3</v>
      </c>
      <c r="D97" s="36">
        <v>1329.0</v>
      </c>
      <c r="E97" s="36">
        <v>1255.0</v>
      </c>
      <c r="F97" s="36">
        <v>0.94</v>
      </c>
      <c r="G97" s="36">
        <v>22.0</v>
      </c>
      <c r="H97" s="36">
        <v>1.42</v>
      </c>
      <c r="I97" s="36">
        <v>31.6</v>
      </c>
      <c r="J97" s="36">
        <v>80.2</v>
      </c>
      <c r="K97" s="36">
        <v>101.0</v>
      </c>
      <c r="L97" s="36">
        <v>38.8</v>
      </c>
      <c r="M97" s="36">
        <v>97.0</v>
      </c>
      <c r="N97" s="36">
        <v>47.0</v>
      </c>
      <c r="O97" s="36">
        <v>22.0</v>
      </c>
      <c r="P97" s="36">
        <v>43.0</v>
      </c>
      <c r="Q97" s="36">
        <v>0.33</v>
      </c>
      <c r="R97" s="36">
        <v>0.9</v>
      </c>
      <c r="S97" s="36">
        <v>1.81</v>
      </c>
      <c r="T97" s="36">
        <v>2.71</v>
      </c>
      <c r="U97" s="21">
        <f t="shared" si="1"/>
        <v>27100</v>
      </c>
      <c r="V97" s="21">
        <f t="shared" si="2"/>
        <v>10000</v>
      </c>
    </row>
    <row r="98" ht="14.25" customHeight="1">
      <c r="A98" s="38">
        <v>0.2902777777777778</v>
      </c>
      <c r="B98" s="36">
        <v>142.0</v>
      </c>
      <c r="C98" s="36">
        <v>15.5</v>
      </c>
      <c r="D98" s="36">
        <v>1346.0</v>
      </c>
      <c r="E98" s="36">
        <v>1262.0</v>
      </c>
      <c r="F98" s="36">
        <v>0.94</v>
      </c>
      <c r="G98" s="36">
        <v>22.0</v>
      </c>
      <c r="H98" s="36">
        <v>1.42</v>
      </c>
      <c r="I98" s="36">
        <v>31.3</v>
      </c>
      <c r="J98" s="36">
        <v>80.4</v>
      </c>
      <c r="K98" s="36">
        <v>102.0</v>
      </c>
      <c r="L98" s="36">
        <v>38.2</v>
      </c>
      <c r="M98" s="36">
        <v>97.0</v>
      </c>
      <c r="N98" s="36">
        <v>47.0</v>
      </c>
      <c r="O98" s="36">
        <v>22.0</v>
      </c>
      <c r="P98" s="36">
        <v>43.0</v>
      </c>
      <c r="Q98" s="36">
        <v>0.33</v>
      </c>
      <c r="R98" s="36">
        <v>0.9</v>
      </c>
      <c r="S98" s="36">
        <v>1.83</v>
      </c>
      <c r="T98" s="36">
        <v>2.72</v>
      </c>
      <c r="U98" s="21">
        <f t="shared" si="1"/>
        <v>27200</v>
      </c>
      <c r="V98" s="21">
        <f t="shared" si="2"/>
        <v>160000</v>
      </c>
    </row>
    <row r="99" ht="14.25" customHeight="1">
      <c r="A99" s="38">
        <v>0.29305555555555557</v>
      </c>
      <c r="B99" s="36">
        <v>144.0</v>
      </c>
      <c r="C99" s="36">
        <v>16.4</v>
      </c>
      <c r="D99" s="36">
        <v>1423.0</v>
      </c>
      <c r="E99" s="36">
        <v>1335.0</v>
      </c>
      <c r="F99" s="36">
        <v>0.94</v>
      </c>
      <c r="G99" s="36">
        <v>22.0</v>
      </c>
      <c r="H99" s="36">
        <v>1.5</v>
      </c>
      <c r="I99" s="36">
        <v>32.6</v>
      </c>
      <c r="J99" s="36">
        <v>79.5</v>
      </c>
      <c r="K99" s="36">
        <v>103.0</v>
      </c>
      <c r="L99" s="36">
        <v>37.6</v>
      </c>
      <c r="M99" s="36">
        <v>97.0</v>
      </c>
      <c r="N99" s="36">
        <v>47.0</v>
      </c>
      <c r="O99" s="36">
        <v>22.0</v>
      </c>
      <c r="P99" s="36">
        <v>46.0</v>
      </c>
      <c r="Q99" s="36">
        <v>0.33</v>
      </c>
      <c r="R99" s="36">
        <v>0.92</v>
      </c>
      <c r="S99" s="36">
        <v>1.83</v>
      </c>
      <c r="T99" s="36">
        <v>2.76</v>
      </c>
      <c r="U99" s="21">
        <f t="shared" si="1"/>
        <v>27600</v>
      </c>
      <c r="V99" s="21">
        <f t="shared" si="2"/>
        <v>40000</v>
      </c>
    </row>
    <row r="100" ht="14.25" customHeight="1">
      <c r="A100" s="38">
        <v>0.2951388888888889</v>
      </c>
      <c r="B100" s="36">
        <v>145.0</v>
      </c>
      <c r="C100" s="36">
        <v>16.9</v>
      </c>
      <c r="D100" s="36">
        <v>1466.0</v>
      </c>
      <c r="E100" s="36">
        <v>1382.0</v>
      </c>
      <c r="F100" s="36">
        <v>0.94</v>
      </c>
      <c r="G100" s="36">
        <v>22.0</v>
      </c>
      <c r="H100" s="36">
        <v>1.53</v>
      </c>
      <c r="I100" s="36">
        <v>33.5</v>
      </c>
      <c r="J100" s="36">
        <v>79.0</v>
      </c>
      <c r="K100" s="36">
        <v>104.0</v>
      </c>
      <c r="L100" s="36">
        <v>37.1</v>
      </c>
      <c r="M100" s="36">
        <v>97.0</v>
      </c>
      <c r="N100" s="36">
        <v>48.0</v>
      </c>
      <c r="O100" s="36">
        <v>22.0</v>
      </c>
      <c r="P100" s="36">
        <v>47.0</v>
      </c>
      <c r="Q100" s="36">
        <v>0.32</v>
      </c>
      <c r="R100" s="36">
        <v>0.87</v>
      </c>
      <c r="S100" s="36">
        <v>1.87</v>
      </c>
      <c r="T100" s="36">
        <v>2.74</v>
      </c>
      <c r="U100" s="21">
        <f t="shared" si="1"/>
        <v>27400</v>
      </c>
      <c r="V100" s="21">
        <f t="shared" si="2"/>
        <v>360000</v>
      </c>
    </row>
    <row r="101" ht="14.25" customHeight="1">
      <c r="A101" s="38">
        <v>0.2972222222222222</v>
      </c>
      <c r="B101" s="36">
        <v>147.0</v>
      </c>
      <c r="C101" s="36">
        <v>17.0</v>
      </c>
      <c r="D101" s="36">
        <v>1483.0</v>
      </c>
      <c r="E101" s="36">
        <v>1421.0</v>
      </c>
      <c r="F101" s="36">
        <v>0.96</v>
      </c>
      <c r="G101" s="36">
        <v>21.0</v>
      </c>
      <c r="H101" s="36">
        <v>1.6</v>
      </c>
      <c r="I101" s="36">
        <v>34.3</v>
      </c>
      <c r="J101" s="36">
        <v>78.5</v>
      </c>
      <c r="K101" s="36">
        <v>104.0</v>
      </c>
      <c r="L101" s="36">
        <v>36.8</v>
      </c>
      <c r="M101" s="36">
        <v>97.0</v>
      </c>
      <c r="N101" s="36">
        <v>48.0</v>
      </c>
      <c r="O101" s="36">
        <v>21.0</v>
      </c>
      <c r="P101" s="36">
        <v>48.0</v>
      </c>
      <c r="Q101" s="36">
        <v>0.31</v>
      </c>
      <c r="R101" s="36">
        <v>0.87</v>
      </c>
      <c r="S101" s="36">
        <v>1.92</v>
      </c>
      <c r="T101" s="36">
        <v>2.8</v>
      </c>
      <c r="U101" s="21">
        <f t="shared" si="1"/>
        <v>28000</v>
      </c>
      <c r="V101" s="21">
        <f t="shared" si="2"/>
        <v>40000</v>
      </c>
    </row>
    <row r="102" ht="14.25" customHeight="1">
      <c r="A102" s="38">
        <v>0.29930555555555555</v>
      </c>
      <c r="B102" s="36">
        <v>148.0</v>
      </c>
      <c r="C102" s="36">
        <v>17.4</v>
      </c>
      <c r="D102" s="36">
        <v>1512.0</v>
      </c>
      <c r="E102" s="36">
        <v>1452.0</v>
      </c>
      <c r="F102" s="36">
        <v>0.96</v>
      </c>
      <c r="G102" s="36">
        <v>21.0</v>
      </c>
      <c r="H102" s="36">
        <v>1.64</v>
      </c>
      <c r="I102" s="36">
        <v>35.0</v>
      </c>
      <c r="J102" s="36">
        <v>78.1</v>
      </c>
      <c r="K102" s="36">
        <v>105.0</v>
      </c>
      <c r="L102" s="36">
        <v>36.4</v>
      </c>
      <c r="M102" s="36">
        <v>97.0</v>
      </c>
      <c r="N102" s="36">
        <v>48.0</v>
      </c>
      <c r="O102" s="36">
        <v>21.0</v>
      </c>
      <c r="P102" s="36">
        <v>49.0</v>
      </c>
      <c r="Q102" s="36">
        <v>0.31</v>
      </c>
      <c r="R102" s="36">
        <v>0.87</v>
      </c>
      <c r="S102" s="36">
        <v>1.95</v>
      </c>
      <c r="T102" s="36">
        <v>2.82</v>
      </c>
      <c r="U102" s="21">
        <f t="shared" si="1"/>
        <v>28200</v>
      </c>
      <c r="V102" s="21">
        <f t="shared" si="2"/>
        <v>90000</v>
      </c>
    </row>
    <row r="103" ht="14.25" customHeight="1">
      <c r="A103" s="38">
        <v>0.3013888888888889</v>
      </c>
      <c r="B103" s="36">
        <v>150.0</v>
      </c>
      <c r="C103" s="36">
        <v>17.6</v>
      </c>
      <c r="D103" s="36">
        <v>1527.0</v>
      </c>
      <c r="E103" s="36">
        <v>1474.0</v>
      </c>
      <c r="F103" s="36">
        <v>0.97</v>
      </c>
      <c r="G103" s="36">
        <v>21.0</v>
      </c>
      <c r="H103" s="36">
        <v>1.69</v>
      </c>
      <c r="I103" s="36">
        <v>35.6</v>
      </c>
      <c r="J103" s="36">
        <v>77.7</v>
      </c>
      <c r="K103" s="36">
        <v>106.0</v>
      </c>
      <c r="L103" s="36">
        <v>36.0</v>
      </c>
      <c r="M103" s="36">
        <v>97.0</v>
      </c>
      <c r="N103" s="36">
        <v>48.0</v>
      </c>
      <c r="O103" s="36">
        <v>21.0</v>
      </c>
      <c r="P103" s="36">
        <v>49.0</v>
      </c>
      <c r="Q103" s="36">
        <v>0.31</v>
      </c>
      <c r="R103" s="36">
        <v>0.89</v>
      </c>
      <c r="S103" s="36">
        <v>1.96</v>
      </c>
      <c r="T103" s="36">
        <v>2.85</v>
      </c>
      <c r="U103" s="21">
        <f t="shared" si="1"/>
        <v>28500</v>
      </c>
      <c r="V103" s="21">
        <f t="shared" si="2"/>
        <v>250000</v>
      </c>
    </row>
    <row r="104" ht="14.25" customHeight="1">
      <c r="A104" s="38">
        <v>0.3034722222222222</v>
      </c>
      <c r="B104" s="36">
        <v>151.0</v>
      </c>
      <c r="C104" s="36">
        <v>17.3</v>
      </c>
      <c r="D104" s="36">
        <v>1508.0</v>
      </c>
      <c r="E104" s="36">
        <v>1474.0</v>
      </c>
      <c r="F104" s="36">
        <v>0.98</v>
      </c>
      <c r="G104" s="36">
        <v>21.0</v>
      </c>
      <c r="H104" s="36">
        <v>1.72</v>
      </c>
      <c r="I104" s="36">
        <v>35.6</v>
      </c>
      <c r="J104" s="36">
        <v>77.7</v>
      </c>
      <c r="K104" s="36">
        <v>107.0</v>
      </c>
      <c r="L104" s="36">
        <v>35.4</v>
      </c>
      <c r="M104" s="36">
        <v>97.0</v>
      </c>
      <c r="N104" s="36">
        <v>48.0</v>
      </c>
      <c r="O104" s="36">
        <v>21.0</v>
      </c>
      <c r="P104" s="36">
        <v>49.0</v>
      </c>
      <c r="Q104" s="36">
        <v>0.31</v>
      </c>
      <c r="R104" s="36">
        <v>0.91</v>
      </c>
      <c r="S104" s="36">
        <v>2.0</v>
      </c>
      <c r="T104" s="36">
        <v>2.9</v>
      </c>
      <c r="U104" s="21">
        <f t="shared" si="1"/>
        <v>29000</v>
      </c>
      <c r="V104" s="21">
        <f t="shared" si="2"/>
        <v>90000</v>
      </c>
    </row>
    <row r="105" ht="14.25" customHeight="1">
      <c r="A105" s="38">
        <v>0.3055555555555556</v>
      </c>
      <c r="B105" s="36">
        <v>153.0</v>
      </c>
      <c r="C105" s="36">
        <v>17.6</v>
      </c>
      <c r="D105" s="36">
        <v>1534.0</v>
      </c>
      <c r="E105" s="36">
        <v>1484.0</v>
      </c>
      <c r="F105" s="36">
        <v>0.97</v>
      </c>
      <c r="G105" s="36">
        <v>21.0</v>
      </c>
      <c r="H105" s="36">
        <v>1.72</v>
      </c>
      <c r="I105" s="36">
        <v>35.9</v>
      </c>
      <c r="J105" s="36">
        <v>77.5</v>
      </c>
      <c r="K105" s="36">
        <v>107.0</v>
      </c>
      <c r="L105" s="36">
        <v>34.9</v>
      </c>
      <c r="M105" s="36">
        <v>97.0</v>
      </c>
      <c r="N105" s="36">
        <v>48.0</v>
      </c>
      <c r="O105" s="36">
        <v>21.0</v>
      </c>
      <c r="P105" s="36">
        <v>49.0</v>
      </c>
      <c r="Q105" s="36">
        <v>0.32</v>
      </c>
      <c r="R105" s="36">
        <v>0.91</v>
      </c>
      <c r="S105" s="36">
        <v>1.97</v>
      </c>
      <c r="T105" s="36">
        <v>2.87</v>
      </c>
      <c r="U105" s="21">
        <f t="shared" si="1"/>
        <v>28700</v>
      </c>
      <c r="V105" s="21">
        <f t="shared" si="2"/>
        <v>0</v>
      </c>
    </row>
    <row r="106" ht="14.25" customHeight="1">
      <c r="A106" s="38">
        <v>0.30694444444444446</v>
      </c>
      <c r="B106" s="36">
        <v>153.0</v>
      </c>
      <c r="C106" s="36">
        <v>17.6</v>
      </c>
      <c r="D106" s="36">
        <v>1534.0</v>
      </c>
      <c r="E106" s="36">
        <v>1484.0</v>
      </c>
      <c r="F106" s="36">
        <v>0.97</v>
      </c>
      <c r="G106" s="36">
        <v>21.0</v>
      </c>
      <c r="H106" s="36">
        <v>1.72</v>
      </c>
      <c r="I106" s="36">
        <v>35.9</v>
      </c>
      <c r="J106" s="36">
        <v>77.5</v>
      </c>
      <c r="K106" s="36">
        <v>109.0</v>
      </c>
      <c r="L106" s="36">
        <v>34.0</v>
      </c>
      <c r="M106" s="36">
        <v>97.0</v>
      </c>
      <c r="N106" s="36">
        <v>48.0</v>
      </c>
      <c r="O106" s="36">
        <v>21.0</v>
      </c>
      <c r="P106" s="36">
        <v>49.0</v>
      </c>
      <c r="Q106" s="36">
        <v>0.32</v>
      </c>
      <c r="R106" s="36">
        <v>0.91</v>
      </c>
      <c r="S106" s="36">
        <v>1.97</v>
      </c>
      <c r="T106" s="36">
        <v>2.87</v>
      </c>
      <c r="U106" s="21">
        <f t="shared" si="1"/>
        <v>28700</v>
      </c>
      <c r="V106" s="21">
        <f t="shared" si="2"/>
        <v>10000</v>
      </c>
    </row>
    <row r="107" ht="14.25" customHeight="1">
      <c r="A107" s="38">
        <v>0.3090277777777778</v>
      </c>
      <c r="B107" s="36">
        <v>156.0</v>
      </c>
      <c r="C107" s="36">
        <v>17.9</v>
      </c>
      <c r="D107" s="36">
        <v>1559.0</v>
      </c>
      <c r="E107" s="36">
        <v>1502.0</v>
      </c>
      <c r="F107" s="36">
        <v>0.96</v>
      </c>
      <c r="G107" s="36">
        <v>21.0</v>
      </c>
      <c r="H107" s="36">
        <v>1.73</v>
      </c>
      <c r="I107" s="36">
        <v>36.3</v>
      </c>
      <c r="J107" s="36">
        <v>77.3</v>
      </c>
      <c r="K107" s="36">
        <v>111.0</v>
      </c>
      <c r="L107" s="36">
        <v>33.0</v>
      </c>
      <c r="M107" s="36">
        <v>97.0</v>
      </c>
      <c r="N107" s="36">
        <v>48.0</v>
      </c>
      <c r="O107" s="36">
        <v>21.0</v>
      </c>
      <c r="P107" s="36">
        <v>50.0</v>
      </c>
      <c r="Q107" s="36">
        <v>0.32</v>
      </c>
      <c r="R107" s="36">
        <v>0.93</v>
      </c>
      <c r="S107" s="36">
        <v>1.93</v>
      </c>
      <c r="T107" s="36">
        <v>2.86</v>
      </c>
      <c r="U107" s="21">
        <f t="shared" si="1"/>
        <v>28600</v>
      </c>
      <c r="V107" s="21">
        <f t="shared" si="2"/>
        <v>10000</v>
      </c>
    </row>
    <row r="108" ht="14.25" customHeight="1">
      <c r="A108" s="38">
        <v>0.3111111111111111</v>
      </c>
      <c r="B108" s="36">
        <v>157.0</v>
      </c>
      <c r="C108" s="36">
        <v>18.4</v>
      </c>
      <c r="D108" s="36">
        <v>1602.0</v>
      </c>
      <c r="E108" s="36">
        <v>1542.0</v>
      </c>
      <c r="F108" s="36">
        <v>0.96</v>
      </c>
      <c r="G108" s="36">
        <v>21.0</v>
      </c>
      <c r="H108" s="36">
        <v>1.76</v>
      </c>
      <c r="I108" s="36">
        <v>37.1</v>
      </c>
      <c r="J108" s="36">
        <v>76.7</v>
      </c>
      <c r="K108" s="36">
        <v>112.0</v>
      </c>
      <c r="L108" s="36">
        <v>32.2</v>
      </c>
      <c r="M108" s="36">
        <v>96.0</v>
      </c>
      <c r="N108" s="36">
        <v>48.0</v>
      </c>
      <c r="O108" s="36">
        <v>21.0</v>
      </c>
      <c r="P108" s="36">
        <v>52.0</v>
      </c>
      <c r="Q108" s="36">
        <v>0.33</v>
      </c>
      <c r="R108" s="36">
        <v>0.93</v>
      </c>
      <c r="S108" s="36">
        <v>1.92</v>
      </c>
      <c r="T108" s="36">
        <v>2.85</v>
      </c>
      <c r="U108" s="21">
        <f t="shared" si="1"/>
        <v>28500</v>
      </c>
      <c r="V108" s="21">
        <f t="shared" si="2"/>
        <v>160000</v>
      </c>
    </row>
    <row r="109" ht="14.25" customHeight="1">
      <c r="A109" s="38">
        <v>0.3138888888888889</v>
      </c>
      <c r="B109" s="36">
        <v>159.0</v>
      </c>
      <c r="C109" s="36">
        <v>18.1</v>
      </c>
      <c r="D109" s="36">
        <v>1577.0</v>
      </c>
      <c r="E109" s="36">
        <v>1522.0</v>
      </c>
      <c r="F109" s="36">
        <v>0.97</v>
      </c>
      <c r="G109" s="36">
        <v>21.0</v>
      </c>
      <c r="H109" s="36">
        <v>1.76</v>
      </c>
      <c r="I109" s="36">
        <v>36.6</v>
      </c>
      <c r="J109" s="36">
        <v>77.1</v>
      </c>
      <c r="K109" s="36">
        <v>113.0</v>
      </c>
      <c r="L109" s="36">
        <v>31.7</v>
      </c>
      <c r="M109" s="36">
        <v>96.0</v>
      </c>
      <c r="N109" s="36">
        <v>48.0</v>
      </c>
      <c r="O109" s="36">
        <v>21.0</v>
      </c>
      <c r="P109" s="36">
        <v>51.0</v>
      </c>
      <c r="Q109" s="36">
        <v>0.32</v>
      </c>
      <c r="R109" s="36">
        <v>0.92</v>
      </c>
      <c r="S109" s="36">
        <v>1.97</v>
      </c>
      <c r="T109" s="36">
        <v>2.89</v>
      </c>
      <c r="U109" s="21">
        <f t="shared" si="1"/>
        <v>28900</v>
      </c>
      <c r="V109" s="21">
        <f t="shared" si="2"/>
        <v>3240000</v>
      </c>
    </row>
    <row r="110" ht="14.25" customHeight="1">
      <c r="A110" s="38">
        <v>0.31527777777777777</v>
      </c>
      <c r="B110" s="36">
        <v>160.0</v>
      </c>
      <c r="C110" s="36">
        <v>17.6</v>
      </c>
      <c r="D110" s="36">
        <v>1532.0</v>
      </c>
      <c r="E110" s="36">
        <v>1471.0</v>
      </c>
      <c r="F110" s="36">
        <v>0.96</v>
      </c>
      <c r="G110" s="36">
        <v>22.0</v>
      </c>
      <c r="H110" s="36">
        <v>1.61</v>
      </c>
      <c r="I110" s="36">
        <v>35.6</v>
      </c>
      <c r="J110" s="36">
        <v>77.7</v>
      </c>
      <c r="K110" s="36">
        <v>113.0</v>
      </c>
      <c r="L110" s="36">
        <v>31.5</v>
      </c>
      <c r="M110" s="36">
        <v>97.0</v>
      </c>
      <c r="N110" s="36">
        <v>48.0</v>
      </c>
      <c r="O110" s="36">
        <v>22.0</v>
      </c>
      <c r="P110" s="36">
        <v>49.0</v>
      </c>
      <c r="Q110" s="36">
        <v>0.33</v>
      </c>
      <c r="R110" s="36">
        <v>0.88</v>
      </c>
      <c r="S110" s="36">
        <v>1.82</v>
      </c>
      <c r="T110" s="36">
        <v>2.71</v>
      </c>
      <c r="U110" s="21">
        <f t="shared" si="1"/>
        <v>27100</v>
      </c>
      <c r="V110" s="21">
        <f t="shared" si="2"/>
        <v>160000</v>
      </c>
    </row>
    <row r="111" ht="14.25" customHeight="1">
      <c r="A111" s="38">
        <v>0.31666666666666665</v>
      </c>
      <c r="B111" s="36">
        <v>161.0</v>
      </c>
      <c r="C111" s="36">
        <v>18.4</v>
      </c>
      <c r="D111" s="36">
        <v>1599.0</v>
      </c>
      <c r="E111" s="36">
        <v>1516.0</v>
      </c>
      <c r="F111" s="36">
        <v>0.95</v>
      </c>
      <c r="G111" s="36">
        <v>22.0</v>
      </c>
      <c r="H111" s="36">
        <v>1.65</v>
      </c>
      <c r="I111" s="36">
        <v>36.0</v>
      </c>
      <c r="J111" s="36">
        <v>77.4</v>
      </c>
      <c r="K111" s="36">
        <v>114.0</v>
      </c>
      <c r="L111" s="36">
        <v>31.2</v>
      </c>
      <c r="M111" s="36">
        <v>96.0</v>
      </c>
      <c r="N111" s="36">
        <v>48.0</v>
      </c>
      <c r="O111" s="36">
        <v>22.0</v>
      </c>
      <c r="P111" s="36">
        <v>51.0</v>
      </c>
      <c r="Q111" s="36">
        <v>0.34</v>
      </c>
      <c r="R111" s="36">
        <v>0.92</v>
      </c>
      <c r="S111" s="36">
        <v>1.82</v>
      </c>
      <c r="T111" s="36">
        <v>2.75</v>
      </c>
      <c r="U111" s="21">
        <f t="shared" si="1"/>
        <v>27500</v>
      </c>
      <c r="V111" s="21">
        <f t="shared" si="2"/>
        <v>1440000</v>
      </c>
    </row>
    <row r="112" ht="14.25" customHeight="1">
      <c r="A112" s="38">
        <v>0.31805555555555554</v>
      </c>
      <c r="B112" s="36">
        <v>162.0</v>
      </c>
      <c r="C112" s="36">
        <v>19.0</v>
      </c>
      <c r="D112" s="36">
        <v>1653.0</v>
      </c>
      <c r="E112" s="36">
        <v>1554.0</v>
      </c>
      <c r="F112" s="36">
        <v>0.94</v>
      </c>
      <c r="G112" s="36">
        <v>23.0</v>
      </c>
      <c r="H112" s="36">
        <v>1.62</v>
      </c>
      <c r="I112" s="36">
        <v>36.9</v>
      </c>
      <c r="J112" s="36">
        <v>76.9</v>
      </c>
      <c r="K112" s="36">
        <v>114.0</v>
      </c>
      <c r="L112" s="36">
        <v>31.2</v>
      </c>
      <c r="M112" s="36">
        <v>96.0</v>
      </c>
      <c r="N112" s="36">
        <v>48.0</v>
      </c>
      <c r="O112" s="36">
        <v>23.0</v>
      </c>
      <c r="P112" s="36">
        <v>53.0</v>
      </c>
      <c r="Q112" s="36">
        <v>0.35</v>
      </c>
      <c r="R112" s="36">
        <v>0.93</v>
      </c>
      <c r="S112" s="36">
        <v>1.7</v>
      </c>
      <c r="T112" s="36">
        <v>2.63</v>
      </c>
      <c r="U112" s="21">
        <f t="shared" si="1"/>
        <v>26300</v>
      </c>
      <c r="V112" s="21">
        <f t="shared" si="2"/>
        <v>90000</v>
      </c>
    </row>
    <row r="113" ht="14.25" customHeight="1">
      <c r="A113" s="38">
        <v>0.3194444444444444</v>
      </c>
      <c r="B113" s="36">
        <v>163.0</v>
      </c>
      <c r="C113" s="36">
        <v>19.4</v>
      </c>
      <c r="D113" s="36">
        <v>1688.0</v>
      </c>
      <c r="E113" s="36">
        <v>1584.0</v>
      </c>
      <c r="F113" s="36">
        <v>0.94</v>
      </c>
      <c r="G113" s="36">
        <v>23.0</v>
      </c>
      <c r="H113" s="36">
        <v>1.63</v>
      </c>
      <c r="I113" s="36">
        <v>37.5</v>
      </c>
      <c r="J113" s="36">
        <v>76.5</v>
      </c>
      <c r="K113" s="36">
        <v>113.0</v>
      </c>
      <c r="L113" s="36">
        <v>31.3</v>
      </c>
      <c r="M113" s="36">
        <v>97.0</v>
      </c>
      <c r="N113" s="36">
        <v>48.0</v>
      </c>
      <c r="O113" s="36">
        <v>23.0</v>
      </c>
      <c r="P113" s="36">
        <v>54.0</v>
      </c>
      <c r="Q113" s="36">
        <v>0.36</v>
      </c>
      <c r="R113" s="36">
        <v>0.94</v>
      </c>
      <c r="S113" s="36">
        <v>1.66</v>
      </c>
      <c r="T113" s="36">
        <v>2.6</v>
      </c>
      <c r="U113" s="21">
        <f t="shared" si="1"/>
        <v>26000</v>
      </c>
      <c r="V113" s="21">
        <f t="shared" si="2"/>
        <v>3610000</v>
      </c>
    </row>
    <row r="114" ht="14.25" customHeight="1">
      <c r="A114" s="38">
        <v>0.3215277777777778</v>
      </c>
      <c r="B114" s="36">
        <v>164.0</v>
      </c>
      <c r="C114" s="36">
        <v>19.4</v>
      </c>
      <c r="D114" s="36">
        <v>1688.0</v>
      </c>
      <c r="E114" s="36">
        <v>1571.0</v>
      </c>
      <c r="F114" s="36">
        <v>0.93</v>
      </c>
      <c r="G114" s="36">
        <v>25.0</v>
      </c>
      <c r="H114" s="36">
        <v>1.53</v>
      </c>
      <c r="I114" s="36">
        <v>38.1</v>
      </c>
      <c r="J114" s="36">
        <v>76.1</v>
      </c>
      <c r="K114" s="36">
        <v>113.0</v>
      </c>
      <c r="L114" s="36">
        <v>31.5</v>
      </c>
      <c r="M114" s="36">
        <v>96.0</v>
      </c>
      <c r="N114" s="36">
        <v>48.0</v>
      </c>
      <c r="O114" s="36">
        <v>25.0</v>
      </c>
      <c r="P114" s="36">
        <v>54.0</v>
      </c>
      <c r="Q114" s="36">
        <v>0.36</v>
      </c>
      <c r="R114" s="36">
        <v>0.88</v>
      </c>
      <c r="S114" s="36">
        <v>1.53</v>
      </c>
      <c r="T114" s="36">
        <v>2.41</v>
      </c>
      <c r="U114" s="21">
        <f t="shared" si="1"/>
        <v>24100</v>
      </c>
      <c r="V114" s="21">
        <f t="shared" si="2"/>
        <v>810000</v>
      </c>
    </row>
    <row r="115" ht="14.25" customHeight="1">
      <c r="A115" s="38">
        <v>0.3229166666666667</v>
      </c>
      <c r="B115" s="36">
        <v>166.0</v>
      </c>
      <c r="C115" s="36">
        <v>17.8</v>
      </c>
      <c r="D115" s="36">
        <v>1549.0</v>
      </c>
      <c r="E115" s="36">
        <v>1436.0</v>
      </c>
      <c r="F115" s="36">
        <v>0.93</v>
      </c>
      <c r="G115" s="36">
        <v>26.0</v>
      </c>
      <c r="H115" s="36">
        <v>1.36</v>
      </c>
      <c r="I115" s="36">
        <v>35.4</v>
      </c>
      <c r="J115" s="36">
        <v>77.8</v>
      </c>
      <c r="K115" s="36">
        <v>113.0</v>
      </c>
      <c r="L115" s="36">
        <v>31.4</v>
      </c>
      <c r="M115" s="36">
        <v>95.0</v>
      </c>
      <c r="N115" s="36">
        <v>48.0</v>
      </c>
      <c r="O115" s="36">
        <v>26.0</v>
      </c>
      <c r="P115" s="36">
        <v>50.0</v>
      </c>
      <c r="Q115" s="36">
        <v>0.33</v>
      </c>
      <c r="R115" s="36">
        <v>0.75</v>
      </c>
      <c r="S115" s="36">
        <v>1.56</v>
      </c>
      <c r="T115" s="36">
        <v>2.32</v>
      </c>
      <c r="U115" s="21">
        <f t="shared" si="1"/>
        <v>23200</v>
      </c>
      <c r="V115" s="21">
        <f t="shared" si="2"/>
        <v>810000</v>
      </c>
    </row>
    <row r="116" ht="14.25" customHeight="1">
      <c r="A116" s="38">
        <v>0.32430555555555557</v>
      </c>
      <c r="B116" s="36">
        <v>166.0</v>
      </c>
      <c r="C116" s="36">
        <v>20.8</v>
      </c>
      <c r="D116" s="36">
        <v>1811.0</v>
      </c>
      <c r="E116" s="36">
        <v>1658.0</v>
      </c>
      <c r="F116" s="36">
        <v>0.92</v>
      </c>
      <c r="G116" s="36">
        <v>27.0</v>
      </c>
      <c r="H116" s="36">
        <v>1.48</v>
      </c>
      <c r="I116" s="36">
        <v>39.9</v>
      </c>
      <c r="J116" s="36">
        <v>75.0</v>
      </c>
      <c r="K116" s="36">
        <v>113.0</v>
      </c>
      <c r="L116" s="36">
        <v>31.7</v>
      </c>
      <c r="M116" s="36">
        <v>96.0</v>
      </c>
      <c r="N116" s="36">
        <v>48.0</v>
      </c>
      <c r="O116" s="36">
        <v>27.0</v>
      </c>
      <c r="P116" s="36">
        <v>58.0</v>
      </c>
      <c r="Q116" s="36">
        <v>0.38</v>
      </c>
      <c r="R116" s="36">
        <v>0.84</v>
      </c>
      <c r="S116" s="36">
        <v>1.39</v>
      </c>
      <c r="T116" s="36">
        <v>2.23</v>
      </c>
      <c r="U116" s="21">
        <f t="shared" si="1"/>
        <v>22300</v>
      </c>
      <c r="V116" s="21">
        <f t="shared" si="2"/>
        <v>90000</v>
      </c>
    </row>
    <row r="117" ht="14.25" customHeight="1">
      <c r="A117" s="38">
        <v>0.32569444444444445</v>
      </c>
      <c r="B117" s="36">
        <v>168.0</v>
      </c>
      <c r="C117" s="36">
        <v>23.4</v>
      </c>
      <c r="D117" s="36">
        <v>2038.0</v>
      </c>
      <c r="E117" s="36">
        <v>1867.0</v>
      </c>
      <c r="F117" s="36">
        <v>0.92</v>
      </c>
      <c r="G117" s="36">
        <v>27.0</v>
      </c>
      <c r="H117" s="36">
        <v>1.68</v>
      </c>
      <c r="I117" s="36">
        <v>44.5</v>
      </c>
      <c r="J117" s="36">
        <v>72.1</v>
      </c>
      <c r="K117" s="36">
        <v>113.0</v>
      </c>
      <c r="L117" s="36">
        <v>31.8</v>
      </c>
      <c r="M117" s="36">
        <v>95.0</v>
      </c>
      <c r="N117" s="36">
        <v>48.0</v>
      </c>
      <c r="O117" s="36">
        <v>27.0</v>
      </c>
      <c r="P117" s="36">
        <v>66.0</v>
      </c>
      <c r="Q117" s="36">
        <v>0.38</v>
      </c>
      <c r="R117" s="36">
        <v>0.86</v>
      </c>
      <c r="S117" s="36">
        <v>1.4</v>
      </c>
      <c r="T117" s="36">
        <v>2.26</v>
      </c>
      <c r="U117" s="21">
        <f t="shared" si="1"/>
        <v>22600</v>
      </c>
      <c r="V117" s="21">
        <f t="shared" si="2"/>
        <v>250000</v>
      </c>
    </row>
    <row r="118" ht="14.25" customHeight="1">
      <c r="A118" s="38">
        <v>0.32708333333333334</v>
      </c>
      <c r="B118" s="36">
        <v>169.0</v>
      </c>
      <c r="C118" s="36">
        <v>21.8</v>
      </c>
      <c r="D118" s="36">
        <v>1899.0</v>
      </c>
      <c r="E118" s="36">
        <v>1749.0</v>
      </c>
      <c r="F118" s="36">
        <v>0.92</v>
      </c>
      <c r="G118" s="36">
        <v>27.0</v>
      </c>
      <c r="H118" s="36">
        <v>1.56</v>
      </c>
      <c r="I118" s="36">
        <v>42.4</v>
      </c>
      <c r="J118" s="36">
        <v>73.4</v>
      </c>
      <c r="K118" s="36">
        <v>112.0</v>
      </c>
      <c r="L118" s="36">
        <v>32.0</v>
      </c>
      <c r="M118" s="36">
        <v>96.0</v>
      </c>
      <c r="N118" s="36">
        <v>48.0</v>
      </c>
      <c r="O118" s="36">
        <v>27.0</v>
      </c>
      <c r="P118" s="36">
        <v>61.0</v>
      </c>
      <c r="Q118" s="36">
        <v>0.39</v>
      </c>
      <c r="R118" s="36">
        <v>0.86</v>
      </c>
      <c r="S118" s="36">
        <v>1.34</v>
      </c>
      <c r="T118" s="36">
        <v>2.21</v>
      </c>
      <c r="U118" s="21">
        <f t="shared" si="1"/>
        <v>22100</v>
      </c>
      <c r="V118" s="21">
        <f t="shared" si="2"/>
        <v>10000</v>
      </c>
    </row>
    <row r="119" ht="14.25" customHeight="1">
      <c r="A119" s="38">
        <v>0.32916666666666666</v>
      </c>
      <c r="B119" s="36">
        <v>170.0</v>
      </c>
      <c r="C119" s="36">
        <v>22.9</v>
      </c>
      <c r="D119" s="36">
        <v>1993.0</v>
      </c>
      <c r="E119" s="36">
        <v>1837.0</v>
      </c>
      <c r="F119" s="36">
        <v>0.92</v>
      </c>
      <c r="G119" s="36">
        <v>27.0</v>
      </c>
      <c r="H119" s="36">
        <v>1.63</v>
      </c>
      <c r="I119" s="36">
        <v>44.4</v>
      </c>
      <c r="J119" s="36">
        <v>72.2</v>
      </c>
      <c r="K119" s="36">
        <v>112.0</v>
      </c>
      <c r="L119" s="36">
        <v>32.2</v>
      </c>
      <c r="M119" s="36">
        <v>97.0</v>
      </c>
      <c r="N119" s="36">
        <v>48.0</v>
      </c>
      <c r="O119" s="36">
        <v>27.0</v>
      </c>
      <c r="P119" s="36">
        <v>64.0</v>
      </c>
      <c r="Q119" s="36">
        <v>0.38</v>
      </c>
      <c r="R119" s="36">
        <v>0.85</v>
      </c>
      <c r="S119" s="36">
        <v>1.36</v>
      </c>
      <c r="T119" s="36">
        <v>2.2</v>
      </c>
      <c r="U119" s="21">
        <f t="shared" si="1"/>
        <v>22000</v>
      </c>
      <c r="V119" s="21">
        <f t="shared" si="2"/>
        <v>10000</v>
      </c>
    </row>
    <row r="120" ht="14.25" customHeight="1">
      <c r="A120" s="38">
        <v>0.33055555555555555</v>
      </c>
      <c r="B120" s="36">
        <v>171.0</v>
      </c>
      <c r="C120" s="36">
        <v>24.5</v>
      </c>
      <c r="D120" s="36">
        <v>2134.0</v>
      </c>
      <c r="E120" s="36">
        <v>1988.0</v>
      </c>
      <c r="F120" s="36">
        <v>0.93</v>
      </c>
      <c r="G120" s="36">
        <v>27.0</v>
      </c>
      <c r="H120" s="36">
        <v>1.76</v>
      </c>
      <c r="I120" s="36">
        <v>48.0</v>
      </c>
      <c r="J120" s="36">
        <v>69.9</v>
      </c>
      <c r="K120" s="36">
        <v>114.0</v>
      </c>
      <c r="L120" s="36">
        <v>30.8</v>
      </c>
      <c r="M120" s="36">
        <v>96.0</v>
      </c>
      <c r="N120" s="36">
        <v>48.0</v>
      </c>
      <c r="O120" s="36">
        <v>27.0</v>
      </c>
      <c r="P120" s="36">
        <v>69.0</v>
      </c>
      <c r="Q120" s="36">
        <v>0.37</v>
      </c>
      <c r="R120" s="36">
        <v>0.81</v>
      </c>
      <c r="S120" s="36">
        <v>1.38</v>
      </c>
      <c r="T120" s="36">
        <v>2.19</v>
      </c>
      <c r="U120" s="21">
        <f t="shared" si="1"/>
        <v>21900</v>
      </c>
      <c r="V120" s="21">
        <f t="shared" si="2"/>
        <v>360000</v>
      </c>
    </row>
    <row r="121" ht="14.25" customHeight="1">
      <c r="A121" s="38">
        <v>0.3326388888888889</v>
      </c>
      <c r="B121" s="36">
        <v>172.0</v>
      </c>
      <c r="C121" s="36">
        <v>25.0</v>
      </c>
      <c r="D121" s="36">
        <v>2173.0</v>
      </c>
      <c r="E121" s="36">
        <v>2074.0</v>
      </c>
      <c r="F121" s="36">
        <v>0.95</v>
      </c>
      <c r="G121" s="36">
        <v>27.0</v>
      </c>
      <c r="H121" s="36">
        <v>1.89</v>
      </c>
      <c r="I121" s="36">
        <v>50.5</v>
      </c>
      <c r="J121" s="36">
        <v>68.4</v>
      </c>
      <c r="K121" s="36">
        <v>113.0</v>
      </c>
      <c r="L121" s="36">
        <v>31.6</v>
      </c>
      <c r="M121" s="36">
        <v>98.0</v>
      </c>
      <c r="N121" s="36">
        <v>48.0</v>
      </c>
      <c r="O121" s="36">
        <v>27.0</v>
      </c>
      <c r="P121" s="36">
        <v>70.0</v>
      </c>
      <c r="Q121" s="36">
        <v>0.36</v>
      </c>
      <c r="R121" s="36">
        <v>0.82</v>
      </c>
      <c r="S121" s="36">
        <v>1.43</v>
      </c>
      <c r="T121" s="36">
        <v>2.25</v>
      </c>
      <c r="U121" s="21">
        <f t="shared" si="1"/>
        <v>22500</v>
      </c>
      <c r="V121" s="8">
        <v>0.0</v>
      </c>
    </row>
    <row r="122" ht="14.25" customHeight="1">
      <c r="A122" s="36" t="s">
        <v>80</v>
      </c>
      <c r="V122" s="8"/>
    </row>
    <row r="123" ht="14.25" customHeight="1">
      <c r="A123" s="38">
        <v>0.33402777777777776</v>
      </c>
      <c r="B123" s="36">
        <v>173.0</v>
      </c>
      <c r="C123" s="36">
        <v>25.4</v>
      </c>
      <c r="D123" s="36">
        <v>2207.0</v>
      </c>
      <c r="E123" s="36">
        <v>2147.0</v>
      </c>
      <c r="F123" s="36">
        <v>0.97</v>
      </c>
      <c r="G123" s="36">
        <v>25.0</v>
      </c>
      <c r="H123" s="36">
        <v>2.05</v>
      </c>
      <c r="I123" s="36">
        <v>52.0</v>
      </c>
      <c r="J123" s="36">
        <v>67.4</v>
      </c>
      <c r="K123" s="36">
        <v>116.0</v>
      </c>
      <c r="L123" s="36">
        <v>29.9</v>
      </c>
      <c r="M123" s="36">
        <v>97.0</v>
      </c>
      <c r="N123" s="36">
        <v>48.0</v>
      </c>
      <c r="O123" s="36">
        <v>25.0</v>
      </c>
      <c r="P123" s="36">
        <v>71.0</v>
      </c>
      <c r="Q123" s="36">
        <v>0.35</v>
      </c>
      <c r="R123" s="36">
        <v>0.82</v>
      </c>
      <c r="S123" s="36">
        <v>1.54</v>
      </c>
      <c r="T123" s="36">
        <v>2.36</v>
      </c>
      <c r="U123" s="21">
        <f t="shared" ref="U123:U168" si="3">T123*10000</f>
        <v>23600</v>
      </c>
      <c r="V123" s="21">
        <f t="shared" ref="V123:V167" si="4">(U123-U124)^2</f>
        <v>7840000</v>
      </c>
      <c r="W123" s="8">
        <f>SQRT(AVERAGE(V123:V267))</f>
        <v>690.7253067</v>
      </c>
    </row>
    <row r="124" ht="14.25" customHeight="1">
      <c r="A124" s="38">
        <v>0.3368055555555556</v>
      </c>
      <c r="B124" s="36">
        <v>175.0</v>
      </c>
      <c r="C124" s="36">
        <v>25.0</v>
      </c>
      <c r="D124" s="36">
        <v>2174.0</v>
      </c>
      <c r="E124" s="36">
        <v>2232.0</v>
      </c>
      <c r="F124" s="36">
        <v>1.03</v>
      </c>
      <c r="G124" s="36">
        <v>23.0</v>
      </c>
      <c r="H124" s="36">
        <v>2.44</v>
      </c>
      <c r="I124" s="36">
        <v>55.5</v>
      </c>
      <c r="J124" s="36">
        <v>65.2</v>
      </c>
      <c r="K124" s="36">
        <v>118.0</v>
      </c>
      <c r="L124" s="36">
        <v>28.7</v>
      </c>
      <c r="M124" s="36">
        <v>99.0</v>
      </c>
      <c r="N124" s="36">
        <v>47.0</v>
      </c>
      <c r="O124" s="36">
        <v>23.0</v>
      </c>
      <c r="P124" s="36">
        <v>70.0</v>
      </c>
      <c r="Q124" s="36">
        <v>0.35</v>
      </c>
      <c r="R124" s="36">
        <v>0.92</v>
      </c>
      <c r="S124" s="36">
        <v>1.71</v>
      </c>
      <c r="T124" s="36">
        <v>2.64</v>
      </c>
      <c r="U124" s="21">
        <f t="shared" si="3"/>
        <v>26400</v>
      </c>
      <c r="V124" s="21">
        <f t="shared" si="4"/>
        <v>810000</v>
      </c>
    </row>
    <row r="125" ht="14.25" customHeight="1">
      <c r="A125" s="38">
        <v>0.33819444444444446</v>
      </c>
      <c r="B125" s="36">
        <v>177.0</v>
      </c>
      <c r="C125" s="36">
        <v>23.4</v>
      </c>
      <c r="D125" s="36">
        <v>2032.0</v>
      </c>
      <c r="E125" s="36">
        <v>2165.0</v>
      </c>
      <c r="F125" s="36">
        <v>1.07</v>
      </c>
      <c r="G125" s="36">
        <v>22.0</v>
      </c>
      <c r="H125" s="36">
        <v>2.48</v>
      </c>
      <c r="I125" s="36">
        <v>54.4</v>
      </c>
      <c r="J125" s="36">
        <v>65.9</v>
      </c>
      <c r="K125" s="36">
        <v>119.0</v>
      </c>
      <c r="L125" s="36">
        <v>27.7</v>
      </c>
      <c r="M125" s="36">
        <v>101.0</v>
      </c>
      <c r="N125" s="36">
        <v>47.0</v>
      </c>
      <c r="O125" s="36">
        <v>22.0</v>
      </c>
      <c r="P125" s="36">
        <v>65.0</v>
      </c>
      <c r="Q125" s="36">
        <v>0.34</v>
      </c>
      <c r="R125" s="36">
        <v>0.93</v>
      </c>
      <c r="S125" s="36">
        <v>1.8</v>
      </c>
      <c r="T125" s="36">
        <v>2.73</v>
      </c>
      <c r="U125" s="21">
        <f t="shared" si="3"/>
        <v>27300</v>
      </c>
      <c r="V125" s="21">
        <f t="shared" si="4"/>
        <v>40000</v>
      </c>
    </row>
    <row r="126" ht="14.25" customHeight="1">
      <c r="A126" s="38">
        <v>0.3402777777777778</v>
      </c>
      <c r="B126" s="36">
        <v>178.0</v>
      </c>
      <c r="C126" s="36">
        <v>24.4</v>
      </c>
      <c r="D126" s="36">
        <v>2119.0</v>
      </c>
      <c r="E126" s="36">
        <v>2227.0</v>
      </c>
      <c r="F126" s="36">
        <v>1.05</v>
      </c>
      <c r="G126" s="36">
        <v>22.0</v>
      </c>
      <c r="H126" s="36">
        <v>2.54</v>
      </c>
      <c r="I126" s="36">
        <v>55.4</v>
      </c>
      <c r="J126" s="36">
        <v>65.3</v>
      </c>
      <c r="K126" s="36">
        <v>121.0</v>
      </c>
      <c r="L126" s="36">
        <v>26.8</v>
      </c>
      <c r="M126" s="36">
        <v>100.0</v>
      </c>
      <c r="N126" s="36">
        <v>48.0</v>
      </c>
      <c r="O126" s="36">
        <v>22.0</v>
      </c>
      <c r="P126" s="36">
        <v>68.0</v>
      </c>
      <c r="Q126" s="36">
        <v>0.34</v>
      </c>
      <c r="R126" s="36">
        <v>0.92</v>
      </c>
      <c r="S126" s="36">
        <v>1.83</v>
      </c>
      <c r="T126" s="36">
        <v>2.75</v>
      </c>
      <c r="U126" s="21">
        <f t="shared" si="3"/>
        <v>27500</v>
      </c>
      <c r="V126" s="21">
        <f t="shared" si="4"/>
        <v>0</v>
      </c>
    </row>
    <row r="127" ht="14.25" customHeight="1">
      <c r="A127" s="38">
        <v>0.3423611111111111</v>
      </c>
      <c r="B127" s="36">
        <v>179.0</v>
      </c>
      <c r="C127" s="36">
        <v>23.6</v>
      </c>
      <c r="D127" s="36">
        <v>2050.0</v>
      </c>
      <c r="E127" s="36">
        <v>2176.0</v>
      </c>
      <c r="F127" s="36">
        <v>1.06</v>
      </c>
      <c r="G127" s="36">
        <v>22.0</v>
      </c>
      <c r="H127" s="36">
        <v>2.5</v>
      </c>
      <c r="I127" s="36">
        <v>54.4</v>
      </c>
      <c r="J127" s="36">
        <v>65.9</v>
      </c>
      <c r="K127" s="36">
        <v>122.0</v>
      </c>
      <c r="L127" s="36">
        <v>26.2</v>
      </c>
      <c r="M127" s="36">
        <v>100.0</v>
      </c>
      <c r="N127" s="36">
        <v>48.0</v>
      </c>
      <c r="O127" s="36">
        <v>22.0</v>
      </c>
      <c r="P127" s="36">
        <v>66.0</v>
      </c>
      <c r="Q127" s="36">
        <v>0.34</v>
      </c>
      <c r="R127" s="36">
        <v>0.95</v>
      </c>
      <c r="S127" s="36">
        <v>1.81</v>
      </c>
      <c r="T127" s="36">
        <v>2.75</v>
      </c>
      <c r="U127" s="21">
        <f t="shared" si="3"/>
        <v>27500</v>
      </c>
      <c r="V127" s="21">
        <f t="shared" si="4"/>
        <v>4000000</v>
      </c>
    </row>
    <row r="128" ht="14.25" customHeight="1">
      <c r="A128" s="38">
        <v>0.34375</v>
      </c>
      <c r="B128" s="36">
        <v>180.0</v>
      </c>
      <c r="C128" s="36">
        <v>22.5</v>
      </c>
      <c r="D128" s="36">
        <v>1961.0</v>
      </c>
      <c r="E128" s="36">
        <v>2047.0</v>
      </c>
      <c r="F128" s="36">
        <v>1.04</v>
      </c>
      <c r="G128" s="36">
        <v>24.0</v>
      </c>
      <c r="H128" s="36">
        <v>2.16</v>
      </c>
      <c r="I128" s="36">
        <v>50.8</v>
      </c>
      <c r="J128" s="36">
        <v>68.1</v>
      </c>
      <c r="K128" s="36">
        <v>123.0</v>
      </c>
      <c r="L128" s="36">
        <v>25.5</v>
      </c>
      <c r="M128" s="36">
        <v>100.0</v>
      </c>
      <c r="N128" s="36">
        <v>48.0</v>
      </c>
      <c r="O128" s="36">
        <v>24.0</v>
      </c>
      <c r="P128" s="36">
        <v>63.0</v>
      </c>
      <c r="Q128" s="36">
        <v>0.34</v>
      </c>
      <c r="R128" s="36">
        <v>0.86</v>
      </c>
      <c r="S128" s="36">
        <v>1.69</v>
      </c>
      <c r="T128" s="36">
        <v>2.55</v>
      </c>
      <c r="U128" s="21">
        <f t="shared" si="3"/>
        <v>25500</v>
      </c>
      <c r="V128" s="21">
        <f t="shared" si="4"/>
        <v>40000</v>
      </c>
    </row>
    <row r="129" ht="14.25" customHeight="1">
      <c r="A129" s="38">
        <v>0.3458333333333333</v>
      </c>
      <c r="B129" s="36">
        <v>181.0</v>
      </c>
      <c r="C129" s="36">
        <v>22.7</v>
      </c>
      <c r="D129" s="36">
        <v>1976.0</v>
      </c>
      <c r="E129" s="36">
        <v>2061.0</v>
      </c>
      <c r="F129" s="36">
        <v>1.04</v>
      </c>
      <c r="G129" s="36">
        <v>23.0</v>
      </c>
      <c r="H129" s="36">
        <v>2.17</v>
      </c>
      <c r="I129" s="36">
        <v>50.7</v>
      </c>
      <c r="J129" s="36">
        <v>68.3</v>
      </c>
      <c r="K129" s="36">
        <v>123.0</v>
      </c>
      <c r="L129" s="36">
        <v>25.3</v>
      </c>
      <c r="M129" s="36">
        <v>99.0</v>
      </c>
      <c r="N129" s="36">
        <v>48.0</v>
      </c>
      <c r="O129" s="36">
        <v>23.0</v>
      </c>
      <c r="P129" s="36">
        <v>64.0</v>
      </c>
      <c r="Q129" s="36">
        <v>0.33</v>
      </c>
      <c r="R129" s="36">
        <v>0.85</v>
      </c>
      <c r="S129" s="36">
        <v>1.72</v>
      </c>
      <c r="T129" s="36">
        <v>2.57</v>
      </c>
      <c r="U129" s="21">
        <f t="shared" si="3"/>
        <v>25700</v>
      </c>
      <c r="V129" s="21">
        <f t="shared" si="4"/>
        <v>0</v>
      </c>
    </row>
    <row r="130" ht="14.25" customHeight="1">
      <c r="A130" s="38">
        <v>0.3472222222222222</v>
      </c>
      <c r="B130" s="36">
        <v>183.0</v>
      </c>
      <c r="C130" s="36">
        <v>22.9</v>
      </c>
      <c r="D130" s="36">
        <v>1992.0</v>
      </c>
      <c r="E130" s="36">
        <v>2088.0</v>
      </c>
      <c r="F130" s="36">
        <v>1.05</v>
      </c>
      <c r="G130" s="36">
        <v>23.0</v>
      </c>
      <c r="H130" s="36">
        <v>2.19</v>
      </c>
      <c r="I130" s="36">
        <v>51.2</v>
      </c>
      <c r="J130" s="36">
        <v>67.9</v>
      </c>
      <c r="K130" s="36">
        <v>124.0</v>
      </c>
      <c r="L130" s="36">
        <v>25.0</v>
      </c>
      <c r="M130" s="36">
        <v>99.0</v>
      </c>
      <c r="N130" s="36">
        <v>48.0</v>
      </c>
      <c r="O130" s="36">
        <v>23.0</v>
      </c>
      <c r="P130" s="36">
        <v>64.0</v>
      </c>
      <c r="Q130" s="36">
        <v>0.33</v>
      </c>
      <c r="R130" s="36">
        <v>0.86</v>
      </c>
      <c r="S130" s="36">
        <v>1.71</v>
      </c>
      <c r="T130" s="36">
        <v>2.57</v>
      </c>
      <c r="U130" s="21">
        <f t="shared" si="3"/>
        <v>25700</v>
      </c>
      <c r="V130" s="21">
        <f t="shared" si="4"/>
        <v>160000</v>
      </c>
    </row>
    <row r="131" ht="14.25" customHeight="1">
      <c r="A131" s="38">
        <v>0.34930555555555554</v>
      </c>
      <c r="B131" s="36">
        <v>184.0</v>
      </c>
      <c r="C131" s="36">
        <v>22.3</v>
      </c>
      <c r="D131" s="36">
        <v>1937.0</v>
      </c>
      <c r="E131" s="36">
        <v>2052.0</v>
      </c>
      <c r="F131" s="36">
        <v>1.06</v>
      </c>
      <c r="G131" s="36">
        <v>24.0</v>
      </c>
      <c r="H131" s="36">
        <v>2.13</v>
      </c>
      <c r="I131" s="36">
        <v>50.6</v>
      </c>
      <c r="J131" s="36">
        <v>68.3</v>
      </c>
      <c r="K131" s="36">
        <v>124.0</v>
      </c>
      <c r="L131" s="36">
        <v>24.7</v>
      </c>
      <c r="M131" s="36">
        <v>100.0</v>
      </c>
      <c r="N131" s="36">
        <v>48.0</v>
      </c>
      <c r="O131" s="36">
        <v>24.0</v>
      </c>
      <c r="P131" s="36">
        <v>62.0</v>
      </c>
      <c r="Q131" s="36">
        <v>0.35</v>
      </c>
      <c r="R131" s="36">
        <v>0.88</v>
      </c>
      <c r="S131" s="36">
        <v>1.65</v>
      </c>
      <c r="T131" s="36">
        <v>2.53</v>
      </c>
      <c r="U131" s="21">
        <f t="shared" si="3"/>
        <v>25300</v>
      </c>
      <c r="V131" s="21">
        <f t="shared" si="4"/>
        <v>40000</v>
      </c>
    </row>
    <row r="132" ht="14.25" customHeight="1">
      <c r="A132" s="38">
        <v>0.3506944444444444</v>
      </c>
      <c r="B132" s="36">
        <v>185.0</v>
      </c>
      <c r="C132" s="36">
        <v>22.9</v>
      </c>
      <c r="D132" s="36">
        <v>1995.0</v>
      </c>
      <c r="E132" s="36">
        <v>2105.0</v>
      </c>
      <c r="F132" s="36">
        <v>1.06</v>
      </c>
      <c r="G132" s="36">
        <v>24.0</v>
      </c>
      <c r="H132" s="36">
        <v>2.16</v>
      </c>
      <c r="I132" s="36">
        <v>51.6</v>
      </c>
      <c r="J132" s="36">
        <v>67.7</v>
      </c>
      <c r="K132" s="36">
        <v>125.0</v>
      </c>
      <c r="L132" s="36">
        <v>24.1</v>
      </c>
      <c r="M132" s="36">
        <v>99.0</v>
      </c>
      <c r="N132" s="36">
        <v>49.0</v>
      </c>
      <c r="O132" s="36">
        <v>24.0</v>
      </c>
      <c r="P132" s="36">
        <v>64.0</v>
      </c>
      <c r="Q132" s="36">
        <v>0.34</v>
      </c>
      <c r="R132" s="36">
        <v>0.86</v>
      </c>
      <c r="S132" s="36">
        <v>1.65</v>
      </c>
      <c r="T132" s="36">
        <v>2.51</v>
      </c>
      <c r="U132" s="21">
        <f t="shared" si="3"/>
        <v>25100</v>
      </c>
      <c r="V132" s="21">
        <f t="shared" si="4"/>
        <v>360000</v>
      </c>
    </row>
    <row r="133" ht="14.25" customHeight="1">
      <c r="A133" s="38">
        <v>0.35208333333333336</v>
      </c>
      <c r="B133" s="36">
        <v>186.0</v>
      </c>
      <c r="C133" s="36">
        <v>23.2</v>
      </c>
      <c r="D133" s="36">
        <v>2018.0</v>
      </c>
      <c r="E133" s="36">
        <v>2113.0</v>
      </c>
      <c r="F133" s="36">
        <v>1.05</v>
      </c>
      <c r="G133" s="36">
        <v>24.0</v>
      </c>
      <c r="H133" s="36">
        <v>2.12</v>
      </c>
      <c r="I133" s="36">
        <v>51.8</v>
      </c>
      <c r="J133" s="36">
        <v>67.5</v>
      </c>
      <c r="K133" s="36">
        <v>127.0</v>
      </c>
      <c r="L133" s="36">
        <v>22.8</v>
      </c>
      <c r="M133" s="36">
        <v>99.0</v>
      </c>
      <c r="N133" s="36">
        <v>49.0</v>
      </c>
      <c r="O133" s="36">
        <v>24.0</v>
      </c>
      <c r="P133" s="36">
        <v>65.0</v>
      </c>
      <c r="Q133" s="36">
        <v>0.35</v>
      </c>
      <c r="R133" s="36">
        <v>0.85</v>
      </c>
      <c r="S133" s="36">
        <v>1.6</v>
      </c>
      <c r="T133" s="36">
        <v>2.45</v>
      </c>
      <c r="U133" s="21">
        <f t="shared" si="3"/>
        <v>24500</v>
      </c>
      <c r="V133" s="21">
        <f t="shared" si="4"/>
        <v>90000</v>
      </c>
    </row>
    <row r="134" ht="14.25" customHeight="1">
      <c r="A134" s="38">
        <v>0.3541666666666667</v>
      </c>
      <c r="B134" s="36">
        <v>187.0</v>
      </c>
      <c r="C134" s="36">
        <v>23.3</v>
      </c>
      <c r="D134" s="36">
        <v>2023.0</v>
      </c>
      <c r="E134" s="36">
        <v>2129.0</v>
      </c>
      <c r="F134" s="36">
        <v>1.05</v>
      </c>
      <c r="G134" s="36">
        <v>25.0</v>
      </c>
      <c r="H134" s="36">
        <v>2.11</v>
      </c>
      <c r="I134" s="36">
        <v>52.4</v>
      </c>
      <c r="J134" s="36">
        <v>67.2</v>
      </c>
      <c r="K134" s="36">
        <v>127.0</v>
      </c>
      <c r="L134" s="36">
        <v>23.0</v>
      </c>
      <c r="M134" s="36">
        <v>99.0</v>
      </c>
      <c r="N134" s="36">
        <v>48.0</v>
      </c>
      <c r="O134" s="36">
        <v>25.0</v>
      </c>
      <c r="P134" s="36">
        <v>65.0</v>
      </c>
      <c r="Q134" s="36">
        <v>0.35</v>
      </c>
      <c r="R134" s="36">
        <v>0.84</v>
      </c>
      <c r="S134" s="36">
        <v>1.57</v>
      </c>
      <c r="T134" s="36">
        <v>2.42</v>
      </c>
      <c r="U134" s="21">
        <f t="shared" si="3"/>
        <v>24200</v>
      </c>
      <c r="V134" s="21">
        <f t="shared" si="4"/>
        <v>90000</v>
      </c>
    </row>
    <row r="135" ht="14.25" customHeight="1">
      <c r="A135" s="38">
        <v>0.35555555555555557</v>
      </c>
      <c r="B135" s="36">
        <v>189.0</v>
      </c>
      <c r="C135" s="36">
        <v>23.4</v>
      </c>
      <c r="D135" s="36">
        <v>2034.0</v>
      </c>
      <c r="E135" s="36">
        <v>2135.0</v>
      </c>
      <c r="F135" s="36">
        <v>1.05</v>
      </c>
      <c r="G135" s="36">
        <v>25.0</v>
      </c>
      <c r="H135" s="36">
        <v>2.1</v>
      </c>
      <c r="I135" s="36">
        <v>52.7</v>
      </c>
      <c r="J135" s="36">
        <v>67.0</v>
      </c>
      <c r="K135" s="36">
        <v>127.0</v>
      </c>
      <c r="L135" s="36">
        <v>23.0</v>
      </c>
      <c r="M135" s="36">
        <v>100.0</v>
      </c>
      <c r="N135" s="36">
        <v>48.0</v>
      </c>
      <c r="O135" s="36">
        <v>25.0</v>
      </c>
      <c r="P135" s="36">
        <v>65.0</v>
      </c>
      <c r="Q135" s="36">
        <v>0.34</v>
      </c>
      <c r="R135" s="36">
        <v>0.82</v>
      </c>
      <c r="S135" s="36">
        <v>1.57</v>
      </c>
      <c r="T135" s="36">
        <v>2.39</v>
      </c>
      <c r="U135" s="21">
        <f t="shared" si="3"/>
        <v>23900</v>
      </c>
      <c r="V135" s="21">
        <f t="shared" si="4"/>
        <v>160000</v>
      </c>
    </row>
    <row r="136" ht="14.25" customHeight="1">
      <c r="A136" s="38">
        <v>0.35694444444444445</v>
      </c>
      <c r="B136" s="36">
        <v>189.0</v>
      </c>
      <c r="C136" s="36">
        <v>23.6</v>
      </c>
      <c r="D136" s="36">
        <v>2050.0</v>
      </c>
      <c r="E136" s="36">
        <v>2169.0</v>
      </c>
      <c r="F136" s="36">
        <v>1.06</v>
      </c>
      <c r="G136" s="36">
        <v>26.0</v>
      </c>
      <c r="H136" s="36">
        <v>2.1</v>
      </c>
      <c r="I136" s="36">
        <v>53.6</v>
      </c>
      <c r="J136" s="36">
        <v>66.4</v>
      </c>
      <c r="K136" s="36">
        <v>127.0</v>
      </c>
      <c r="L136" s="36">
        <v>23.0</v>
      </c>
      <c r="M136" s="36">
        <v>101.0</v>
      </c>
      <c r="N136" s="36">
        <v>48.0</v>
      </c>
      <c r="O136" s="36">
        <v>26.0</v>
      </c>
      <c r="P136" s="36">
        <v>66.0</v>
      </c>
      <c r="Q136" s="36">
        <v>0.35</v>
      </c>
      <c r="R136" s="36">
        <v>0.82</v>
      </c>
      <c r="S136" s="36">
        <v>1.53</v>
      </c>
      <c r="T136" s="36">
        <v>2.35</v>
      </c>
      <c r="U136" s="21">
        <f t="shared" si="3"/>
        <v>23500</v>
      </c>
      <c r="V136" s="21">
        <f t="shared" si="4"/>
        <v>250000</v>
      </c>
    </row>
    <row r="137" ht="14.25" customHeight="1">
      <c r="A137" s="38">
        <v>0.35833333333333334</v>
      </c>
      <c r="B137" s="36">
        <v>191.0</v>
      </c>
      <c r="C137" s="36">
        <v>24.0</v>
      </c>
      <c r="D137" s="36">
        <v>2091.0</v>
      </c>
      <c r="E137" s="36">
        <v>2203.0</v>
      </c>
      <c r="F137" s="36">
        <v>1.05</v>
      </c>
      <c r="G137" s="36">
        <v>26.0</v>
      </c>
      <c r="H137" s="36">
        <v>2.09</v>
      </c>
      <c r="I137" s="36">
        <v>54.5</v>
      </c>
      <c r="J137" s="36">
        <v>65.9</v>
      </c>
      <c r="K137" s="36">
        <v>128.0</v>
      </c>
      <c r="L137" s="36">
        <v>22.1</v>
      </c>
      <c r="M137" s="36">
        <v>101.0</v>
      </c>
      <c r="N137" s="36">
        <v>48.0</v>
      </c>
      <c r="O137" s="36">
        <v>26.0</v>
      </c>
      <c r="P137" s="36">
        <v>67.0</v>
      </c>
      <c r="Q137" s="36">
        <v>0.35</v>
      </c>
      <c r="R137" s="36">
        <v>0.8</v>
      </c>
      <c r="S137" s="36">
        <v>1.5</v>
      </c>
      <c r="T137" s="36">
        <v>2.3</v>
      </c>
      <c r="U137" s="21">
        <f t="shared" si="3"/>
        <v>23000</v>
      </c>
      <c r="V137" s="21">
        <f t="shared" si="4"/>
        <v>40000</v>
      </c>
    </row>
    <row r="138" ht="14.25" customHeight="1">
      <c r="A138" s="38">
        <v>0.36041666666666666</v>
      </c>
      <c r="B138" s="36">
        <v>192.0</v>
      </c>
      <c r="C138" s="36">
        <v>24.0</v>
      </c>
      <c r="D138" s="36">
        <v>2092.0</v>
      </c>
      <c r="E138" s="36">
        <v>2209.0</v>
      </c>
      <c r="F138" s="36">
        <v>1.06</v>
      </c>
      <c r="G138" s="36">
        <v>26.0</v>
      </c>
      <c r="H138" s="36">
        <v>2.08</v>
      </c>
      <c r="I138" s="36">
        <v>54.7</v>
      </c>
      <c r="J138" s="36">
        <v>65.7</v>
      </c>
      <c r="K138" s="36">
        <v>128.0</v>
      </c>
      <c r="L138" s="36">
        <v>22.3</v>
      </c>
      <c r="M138" s="36">
        <v>102.0</v>
      </c>
      <c r="N138" s="36">
        <v>47.0</v>
      </c>
      <c r="O138" s="36">
        <v>26.0</v>
      </c>
      <c r="P138" s="36">
        <v>67.0</v>
      </c>
      <c r="Q138" s="36">
        <v>0.35</v>
      </c>
      <c r="R138" s="36">
        <v>0.81</v>
      </c>
      <c r="S138" s="36">
        <v>1.47</v>
      </c>
      <c r="T138" s="36">
        <v>2.28</v>
      </c>
      <c r="U138" s="21">
        <f t="shared" si="3"/>
        <v>22800</v>
      </c>
      <c r="V138" s="21">
        <f t="shared" si="4"/>
        <v>10000</v>
      </c>
    </row>
    <row r="139" ht="14.25" customHeight="1">
      <c r="A139" s="38">
        <v>0.36180555555555555</v>
      </c>
      <c r="B139" s="36">
        <v>193.0</v>
      </c>
      <c r="C139" s="36">
        <v>24.4</v>
      </c>
      <c r="D139" s="36">
        <v>2126.0</v>
      </c>
      <c r="E139" s="36">
        <v>2249.0</v>
      </c>
      <c r="F139" s="36">
        <v>1.06</v>
      </c>
      <c r="G139" s="36">
        <v>26.0</v>
      </c>
      <c r="H139" s="36">
        <v>2.12</v>
      </c>
      <c r="I139" s="36">
        <v>55.8</v>
      </c>
      <c r="J139" s="36">
        <v>65.0</v>
      </c>
      <c r="K139" s="36">
        <v>129.0</v>
      </c>
      <c r="L139" s="36">
        <v>21.8</v>
      </c>
      <c r="M139" s="36">
        <v>102.0</v>
      </c>
      <c r="N139" s="36">
        <v>47.0</v>
      </c>
      <c r="O139" s="36">
        <v>26.0</v>
      </c>
      <c r="P139" s="36">
        <v>68.0</v>
      </c>
      <c r="Q139" s="36">
        <v>0.36</v>
      </c>
      <c r="R139" s="36">
        <v>0.83</v>
      </c>
      <c r="S139" s="36">
        <v>1.45</v>
      </c>
      <c r="T139" s="36">
        <v>2.27</v>
      </c>
      <c r="U139" s="21">
        <f t="shared" si="3"/>
        <v>22700</v>
      </c>
      <c r="V139" s="21">
        <f t="shared" si="4"/>
        <v>0</v>
      </c>
    </row>
    <row r="140" ht="14.25" customHeight="1">
      <c r="A140" s="38">
        <v>0.36319444444444443</v>
      </c>
      <c r="B140" s="36">
        <v>194.0</v>
      </c>
      <c r="C140" s="36">
        <v>24.3</v>
      </c>
      <c r="D140" s="36">
        <v>2115.0</v>
      </c>
      <c r="E140" s="36">
        <v>2253.0</v>
      </c>
      <c r="F140" s="36">
        <v>1.07</v>
      </c>
      <c r="G140" s="36">
        <v>26.0</v>
      </c>
      <c r="H140" s="36">
        <v>2.12</v>
      </c>
      <c r="I140" s="36">
        <v>56.1</v>
      </c>
      <c r="J140" s="36">
        <v>64.8</v>
      </c>
      <c r="K140" s="36">
        <v>129.0</v>
      </c>
      <c r="L140" s="36">
        <v>21.8</v>
      </c>
      <c r="M140" s="36">
        <v>103.0</v>
      </c>
      <c r="N140" s="36">
        <v>47.0</v>
      </c>
      <c r="O140" s="36">
        <v>26.0</v>
      </c>
      <c r="P140" s="36">
        <v>68.0</v>
      </c>
      <c r="Q140" s="36">
        <v>0.36</v>
      </c>
      <c r="R140" s="36">
        <v>0.82</v>
      </c>
      <c r="S140" s="36">
        <v>1.44</v>
      </c>
      <c r="T140" s="36">
        <v>2.27</v>
      </c>
      <c r="U140" s="21">
        <f t="shared" si="3"/>
        <v>22700</v>
      </c>
      <c r="V140" s="21">
        <f t="shared" si="4"/>
        <v>10000</v>
      </c>
    </row>
    <row r="141" ht="14.25" customHeight="1">
      <c r="A141" s="38">
        <v>0.3645833333333333</v>
      </c>
      <c r="B141" s="36">
        <v>196.0</v>
      </c>
      <c r="C141" s="36">
        <v>24.2</v>
      </c>
      <c r="D141" s="36">
        <v>2110.0</v>
      </c>
      <c r="E141" s="36">
        <v>2267.0</v>
      </c>
      <c r="F141" s="36">
        <v>1.07</v>
      </c>
      <c r="G141" s="36">
        <v>27.0</v>
      </c>
      <c r="H141" s="36">
        <v>2.14</v>
      </c>
      <c r="I141" s="36">
        <v>56.9</v>
      </c>
      <c r="J141" s="36">
        <v>64.4</v>
      </c>
      <c r="K141" s="36">
        <v>130.0</v>
      </c>
      <c r="L141" s="36">
        <v>21.0</v>
      </c>
      <c r="M141" s="36">
        <v>103.0</v>
      </c>
      <c r="N141" s="36">
        <v>47.0</v>
      </c>
      <c r="O141" s="36">
        <v>27.0</v>
      </c>
      <c r="P141" s="36">
        <v>68.0</v>
      </c>
      <c r="Q141" s="36">
        <v>0.36</v>
      </c>
      <c r="R141" s="36">
        <v>0.81</v>
      </c>
      <c r="S141" s="36">
        <v>1.45</v>
      </c>
      <c r="T141" s="36">
        <v>2.26</v>
      </c>
      <c r="U141" s="21">
        <f t="shared" si="3"/>
        <v>22600</v>
      </c>
      <c r="V141" s="21">
        <f t="shared" si="4"/>
        <v>40000</v>
      </c>
    </row>
    <row r="142" ht="14.25" customHeight="1">
      <c r="A142" s="38">
        <v>0.36666666666666664</v>
      </c>
      <c r="B142" s="36">
        <v>197.0</v>
      </c>
      <c r="C142" s="36">
        <v>24.8</v>
      </c>
      <c r="D142" s="36">
        <v>2156.0</v>
      </c>
      <c r="E142" s="36">
        <v>2331.0</v>
      </c>
      <c r="F142" s="36">
        <v>1.08</v>
      </c>
      <c r="G142" s="36">
        <v>26.0</v>
      </c>
      <c r="H142" s="36">
        <v>2.21</v>
      </c>
      <c r="I142" s="36">
        <v>58.2</v>
      </c>
      <c r="J142" s="36">
        <v>63.5</v>
      </c>
      <c r="K142" s="36">
        <v>131.0</v>
      </c>
      <c r="L142" s="36">
        <v>20.8</v>
      </c>
      <c r="M142" s="36">
        <v>103.0</v>
      </c>
      <c r="N142" s="36">
        <v>47.0</v>
      </c>
      <c r="O142" s="36">
        <v>26.0</v>
      </c>
      <c r="P142" s="36">
        <v>69.0</v>
      </c>
      <c r="Q142" s="36">
        <v>0.36</v>
      </c>
      <c r="R142" s="36">
        <v>0.82</v>
      </c>
      <c r="S142" s="36">
        <v>1.46</v>
      </c>
      <c r="T142" s="36">
        <v>2.28</v>
      </c>
      <c r="U142" s="21">
        <f t="shared" si="3"/>
        <v>22800</v>
      </c>
      <c r="V142" s="21">
        <f t="shared" si="4"/>
        <v>40000</v>
      </c>
    </row>
    <row r="143" ht="14.25" customHeight="1">
      <c r="A143" s="38">
        <v>0.3680555555555556</v>
      </c>
      <c r="B143" s="36">
        <v>198.0</v>
      </c>
      <c r="C143" s="36">
        <v>24.8</v>
      </c>
      <c r="D143" s="36">
        <v>2158.0</v>
      </c>
      <c r="E143" s="36">
        <v>2350.0</v>
      </c>
      <c r="F143" s="36">
        <v>1.09</v>
      </c>
      <c r="G143" s="36">
        <v>27.0</v>
      </c>
      <c r="H143" s="36">
        <v>2.22</v>
      </c>
      <c r="I143" s="36">
        <v>59.0</v>
      </c>
      <c r="J143" s="36">
        <v>63.0</v>
      </c>
      <c r="K143" s="36">
        <v>131.0</v>
      </c>
      <c r="L143" s="36">
        <v>20.4</v>
      </c>
      <c r="M143" s="36">
        <v>103.0</v>
      </c>
      <c r="N143" s="36">
        <v>47.0</v>
      </c>
      <c r="O143" s="36">
        <v>27.0</v>
      </c>
      <c r="P143" s="36">
        <v>69.0</v>
      </c>
      <c r="Q143" s="36">
        <v>0.36</v>
      </c>
      <c r="R143" s="36">
        <v>0.82</v>
      </c>
      <c r="S143" s="36">
        <v>1.44</v>
      </c>
      <c r="T143" s="36">
        <v>2.26</v>
      </c>
      <c r="U143" s="21">
        <f t="shared" si="3"/>
        <v>22600</v>
      </c>
      <c r="V143" s="21">
        <f t="shared" si="4"/>
        <v>40000</v>
      </c>
    </row>
    <row r="144" ht="14.25" customHeight="1">
      <c r="A144" s="38">
        <v>0.36944444444444446</v>
      </c>
      <c r="B144" s="36">
        <v>199.0</v>
      </c>
      <c r="C144" s="36">
        <v>24.6</v>
      </c>
      <c r="D144" s="36">
        <v>2141.0</v>
      </c>
      <c r="E144" s="36">
        <v>2353.0</v>
      </c>
      <c r="F144" s="36">
        <v>1.1</v>
      </c>
      <c r="G144" s="36">
        <v>26.0</v>
      </c>
      <c r="H144" s="36">
        <v>2.24</v>
      </c>
      <c r="I144" s="36">
        <v>58.9</v>
      </c>
      <c r="J144" s="36">
        <v>63.1</v>
      </c>
      <c r="K144" s="36">
        <v>130.0</v>
      </c>
      <c r="L144" s="36">
        <v>20.9</v>
      </c>
      <c r="M144" s="36">
        <v>103.0</v>
      </c>
      <c r="N144" s="36">
        <v>47.0</v>
      </c>
      <c r="O144" s="36">
        <v>26.0</v>
      </c>
      <c r="P144" s="36">
        <v>69.0</v>
      </c>
      <c r="Q144" s="36">
        <v>0.36</v>
      </c>
      <c r="R144" s="36">
        <v>0.83</v>
      </c>
      <c r="S144" s="36">
        <v>1.46</v>
      </c>
      <c r="T144" s="36">
        <v>2.28</v>
      </c>
      <c r="U144" s="21">
        <f t="shared" si="3"/>
        <v>22800</v>
      </c>
      <c r="V144" s="21">
        <f t="shared" si="4"/>
        <v>40000</v>
      </c>
    </row>
    <row r="145" ht="14.25" customHeight="1">
      <c r="A145" s="38">
        <v>0.3715277777777778</v>
      </c>
      <c r="B145" s="36">
        <v>200.0</v>
      </c>
      <c r="C145" s="36">
        <v>25.4</v>
      </c>
      <c r="D145" s="36">
        <v>2210.0</v>
      </c>
      <c r="E145" s="36">
        <v>2430.0</v>
      </c>
      <c r="F145" s="36">
        <v>1.1</v>
      </c>
      <c r="G145" s="36">
        <v>26.0</v>
      </c>
      <c r="H145" s="36">
        <v>2.32</v>
      </c>
      <c r="I145" s="36">
        <v>60.5</v>
      </c>
      <c r="J145" s="36">
        <v>62.1</v>
      </c>
      <c r="K145" s="36">
        <v>131.0</v>
      </c>
      <c r="L145" s="36">
        <v>20.6</v>
      </c>
      <c r="M145" s="36">
        <v>103.0</v>
      </c>
      <c r="N145" s="36">
        <v>47.0</v>
      </c>
      <c r="O145" s="36">
        <v>26.0</v>
      </c>
      <c r="P145" s="36">
        <v>71.0</v>
      </c>
      <c r="Q145" s="36">
        <v>0.36</v>
      </c>
      <c r="R145" s="36">
        <v>0.84</v>
      </c>
      <c r="S145" s="36">
        <v>1.47</v>
      </c>
      <c r="T145" s="36">
        <v>2.3</v>
      </c>
      <c r="U145" s="21">
        <f t="shared" si="3"/>
        <v>23000</v>
      </c>
      <c r="V145" s="21">
        <f t="shared" si="4"/>
        <v>40000</v>
      </c>
    </row>
    <row r="146" ht="14.25" customHeight="1">
      <c r="A146" s="38">
        <v>0.3729166666666667</v>
      </c>
      <c r="B146" s="36">
        <v>202.0</v>
      </c>
      <c r="C146" s="36">
        <v>25.4</v>
      </c>
      <c r="D146" s="36">
        <v>2208.0</v>
      </c>
      <c r="E146" s="36">
        <v>2427.0</v>
      </c>
      <c r="F146" s="36">
        <v>1.1</v>
      </c>
      <c r="G146" s="36">
        <v>26.0</v>
      </c>
      <c r="H146" s="36">
        <v>2.33</v>
      </c>
      <c r="I146" s="36">
        <v>60.3</v>
      </c>
      <c r="J146" s="36">
        <v>62.2</v>
      </c>
      <c r="K146" s="36">
        <v>129.0</v>
      </c>
      <c r="L146" s="36">
        <v>21.8</v>
      </c>
      <c r="M146" s="36">
        <v>102.0</v>
      </c>
      <c r="N146" s="36">
        <v>48.0</v>
      </c>
      <c r="O146" s="36">
        <v>26.0</v>
      </c>
      <c r="P146" s="36">
        <v>71.0</v>
      </c>
      <c r="Q146" s="36">
        <v>0.36</v>
      </c>
      <c r="R146" s="36">
        <v>0.84</v>
      </c>
      <c r="S146" s="36">
        <v>1.48</v>
      </c>
      <c r="T146" s="36">
        <v>2.32</v>
      </c>
      <c r="U146" s="21">
        <f t="shared" si="3"/>
        <v>23200</v>
      </c>
      <c r="V146" s="21">
        <f t="shared" si="4"/>
        <v>160000</v>
      </c>
    </row>
    <row r="147" ht="14.25" customHeight="1">
      <c r="A147" s="38">
        <v>0.37430555555555556</v>
      </c>
      <c r="B147" s="36">
        <v>202.0</v>
      </c>
      <c r="C147" s="36">
        <v>25.6</v>
      </c>
      <c r="D147" s="36">
        <v>2228.0</v>
      </c>
      <c r="E147" s="36">
        <v>2446.0</v>
      </c>
      <c r="F147" s="36">
        <v>1.1</v>
      </c>
      <c r="G147" s="36">
        <v>26.0</v>
      </c>
      <c r="H147" s="36">
        <v>2.31</v>
      </c>
      <c r="I147" s="36">
        <v>60.7</v>
      </c>
      <c r="J147" s="36">
        <v>61.9</v>
      </c>
      <c r="K147" s="36">
        <v>131.0</v>
      </c>
      <c r="L147" s="36">
        <v>20.4</v>
      </c>
      <c r="M147" s="36">
        <v>102.0</v>
      </c>
      <c r="N147" s="36">
        <v>48.0</v>
      </c>
      <c r="O147" s="36">
        <v>26.0</v>
      </c>
      <c r="P147" s="36">
        <v>72.0</v>
      </c>
      <c r="Q147" s="36">
        <v>0.36</v>
      </c>
      <c r="R147" s="36">
        <v>0.83</v>
      </c>
      <c r="S147" s="36">
        <v>1.45</v>
      </c>
      <c r="T147" s="36">
        <v>2.28</v>
      </c>
      <c r="U147" s="21">
        <f t="shared" si="3"/>
        <v>22800</v>
      </c>
      <c r="V147" s="21">
        <f t="shared" si="4"/>
        <v>40000</v>
      </c>
    </row>
    <row r="148" ht="14.25" customHeight="1">
      <c r="A148" s="38">
        <v>0.3763888888888889</v>
      </c>
      <c r="B148" s="36">
        <v>204.0</v>
      </c>
      <c r="C148" s="36">
        <v>26.1</v>
      </c>
      <c r="D148" s="36">
        <v>2273.0</v>
      </c>
      <c r="E148" s="36">
        <v>2491.0</v>
      </c>
      <c r="F148" s="36">
        <v>1.1</v>
      </c>
      <c r="G148" s="36">
        <v>27.0</v>
      </c>
      <c r="H148" s="36">
        <v>2.32</v>
      </c>
      <c r="I148" s="36">
        <v>61.4</v>
      </c>
      <c r="J148" s="36">
        <v>61.5</v>
      </c>
      <c r="K148" s="36">
        <v>129.0</v>
      </c>
      <c r="L148" s="36">
        <v>21.8</v>
      </c>
      <c r="M148" s="36">
        <v>102.0</v>
      </c>
      <c r="N148" s="36">
        <v>48.0</v>
      </c>
      <c r="O148" s="36">
        <v>27.0</v>
      </c>
      <c r="P148" s="36">
        <v>73.0</v>
      </c>
      <c r="Q148" s="36">
        <v>0.36</v>
      </c>
      <c r="R148" s="36">
        <v>0.82</v>
      </c>
      <c r="S148" s="36">
        <v>1.44</v>
      </c>
      <c r="T148" s="36">
        <v>2.26</v>
      </c>
      <c r="U148" s="21">
        <f t="shared" si="3"/>
        <v>22600</v>
      </c>
      <c r="V148" s="21">
        <f t="shared" si="4"/>
        <v>40000</v>
      </c>
    </row>
    <row r="149" ht="14.25" customHeight="1">
      <c r="A149" s="38">
        <v>0.37777777777777777</v>
      </c>
      <c r="B149" s="36">
        <v>205.0</v>
      </c>
      <c r="C149" s="36">
        <v>26.6</v>
      </c>
      <c r="D149" s="36">
        <v>2314.0</v>
      </c>
      <c r="E149" s="36">
        <v>2528.0</v>
      </c>
      <c r="F149" s="36">
        <v>1.09</v>
      </c>
      <c r="G149" s="36">
        <v>26.0</v>
      </c>
      <c r="H149" s="36">
        <v>2.36</v>
      </c>
      <c r="I149" s="36">
        <v>62.0</v>
      </c>
      <c r="J149" s="36">
        <v>61.1</v>
      </c>
      <c r="K149" s="36">
        <v>130.0</v>
      </c>
      <c r="L149" s="36">
        <v>21.0</v>
      </c>
      <c r="M149" s="36">
        <v>102.0</v>
      </c>
      <c r="N149" s="36">
        <v>48.0</v>
      </c>
      <c r="O149" s="36">
        <v>26.0</v>
      </c>
      <c r="P149" s="36">
        <v>75.0</v>
      </c>
      <c r="Q149" s="36">
        <v>0.37</v>
      </c>
      <c r="R149" s="36">
        <v>0.83</v>
      </c>
      <c r="S149" s="36">
        <v>1.45</v>
      </c>
      <c r="T149" s="36">
        <v>2.28</v>
      </c>
      <c r="U149" s="21">
        <f t="shared" si="3"/>
        <v>22800</v>
      </c>
      <c r="V149" s="21">
        <f t="shared" si="4"/>
        <v>7840000</v>
      </c>
    </row>
    <row r="150" ht="14.25" customHeight="1">
      <c r="A150" s="38">
        <v>0.3798611111111111</v>
      </c>
      <c r="B150" s="36">
        <v>207.0</v>
      </c>
      <c r="C150" s="36">
        <v>26.1</v>
      </c>
      <c r="D150" s="36">
        <v>2274.0</v>
      </c>
      <c r="E150" s="36">
        <v>2537.0</v>
      </c>
      <c r="F150" s="36">
        <v>1.12</v>
      </c>
      <c r="G150" s="36">
        <v>23.0</v>
      </c>
      <c r="H150" s="36">
        <v>2.67</v>
      </c>
      <c r="I150" s="36">
        <v>62.5</v>
      </c>
      <c r="J150" s="36">
        <v>60.8</v>
      </c>
      <c r="K150" s="36">
        <v>130.0</v>
      </c>
      <c r="L150" s="36">
        <v>21.3</v>
      </c>
      <c r="M150" s="36">
        <v>102.0</v>
      </c>
      <c r="N150" s="36">
        <v>48.0</v>
      </c>
      <c r="O150" s="36">
        <v>23.0</v>
      </c>
      <c r="P150" s="36">
        <v>73.0</v>
      </c>
      <c r="Q150" s="36">
        <v>0.38</v>
      </c>
      <c r="R150" s="36">
        <v>0.97</v>
      </c>
      <c r="S150" s="36">
        <v>1.59</v>
      </c>
      <c r="T150" s="36">
        <v>2.56</v>
      </c>
      <c r="U150" s="21">
        <f t="shared" si="3"/>
        <v>25600</v>
      </c>
      <c r="V150" s="21">
        <f t="shared" si="4"/>
        <v>0</v>
      </c>
    </row>
    <row r="151" ht="14.25" customHeight="1">
      <c r="A151" s="38">
        <v>0.3819444444444444</v>
      </c>
      <c r="B151" s="36">
        <v>208.0</v>
      </c>
      <c r="C151" s="36">
        <v>26.1</v>
      </c>
      <c r="D151" s="36">
        <v>2274.0</v>
      </c>
      <c r="E151" s="36">
        <v>2537.0</v>
      </c>
      <c r="F151" s="36">
        <v>1.12</v>
      </c>
      <c r="G151" s="36">
        <v>23.0</v>
      </c>
      <c r="H151" s="36">
        <v>2.67</v>
      </c>
      <c r="I151" s="36">
        <v>62.5</v>
      </c>
      <c r="J151" s="36">
        <v>60.8</v>
      </c>
      <c r="K151" s="36">
        <v>130.0</v>
      </c>
      <c r="L151" s="36">
        <v>21.3</v>
      </c>
      <c r="M151" s="36">
        <v>102.0</v>
      </c>
      <c r="N151" s="36">
        <v>48.0</v>
      </c>
      <c r="O151" s="36">
        <v>23.0</v>
      </c>
      <c r="P151" s="36">
        <v>73.0</v>
      </c>
      <c r="Q151" s="36">
        <v>0.38</v>
      </c>
      <c r="R151" s="36">
        <v>0.97</v>
      </c>
      <c r="S151" s="36">
        <v>1.59</v>
      </c>
      <c r="T151" s="36">
        <v>2.56</v>
      </c>
      <c r="U151" s="21">
        <f t="shared" si="3"/>
        <v>25600</v>
      </c>
      <c r="V151" s="21">
        <f t="shared" si="4"/>
        <v>10000</v>
      </c>
    </row>
    <row r="152" ht="14.25" customHeight="1">
      <c r="A152" s="38">
        <v>0.38333333333333336</v>
      </c>
      <c r="B152" s="36">
        <v>209.0</v>
      </c>
      <c r="C152" s="36">
        <v>26.3</v>
      </c>
      <c r="D152" s="36">
        <v>2289.0</v>
      </c>
      <c r="E152" s="36">
        <v>2555.0</v>
      </c>
      <c r="F152" s="36">
        <v>1.12</v>
      </c>
      <c r="G152" s="36">
        <v>24.0</v>
      </c>
      <c r="H152" s="36">
        <v>2.65</v>
      </c>
      <c r="I152" s="36">
        <v>62.4</v>
      </c>
      <c r="J152" s="36">
        <v>60.9</v>
      </c>
      <c r="K152" s="36">
        <v>130.0</v>
      </c>
      <c r="L152" s="36">
        <v>21.0</v>
      </c>
      <c r="M152" s="36">
        <v>102.0</v>
      </c>
      <c r="N152" s="36">
        <v>48.0</v>
      </c>
      <c r="O152" s="36">
        <v>24.0</v>
      </c>
      <c r="P152" s="36">
        <v>74.0</v>
      </c>
      <c r="Q152" s="36">
        <v>0.37</v>
      </c>
      <c r="R152" s="36">
        <v>0.95</v>
      </c>
      <c r="S152" s="36">
        <v>1.59</v>
      </c>
      <c r="T152" s="36">
        <v>2.55</v>
      </c>
      <c r="U152" s="21">
        <f t="shared" si="3"/>
        <v>25500</v>
      </c>
      <c r="V152" s="21">
        <f t="shared" si="4"/>
        <v>40000</v>
      </c>
    </row>
    <row r="153" ht="14.25" customHeight="1">
      <c r="A153" s="38">
        <v>0.38472222222222224</v>
      </c>
      <c r="B153" s="36">
        <v>210.0</v>
      </c>
      <c r="C153" s="36">
        <v>26.8</v>
      </c>
      <c r="D153" s="36">
        <v>2333.0</v>
      </c>
      <c r="E153" s="36">
        <v>2601.0</v>
      </c>
      <c r="F153" s="36">
        <v>1.12</v>
      </c>
      <c r="G153" s="36">
        <v>23.0</v>
      </c>
      <c r="H153" s="36">
        <v>2.71</v>
      </c>
      <c r="I153" s="36">
        <v>63.3</v>
      </c>
      <c r="J153" s="36">
        <v>60.4</v>
      </c>
      <c r="K153" s="36">
        <v>133.0</v>
      </c>
      <c r="L153" s="36">
        <v>19.4</v>
      </c>
      <c r="M153" s="36">
        <v>101.0</v>
      </c>
      <c r="N153" s="36">
        <v>49.0</v>
      </c>
      <c r="O153" s="36">
        <v>23.0</v>
      </c>
      <c r="P153" s="36">
        <v>75.0</v>
      </c>
      <c r="Q153" s="36">
        <v>0.37</v>
      </c>
      <c r="R153" s="36">
        <v>0.96</v>
      </c>
      <c r="S153" s="36">
        <v>1.61</v>
      </c>
      <c r="T153" s="36">
        <v>2.57</v>
      </c>
      <c r="U153" s="21">
        <f t="shared" si="3"/>
        <v>25700</v>
      </c>
      <c r="V153" s="21">
        <f t="shared" si="4"/>
        <v>40000</v>
      </c>
    </row>
    <row r="154" ht="14.25" customHeight="1">
      <c r="A154" s="38">
        <v>0.3861111111111111</v>
      </c>
      <c r="B154" s="36">
        <v>211.0</v>
      </c>
      <c r="C154" s="36">
        <v>27.0</v>
      </c>
      <c r="D154" s="36">
        <v>2349.0</v>
      </c>
      <c r="E154" s="36">
        <v>2631.0</v>
      </c>
      <c r="F154" s="36">
        <v>1.12</v>
      </c>
      <c r="G154" s="36">
        <v>23.0</v>
      </c>
      <c r="H154" s="36">
        <v>2.73</v>
      </c>
      <c r="I154" s="36">
        <v>64.2</v>
      </c>
      <c r="J154" s="36">
        <v>59.8</v>
      </c>
      <c r="K154" s="36">
        <v>132.0</v>
      </c>
      <c r="L154" s="36">
        <v>20.1</v>
      </c>
      <c r="M154" s="36">
        <v>102.0</v>
      </c>
      <c r="N154" s="36">
        <v>49.0</v>
      </c>
      <c r="O154" s="36">
        <v>23.0</v>
      </c>
      <c r="P154" s="36">
        <v>76.0</v>
      </c>
      <c r="Q154" s="36">
        <v>0.37</v>
      </c>
      <c r="R154" s="36">
        <v>0.96</v>
      </c>
      <c r="S154" s="36">
        <v>1.6</v>
      </c>
      <c r="T154" s="36">
        <v>2.55</v>
      </c>
      <c r="U154" s="21">
        <f t="shared" si="3"/>
        <v>25500</v>
      </c>
      <c r="V154" s="21">
        <f t="shared" si="4"/>
        <v>40000</v>
      </c>
    </row>
    <row r="155" ht="14.25" customHeight="1">
      <c r="A155" s="38">
        <v>0.38819444444444445</v>
      </c>
      <c r="B155" s="36">
        <v>212.0</v>
      </c>
      <c r="C155" s="36">
        <v>26.5</v>
      </c>
      <c r="D155" s="36">
        <v>2307.0</v>
      </c>
      <c r="E155" s="36">
        <v>2623.0</v>
      </c>
      <c r="F155" s="36">
        <v>1.14</v>
      </c>
      <c r="G155" s="36">
        <v>24.0</v>
      </c>
      <c r="H155" s="36">
        <v>2.71</v>
      </c>
      <c r="I155" s="36">
        <v>64.2</v>
      </c>
      <c r="J155" s="36">
        <v>59.8</v>
      </c>
      <c r="K155" s="36">
        <v>137.0</v>
      </c>
      <c r="L155" s="36">
        <v>16.8</v>
      </c>
      <c r="M155" s="36">
        <v>102.0</v>
      </c>
      <c r="N155" s="36">
        <v>49.0</v>
      </c>
      <c r="O155" s="36">
        <v>24.0</v>
      </c>
      <c r="P155" s="36">
        <v>74.0</v>
      </c>
      <c r="Q155" s="36">
        <v>0.38</v>
      </c>
      <c r="R155" s="36">
        <v>0.95</v>
      </c>
      <c r="S155" s="36">
        <v>1.58</v>
      </c>
      <c r="T155" s="36">
        <v>2.53</v>
      </c>
      <c r="U155" s="21">
        <f t="shared" si="3"/>
        <v>25300</v>
      </c>
      <c r="V155" s="21">
        <f t="shared" si="4"/>
        <v>160000</v>
      </c>
    </row>
    <row r="156" ht="14.25" customHeight="1">
      <c r="A156" s="38">
        <v>0.38958333333333334</v>
      </c>
      <c r="B156" s="36">
        <v>214.0</v>
      </c>
      <c r="C156" s="36">
        <v>26.9</v>
      </c>
      <c r="D156" s="36">
        <v>2342.0</v>
      </c>
      <c r="E156" s="36">
        <v>2661.0</v>
      </c>
      <c r="F156" s="36">
        <v>1.14</v>
      </c>
      <c r="G156" s="36">
        <v>24.0</v>
      </c>
      <c r="H156" s="36">
        <v>2.7</v>
      </c>
      <c r="I156" s="36">
        <v>64.9</v>
      </c>
      <c r="J156" s="36">
        <v>59.4</v>
      </c>
      <c r="K156" s="36">
        <v>139.0</v>
      </c>
      <c r="L156" s="36">
        <v>16.0</v>
      </c>
      <c r="M156" s="36">
        <v>102.0</v>
      </c>
      <c r="N156" s="36">
        <v>49.0</v>
      </c>
      <c r="O156" s="36">
        <v>24.0</v>
      </c>
      <c r="P156" s="36">
        <v>75.0</v>
      </c>
      <c r="Q156" s="36">
        <v>0.38</v>
      </c>
      <c r="R156" s="36">
        <v>0.94</v>
      </c>
      <c r="S156" s="36">
        <v>1.56</v>
      </c>
      <c r="T156" s="36">
        <v>2.49</v>
      </c>
      <c r="U156" s="21">
        <f t="shared" si="3"/>
        <v>24900</v>
      </c>
      <c r="V156" s="21">
        <f t="shared" si="4"/>
        <v>8410000</v>
      </c>
    </row>
    <row r="157" ht="14.25" customHeight="1">
      <c r="A157" s="38">
        <v>0.3909722222222222</v>
      </c>
      <c r="B157" s="36">
        <v>214.0</v>
      </c>
      <c r="C157" s="36">
        <v>27.5</v>
      </c>
      <c r="D157" s="36">
        <v>2391.0</v>
      </c>
      <c r="E157" s="36">
        <v>2692.0</v>
      </c>
      <c r="F157" s="36">
        <v>1.13</v>
      </c>
      <c r="G157" s="36">
        <v>27.0</v>
      </c>
      <c r="H157" s="36">
        <v>2.38</v>
      </c>
      <c r="I157" s="36">
        <v>64.8</v>
      </c>
      <c r="J157" s="36">
        <v>59.4</v>
      </c>
      <c r="K157" s="36">
        <v>139.0</v>
      </c>
      <c r="L157" s="36">
        <v>15.6</v>
      </c>
      <c r="M157" s="36">
        <v>102.0</v>
      </c>
      <c r="N157" s="36">
        <v>49.0</v>
      </c>
      <c r="O157" s="36">
        <v>27.0</v>
      </c>
      <c r="P157" s="36">
        <v>77.0</v>
      </c>
      <c r="Q157" s="36">
        <v>0.36</v>
      </c>
      <c r="R157" s="36">
        <v>0.79</v>
      </c>
      <c r="S157" s="36">
        <v>1.41</v>
      </c>
      <c r="T157" s="36">
        <v>2.2</v>
      </c>
      <c r="U157" s="21">
        <f t="shared" si="3"/>
        <v>22000</v>
      </c>
      <c r="V157" s="21">
        <f t="shared" si="4"/>
        <v>40000</v>
      </c>
    </row>
    <row r="158" ht="14.25" customHeight="1">
      <c r="A158" s="38">
        <v>0.3923611111111111</v>
      </c>
      <c r="B158" s="36">
        <v>215.0</v>
      </c>
      <c r="C158" s="36">
        <v>27.8</v>
      </c>
      <c r="D158" s="36">
        <v>2423.0</v>
      </c>
      <c r="E158" s="36">
        <v>2740.0</v>
      </c>
      <c r="F158" s="36">
        <v>1.13</v>
      </c>
      <c r="G158" s="36">
        <v>27.0</v>
      </c>
      <c r="H158" s="36">
        <v>2.43</v>
      </c>
      <c r="I158" s="36">
        <v>65.8</v>
      </c>
      <c r="J158" s="36">
        <v>58.8</v>
      </c>
      <c r="K158" s="36">
        <v>139.0</v>
      </c>
      <c r="L158" s="36">
        <v>15.6</v>
      </c>
      <c r="M158" s="36">
        <v>102.0</v>
      </c>
      <c r="N158" s="36">
        <v>49.0</v>
      </c>
      <c r="O158" s="36">
        <v>27.0</v>
      </c>
      <c r="P158" s="36">
        <v>78.0</v>
      </c>
      <c r="Q158" s="36">
        <v>0.37</v>
      </c>
      <c r="R158" s="36">
        <v>0.81</v>
      </c>
      <c r="S158" s="36">
        <v>1.41</v>
      </c>
      <c r="T158" s="36">
        <v>2.22</v>
      </c>
      <c r="U158" s="21">
        <f t="shared" si="3"/>
        <v>22200</v>
      </c>
      <c r="V158" s="21">
        <f t="shared" si="4"/>
        <v>10000</v>
      </c>
    </row>
    <row r="159" ht="14.25" customHeight="1">
      <c r="A159" s="38">
        <v>0.39375</v>
      </c>
      <c r="B159" s="36">
        <v>216.0</v>
      </c>
      <c r="C159" s="36">
        <v>27.4</v>
      </c>
      <c r="D159" s="36">
        <v>2386.0</v>
      </c>
      <c r="E159" s="36">
        <v>2713.0</v>
      </c>
      <c r="F159" s="36">
        <v>1.14</v>
      </c>
      <c r="G159" s="36">
        <v>27.0</v>
      </c>
      <c r="H159" s="36">
        <v>2.42</v>
      </c>
      <c r="I159" s="36">
        <v>65.7</v>
      </c>
      <c r="J159" s="36">
        <v>58.8</v>
      </c>
      <c r="K159" s="36">
        <v>140.0</v>
      </c>
      <c r="L159" s="36">
        <v>15.5</v>
      </c>
      <c r="M159" s="36">
        <v>102.0</v>
      </c>
      <c r="N159" s="36">
        <v>48.0</v>
      </c>
      <c r="O159" s="36">
        <v>27.0</v>
      </c>
      <c r="P159" s="36">
        <v>77.0</v>
      </c>
      <c r="Q159" s="36">
        <v>0.36</v>
      </c>
      <c r="R159" s="36">
        <v>0.8</v>
      </c>
      <c r="S159" s="36">
        <v>1.41</v>
      </c>
      <c r="T159" s="36">
        <v>2.21</v>
      </c>
      <c r="U159" s="21">
        <f t="shared" si="3"/>
        <v>22100</v>
      </c>
      <c r="V159" s="21">
        <f t="shared" si="4"/>
        <v>10000</v>
      </c>
    </row>
    <row r="160" ht="14.25" customHeight="1">
      <c r="A160" s="38">
        <v>0.3951388888888889</v>
      </c>
      <c r="B160" s="36">
        <v>217.0</v>
      </c>
      <c r="C160" s="36">
        <v>27.1</v>
      </c>
      <c r="D160" s="36">
        <v>2357.0</v>
      </c>
      <c r="E160" s="36">
        <v>2703.0</v>
      </c>
      <c r="F160" s="36">
        <v>1.15</v>
      </c>
      <c r="G160" s="36">
        <v>27.0</v>
      </c>
      <c r="H160" s="36">
        <v>2.4</v>
      </c>
      <c r="I160" s="36">
        <v>65.6</v>
      </c>
      <c r="J160" s="36">
        <v>58.9</v>
      </c>
      <c r="K160" s="36">
        <v>139.0</v>
      </c>
      <c r="L160" s="36">
        <v>15.6</v>
      </c>
      <c r="M160" s="36">
        <v>102.0</v>
      </c>
      <c r="N160" s="36">
        <v>48.0</v>
      </c>
      <c r="O160" s="36">
        <v>27.0</v>
      </c>
      <c r="P160" s="36">
        <v>76.0</v>
      </c>
      <c r="Q160" s="36">
        <v>0.36</v>
      </c>
      <c r="R160" s="36">
        <v>0.79</v>
      </c>
      <c r="S160" s="36">
        <v>1.41</v>
      </c>
      <c r="T160" s="36">
        <v>2.2</v>
      </c>
      <c r="U160" s="21">
        <f t="shared" si="3"/>
        <v>22000</v>
      </c>
      <c r="V160" s="21">
        <f t="shared" si="4"/>
        <v>0</v>
      </c>
    </row>
    <row r="161" ht="14.25" customHeight="1">
      <c r="A161" s="38">
        <v>0.3972222222222222</v>
      </c>
      <c r="B161" s="36">
        <v>219.0</v>
      </c>
      <c r="C161" s="36">
        <v>27.4</v>
      </c>
      <c r="D161" s="36">
        <v>2387.0</v>
      </c>
      <c r="E161" s="36">
        <v>2742.0</v>
      </c>
      <c r="F161" s="36">
        <v>1.15</v>
      </c>
      <c r="G161" s="36">
        <v>27.0</v>
      </c>
      <c r="H161" s="36">
        <v>2.43</v>
      </c>
      <c r="I161" s="36">
        <v>66.3</v>
      </c>
      <c r="J161" s="36">
        <v>58.5</v>
      </c>
      <c r="K161" s="36">
        <v>139.0</v>
      </c>
      <c r="L161" s="36">
        <v>15.6</v>
      </c>
      <c r="M161" s="36">
        <v>103.0</v>
      </c>
      <c r="N161" s="36">
        <v>48.0</v>
      </c>
      <c r="O161" s="36">
        <v>27.0</v>
      </c>
      <c r="P161" s="36">
        <v>77.0</v>
      </c>
      <c r="Q161" s="36">
        <v>0.36</v>
      </c>
      <c r="R161" s="36">
        <v>0.79</v>
      </c>
      <c r="S161" s="36">
        <v>1.41</v>
      </c>
      <c r="T161" s="36">
        <v>2.2</v>
      </c>
      <c r="U161" s="21">
        <f t="shared" si="3"/>
        <v>22000</v>
      </c>
      <c r="V161" s="21">
        <f t="shared" si="4"/>
        <v>810000</v>
      </c>
    </row>
    <row r="162" ht="14.25" customHeight="1">
      <c r="A162" s="38">
        <v>0.39861111111111114</v>
      </c>
      <c r="B162" s="36">
        <v>219.0</v>
      </c>
      <c r="C162" s="36">
        <v>27.8</v>
      </c>
      <c r="D162" s="36">
        <v>2415.0</v>
      </c>
      <c r="E162" s="36">
        <v>2729.0</v>
      </c>
      <c r="F162" s="36">
        <v>1.13</v>
      </c>
      <c r="G162" s="36">
        <v>28.0</v>
      </c>
      <c r="H162" s="36">
        <v>2.31</v>
      </c>
      <c r="I162" s="36">
        <v>65.7</v>
      </c>
      <c r="J162" s="36">
        <v>58.8</v>
      </c>
      <c r="K162" s="36">
        <v>139.0</v>
      </c>
      <c r="L162" s="36">
        <v>16.0</v>
      </c>
      <c r="M162" s="36">
        <v>103.0</v>
      </c>
      <c r="N162" s="36">
        <v>48.0</v>
      </c>
      <c r="O162" s="36">
        <v>28.0</v>
      </c>
      <c r="P162" s="36">
        <v>78.0</v>
      </c>
      <c r="Q162" s="36">
        <v>0.37</v>
      </c>
      <c r="R162" s="36">
        <v>0.77</v>
      </c>
      <c r="S162" s="36">
        <v>1.34</v>
      </c>
      <c r="T162" s="36">
        <v>2.11</v>
      </c>
      <c r="U162" s="21">
        <f t="shared" si="3"/>
        <v>21100</v>
      </c>
      <c r="V162" s="21">
        <f t="shared" si="4"/>
        <v>0</v>
      </c>
    </row>
    <row r="163" ht="14.25" customHeight="1">
      <c r="A163" s="38">
        <v>0.4</v>
      </c>
      <c r="B163" s="36">
        <v>220.0</v>
      </c>
      <c r="C163" s="36">
        <v>27.8</v>
      </c>
      <c r="D163" s="36">
        <v>2415.0</v>
      </c>
      <c r="E163" s="36">
        <v>2729.0</v>
      </c>
      <c r="F163" s="36">
        <v>1.13</v>
      </c>
      <c r="G163" s="36">
        <v>28.0</v>
      </c>
      <c r="H163" s="36">
        <v>2.31</v>
      </c>
      <c r="I163" s="36">
        <v>65.7</v>
      </c>
      <c r="J163" s="36">
        <v>58.8</v>
      </c>
      <c r="K163" s="36">
        <v>139.0</v>
      </c>
      <c r="L163" s="36">
        <v>16.0</v>
      </c>
      <c r="M163" s="36">
        <v>103.0</v>
      </c>
      <c r="N163" s="36">
        <v>48.0</v>
      </c>
      <c r="O163" s="36">
        <v>28.0</v>
      </c>
      <c r="P163" s="36">
        <v>78.0</v>
      </c>
      <c r="Q163" s="36">
        <v>0.37</v>
      </c>
      <c r="R163" s="36">
        <v>0.77</v>
      </c>
      <c r="S163" s="36">
        <v>1.34</v>
      </c>
      <c r="T163" s="36">
        <v>2.11</v>
      </c>
      <c r="U163" s="21">
        <f t="shared" si="3"/>
        <v>21100</v>
      </c>
      <c r="V163" s="21">
        <f t="shared" si="4"/>
        <v>250000</v>
      </c>
    </row>
    <row r="164" ht="14.25" customHeight="1">
      <c r="A164" s="38">
        <v>0.40069444444444446</v>
      </c>
      <c r="B164" s="36">
        <v>222.0</v>
      </c>
      <c r="C164" s="36">
        <v>28.4</v>
      </c>
      <c r="D164" s="36">
        <v>2467.0</v>
      </c>
      <c r="E164" s="36">
        <v>2769.0</v>
      </c>
      <c r="F164" s="36">
        <v>1.12</v>
      </c>
      <c r="G164" s="36">
        <v>29.0</v>
      </c>
      <c r="H164" s="36">
        <v>2.31</v>
      </c>
      <c r="I164" s="36">
        <v>67.1</v>
      </c>
      <c r="J164" s="36">
        <v>58.0</v>
      </c>
      <c r="K164" s="36">
        <v>138.0</v>
      </c>
      <c r="L164" s="36">
        <v>16.6</v>
      </c>
      <c r="M164" s="36">
        <v>103.0</v>
      </c>
      <c r="N164" s="36">
        <v>48.0</v>
      </c>
      <c r="O164" s="36">
        <v>29.0</v>
      </c>
      <c r="P164" s="36">
        <v>79.0</v>
      </c>
      <c r="Q164" s="36">
        <v>0.37</v>
      </c>
      <c r="R164" s="36">
        <v>0.76</v>
      </c>
      <c r="S164" s="36">
        <v>1.3</v>
      </c>
      <c r="T164" s="36">
        <v>2.06</v>
      </c>
      <c r="U164" s="21">
        <f t="shared" si="3"/>
        <v>20600</v>
      </c>
      <c r="V164" s="21">
        <f t="shared" si="4"/>
        <v>250000</v>
      </c>
    </row>
    <row r="165" ht="14.25" customHeight="1">
      <c r="A165" s="38">
        <v>0.40208333333333335</v>
      </c>
      <c r="B165" s="36">
        <v>222.0</v>
      </c>
      <c r="C165" s="36">
        <v>28.6</v>
      </c>
      <c r="D165" s="36">
        <v>2490.0</v>
      </c>
      <c r="E165" s="36">
        <v>2797.0</v>
      </c>
      <c r="F165" s="36">
        <v>1.12</v>
      </c>
      <c r="G165" s="36">
        <v>30.0</v>
      </c>
      <c r="H165" s="36">
        <v>2.29</v>
      </c>
      <c r="I165" s="36">
        <v>68.4</v>
      </c>
      <c r="J165" s="36">
        <v>57.2</v>
      </c>
      <c r="K165" s="36">
        <v>136.0</v>
      </c>
      <c r="L165" s="36">
        <v>17.7</v>
      </c>
      <c r="M165" s="36">
        <v>103.0</v>
      </c>
      <c r="N165" s="36">
        <v>48.0</v>
      </c>
      <c r="O165" s="36">
        <v>30.0</v>
      </c>
      <c r="P165" s="36">
        <v>80.0</v>
      </c>
      <c r="Q165" s="36">
        <v>0.37</v>
      </c>
      <c r="R165" s="36">
        <v>0.74</v>
      </c>
      <c r="S165" s="36">
        <v>1.27</v>
      </c>
      <c r="T165" s="36">
        <v>2.01</v>
      </c>
      <c r="U165" s="21">
        <f t="shared" si="3"/>
        <v>20100</v>
      </c>
      <c r="V165" s="21">
        <f t="shared" si="4"/>
        <v>40000</v>
      </c>
    </row>
    <row r="166" ht="14.25" customHeight="1">
      <c r="A166" s="38">
        <v>0.40347222222222223</v>
      </c>
      <c r="B166" s="36">
        <v>223.0</v>
      </c>
      <c r="C166" s="36">
        <v>29.2</v>
      </c>
      <c r="D166" s="36">
        <v>2539.0</v>
      </c>
      <c r="E166" s="36">
        <v>2882.0</v>
      </c>
      <c r="F166" s="36">
        <v>1.14</v>
      </c>
      <c r="G166" s="36">
        <v>30.0</v>
      </c>
      <c r="H166" s="36">
        <v>2.39</v>
      </c>
      <c r="I166" s="36">
        <v>70.7</v>
      </c>
      <c r="J166" s="36">
        <v>55.7</v>
      </c>
      <c r="K166" s="36">
        <v>135.0</v>
      </c>
      <c r="L166" s="36">
        <v>18.1</v>
      </c>
      <c r="M166" s="36">
        <v>104.0</v>
      </c>
      <c r="N166" s="36">
        <v>48.0</v>
      </c>
      <c r="O166" s="36">
        <v>30.0</v>
      </c>
      <c r="P166" s="36">
        <v>82.0</v>
      </c>
      <c r="Q166" s="36">
        <v>0.36</v>
      </c>
      <c r="R166" s="36">
        <v>0.73</v>
      </c>
      <c r="S166" s="36">
        <v>1.3</v>
      </c>
      <c r="T166" s="36">
        <v>2.03</v>
      </c>
      <c r="U166" s="21">
        <f t="shared" si="3"/>
        <v>20300</v>
      </c>
      <c r="V166" s="21">
        <f t="shared" si="4"/>
        <v>40000</v>
      </c>
    </row>
    <row r="167" ht="14.25" customHeight="1">
      <c r="A167" s="38">
        <v>0.40555555555555556</v>
      </c>
      <c r="B167" s="36">
        <v>225.0</v>
      </c>
      <c r="C167" s="36">
        <v>29.2</v>
      </c>
      <c r="D167" s="36">
        <v>2537.0</v>
      </c>
      <c r="E167" s="36">
        <v>2895.0</v>
      </c>
      <c r="F167" s="36">
        <v>1.14</v>
      </c>
      <c r="G167" s="36">
        <v>29.0</v>
      </c>
      <c r="H167" s="36">
        <v>2.44</v>
      </c>
      <c r="I167" s="36">
        <v>71.3</v>
      </c>
      <c r="J167" s="36">
        <v>55.3</v>
      </c>
      <c r="K167" s="36">
        <v>136.0</v>
      </c>
      <c r="L167" s="36">
        <v>17.6</v>
      </c>
      <c r="M167" s="36">
        <v>104.0</v>
      </c>
      <c r="N167" s="36">
        <v>47.0</v>
      </c>
      <c r="O167" s="36">
        <v>29.0</v>
      </c>
      <c r="P167" s="36">
        <v>82.0</v>
      </c>
      <c r="Q167" s="36">
        <v>0.36</v>
      </c>
      <c r="R167" s="36">
        <v>0.75</v>
      </c>
      <c r="S167" s="36">
        <v>1.3</v>
      </c>
      <c r="T167" s="36">
        <v>2.05</v>
      </c>
      <c r="U167" s="21">
        <f t="shared" si="3"/>
        <v>20500</v>
      </c>
      <c r="V167" s="21">
        <f t="shared" si="4"/>
        <v>160000</v>
      </c>
    </row>
    <row r="168" ht="14.25" customHeight="1">
      <c r="A168" s="38">
        <v>0.40694444444444444</v>
      </c>
      <c r="B168" s="36">
        <v>225.0</v>
      </c>
      <c r="C168" s="36">
        <v>29.7</v>
      </c>
      <c r="D168" s="36">
        <v>2582.0</v>
      </c>
      <c r="E168" s="36">
        <v>2965.0</v>
      </c>
      <c r="F168" s="36">
        <v>1.15</v>
      </c>
      <c r="G168" s="36">
        <v>30.0</v>
      </c>
      <c r="H168" s="36">
        <v>2.46</v>
      </c>
      <c r="I168" s="36">
        <v>73.4</v>
      </c>
      <c r="J168" s="36">
        <v>54.0</v>
      </c>
      <c r="K168" s="36">
        <v>138.0</v>
      </c>
      <c r="L168" s="36">
        <v>16.4</v>
      </c>
      <c r="M168" s="36">
        <v>104.0</v>
      </c>
      <c r="N168" s="36">
        <v>47.0</v>
      </c>
      <c r="O168" s="36">
        <v>30.0</v>
      </c>
      <c r="P168" s="36">
        <v>83.0</v>
      </c>
      <c r="Q168" s="36">
        <v>0.37</v>
      </c>
      <c r="R168" s="36">
        <v>0.75</v>
      </c>
      <c r="S168" s="36">
        <v>1.27</v>
      </c>
      <c r="T168" s="36">
        <v>2.01</v>
      </c>
      <c r="U168" s="21">
        <f t="shared" si="3"/>
        <v>20100</v>
      </c>
      <c r="V168" s="8">
        <v>0.0</v>
      </c>
    </row>
    <row r="169" ht="14.25" customHeight="1">
      <c r="A169" s="36" t="s">
        <v>82</v>
      </c>
      <c r="V169" s="8"/>
    </row>
    <row r="170" ht="14.25" customHeight="1">
      <c r="A170" s="38">
        <v>0.4083333333333333</v>
      </c>
      <c r="B170" s="36">
        <v>226.0</v>
      </c>
      <c r="C170" s="36">
        <v>29.8</v>
      </c>
      <c r="D170" s="36">
        <v>2591.0</v>
      </c>
      <c r="E170" s="36">
        <v>2987.0</v>
      </c>
      <c r="F170" s="36">
        <v>1.15</v>
      </c>
      <c r="G170" s="36">
        <v>30.0</v>
      </c>
      <c r="H170" s="36">
        <v>2.48</v>
      </c>
      <c r="I170" s="36">
        <v>74.1</v>
      </c>
      <c r="J170" s="36">
        <v>53.6</v>
      </c>
      <c r="K170" s="36">
        <v>139.0</v>
      </c>
      <c r="L170" s="36">
        <v>16.0</v>
      </c>
      <c r="M170" s="36">
        <v>105.0</v>
      </c>
      <c r="N170" s="36">
        <v>47.0</v>
      </c>
      <c r="O170" s="36">
        <v>30.0</v>
      </c>
      <c r="P170" s="36">
        <v>83.0</v>
      </c>
      <c r="Q170" s="36">
        <v>0.38</v>
      </c>
      <c r="R170" s="36">
        <v>0.76</v>
      </c>
      <c r="S170" s="36">
        <v>1.25</v>
      </c>
      <c r="T170" s="36">
        <v>2.01</v>
      </c>
      <c r="U170" s="21">
        <f t="shared" ref="U170:U175" si="5">T170*10000</f>
        <v>20100</v>
      </c>
      <c r="V170" s="21">
        <f t="shared" ref="V170:V174" si="6">(U170-U171)^2</f>
        <v>40000</v>
      </c>
      <c r="W170" s="8">
        <f>SQRT(AVERAGE(V170:V314))</f>
        <v>130.2172098</v>
      </c>
    </row>
    <row r="171" ht="14.25" customHeight="1">
      <c r="A171" s="38">
        <v>0.4097222222222222</v>
      </c>
      <c r="B171" s="36">
        <v>228.0</v>
      </c>
      <c r="C171" s="36">
        <v>29.4</v>
      </c>
      <c r="D171" s="36">
        <v>2554.0</v>
      </c>
      <c r="E171" s="36">
        <v>2990.0</v>
      </c>
      <c r="F171" s="36">
        <v>1.17</v>
      </c>
      <c r="G171" s="36">
        <v>30.0</v>
      </c>
      <c r="H171" s="36">
        <v>2.51</v>
      </c>
      <c r="I171" s="36">
        <v>74.3</v>
      </c>
      <c r="J171" s="36">
        <v>53.4</v>
      </c>
      <c r="K171" s="36">
        <v>139.0</v>
      </c>
      <c r="L171" s="36">
        <v>15.6</v>
      </c>
      <c r="M171" s="36">
        <v>105.0</v>
      </c>
      <c r="N171" s="36">
        <v>47.0</v>
      </c>
      <c r="O171" s="36">
        <v>30.0</v>
      </c>
      <c r="P171" s="36">
        <v>82.0</v>
      </c>
      <c r="Q171" s="36">
        <v>0.38</v>
      </c>
      <c r="R171" s="36">
        <v>0.76</v>
      </c>
      <c r="S171" s="36">
        <v>1.27</v>
      </c>
      <c r="T171" s="36">
        <v>2.03</v>
      </c>
      <c r="U171" s="21">
        <f t="shared" si="5"/>
        <v>20300</v>
      </c>
      <c r="V171" s="21">
        <f t="shared" si="6"/>
        <v>0</v>
      </c>
    </row>
    <row r="172" ht="14.25" customHeight="1">
      <c r="A172" s="38">
        <v>0.4111111111111111</v>
      </c>
      <c r="B172" s="36">
        <v>228.0</v>
      </c>
      <c r="C172" s="36">
        <v>29.4</v>
      </c>
      <c r="D172" s="36">
        <v>2554.0</v>
      </c>
      <c r="E172" s="36">
        <v>2990.0</v>
      </c>
      <c r="F172" s="36">
        <v>1.17</v>
      </c>
      <c r="G172" s="36">
        <v>30.0</v>
      </c>
      <c r="H172" s="36">
        <v>2.51</v>
      </c>
      <c r="I172" s="36">
        <v>74.3</v>
      </c>
      <c r="J172" s="36">
        <v>53.4</v>
      </c>
      <c r="K172" s="36">
        <v>138.0</v>
      </c>
      <c r="L172" s="36">
        <v>16.4</v>
      </c>
      <c r="M172" s="36">
        <v>105.0</v>
      </c>
      <c r="N172" s="36">
        <v>47.0</v>
      </c>
      <c r="O172" s="36">
        <v>30.0</v>
      </c>
      <c r="P172" s="36">
        <v>82.0</v>
      </c>
      <c r="Q172" s="36">
        <v>0.38</v>
      </c>
      <c r="R172" s="36">
        <v>0.76</v>
      </c>
      <c r="S172" s="36">
        <v>1.27</v>
      </c>
      <c r="T172" s="36">
        <v>2.03</v>
      </c>
      <c r="U172" s="21">
        <f t="shared" si="5"/>
        <v>20300</v>
      </c>
      <c r="V172" s="21">
        <f t="shared" si="6"/>
        <v>90000</v>
      </c>
    </row>
    <row r="173" ht="14.25" customHeight="1">
      <c r="A173" s="38">
        <v>0.41180555555555554</v>
      </c>
      <c r="B173" s="36">
        <v>229.0</v>
      </c>
      <c r="C173" s="36">
        <v>29.3</v>
      </c>
      <c r="D173" s="36">
        <v>2545.0</v>
      </c>
      <c r="E173" s="36">
        <v>2996.0</v>
      </c>
      <c r="F173" s="36">
        <v>1.18</v>
      </c>
      <c r="G173" s="36">
        <v>30.0</v>
      </c>
      <c r="H173" s="36">
        <v>2.48</v>
      </c>
      <c r="I173" s="36">
        <v>74.5</v>
      </c>
      <c r="J173" s="36">
        <v>53.3</v>
      </c>
      <c r="K173" s="36">
        <v>140.0</v>
      </c>
      <c r="L173" s="36">
        <v>15.2</v>
      </c>
      <c r="M173" s="36">
        <v>105.0</v>
      </c>
      <c r="N173" s="36">
        <v>47.0</v>
      </c>
      <c r="O173" s="36">
        <v>30.0</v>
      </c>
      <c r="P173" s="36">
        <v>82.0</v>
      </c>
      <c r="Q173" s="36">
        <v>0.38</v>
      </c>
      <c r="R173" s="36">
        <v>0.76</v>
      </c>
      <c r="S173" s="36">
        <v>1.24</v>
      </c>
      <c r="T173" s="36">
        <v>2.0</v>
      </c>
      <c r="U173" s="21">
        <f t="shared" si="5"/>
        <v>20000</v>
      </c>
      <c r="V173" s="21">
        <f t="shared" si="6"/>
        <v>10000</v>
      </c>
    </row>
    <row r="174" ht="14.25" customHeight="1">
      <c r="A174" s="38">
        <v>0.4131944444444444</v>
      </c>
      <c r="B174" s="36">
        <v>231.0</v>
      </c>
      <c r="C174" s="36">
        <v>28.8</v>
      </c>
      <c r="D174" s="36">
        <v>2503.0</v>
      </c>
      <c r="E174" s="36">
        <v>3000.0</v>
      </c>
      <c r="F174" s="36">
        <v>1.2</v>
      </c>
      <c r="G174" s="36">
        <v>30.0</v>
      </c>
      <c r="H174" s="36">
        <v>2.5</v>
      </c>
      <c r="I174" s="36">
        <v>75.4</v>
      </c>
      <c r="J174" s="36">
        <v>52.8</v>
      </c>
      <c r="K174" s="36">
        <v>142.0</v>
      </c>
      <c r="L174" s="36">
        <v>14.0</v>
      </c>
      <c r="M174" s="36">
        <v>106.0</v>
      </c>
      <c r="N174" s="36">
        <v>47.0</v>
      </c>
      <c r="O174" s="36">
        <v>30.0</v>
      </c>
      <c r="P174" s="36">
        <v>81.0</v>
      </c>
      <c r="Q174" s="36">
        <v>0.38</v>
      </c>
      <c r="R174" s="36">
        <v>0.76</v>
      </c>
      <c r="S174" s="36">
        <v>1.23</v>
      </c>
      <c r="T174" s="36">
        <v>1.99</v>
      </c>
      <c r="U174" s="21">
        <f t="shared" si="5"/>
        <v>19900</v>
      </c>
      <c r="V174" s="21">
        <f t="shared" si="6"/>
        <v>250000</v>
      </c>
    </row>
    <row r="175" ht="14.25" customHeight="1">
      <c r="A175" s="38">
        <v>0.41458333333333336</v>
      </c>
      <c r="B175" s="36">
        <v>232.0</v>
      </c>
      <c r="C175" s="36">
        <v>29.4</v>
      </c>
      <c r="D175" s="36">
        <v>2561.0</v>
      </c>
      <c r="E175" s="36">
        <v>3084.0</v>
      </c>
      <c r="F175" s="36">
        <v>1.2</v>
      </c>
      <c r="G175" s="36">
        <v>31.0</v>
      </c>
      <c r="H175" s="36">
        <v>2.51</v>
      </c>
      <c r="I175" s="36">
        <v>77.4</v>
      </c>
      <c r="J175" s="36">
        <v>51.5</v>
      </c>
      <c r="K175" s="36">
        <v>143.0</v>
      </c>
      <c r="L175" s="36">
        <v>13.6</v>
      </c>
      <c r="M175" s="36">
        <v>107.0</v>
      </c>
      <c r="N175" s="36">
        <v>47.0</v>
      </c>
      <c r="O175" s="36">
        <v>31.0</v>
      </c>
      <c r="P175" s="36">
        <v>82.0</v>
      </c>
      <c r="Q175" s="36">
        <v>0.38</v>
      </c>
      <c r="R175" s="36">
        <v>0.73</v>
      </c>
      <c r="S175" s="36">
        <v>1.21</v>
      </c>
      <c r="T175" s="36">
        <v>1.94</v>
      </c>
      <c r="U175" s="21">
        <f t="shared" si="5"/>
        <v>19400</v>
      </c>
      <c r="V175" s="8">
        <v>0.0</v>
      </c>
    </row>
    <row r="176" ht="14.25" customHeight="1">
      <c r="A176" s="36" t="s">
        <v>88</v>
      </c>
      <c r="V176" s="21">
        <f t="shared" ref="V176:V192" si="7">(U176-U177)^2</f>
        <v>0</v>
      </c>
    </row>
    <row r="177" ht="14.25" customHeight="1">
      <c r="A177" s="36" t="s">
        <v>81</v>
      </c>
      <c r="V177" s="21">
        <f t="shared" si="7"/>
        <v>0</v>
      </c>
    </row>
    <row r="178" ht="14.25" customHeight="1">
      <c r="A178" s="38"/>
      <c r="V178" s="21">
        <f t="shared" si="7"/>
        <v>0</v>
      </c>
    </row>
    <row r="179" ht="14.25" customHeight="1">
      <c r="A179" s="38"/>
      <c r="V179" s="21">
        <f t="shared" si="7"/>
        <v>0</v>
      </c>
    </row>
    <row r="180" ht="14.25" customHeight="1">
      <c r="A180" s="38"/>
      <c r="V180" s="21">
        <f t="shared" si="7"/>
        <v>0</v>
      </c>
    </row>
    <row r="181" ht="14.25" customHeight="1">
      <c r="A181" s="38"/>
      <c r="V181" s="21">
        <f t="shared" si="7"/>
        <v>0</v>
      </c>
    </row>
    <row r="182" ht="14.25" customHeight="1">
      <c r="A182" s="38"/>
      <c r="V182" s="21">
        <f t="shared" si="7"/>
        <v>0</v>
      </c>
    </row>
    <row r="183" ht="14.25" customHeight="1">
      <c r="A183" s="38"/>
      <c r="V183" s="21">
        <f t="shared" si="7"/>
        <v>0</v>
      </c>
    </row>
    <row r="184" ht="14.25" customHeight="1">
      <c r="A184" s="38"/>
      <c r="V184" s="21">
        <f t="shared" si="7"/>
        <v>0</v>
      </c>
    </row>
    <row r="185" ht="14.25" customHeight="1">
      <c r="A185" s="38"/>
      <c r="V185" s="21">
        <f t="shared" si="7"/>
        <v>0</v>
      </c>
    </row>
    <row r="186" ht="14.25" customHeight="1">
      <c r="A186" s="38"/>
      <c r="V186" s="21">
        <f t="shared" si="7"/>
        <v>0</v>
      </c>
    </row>
    <row r="187" ht="14.25" customHeight="1">
      <c r="A187" s="38"/>
      <c r="V187" s="21">
        <f t="shared" si="7"/>
        <v>0</v>
      </c>
    </row>
    <row r="188" ht="14.25" customHeight="1">
      <c r="A188" s="38"/>
      <c r="V188" s="21">
        <f t="shared" si="7"/>
        <v>0</v>
      </c>
    </row>
    <row r="189" ht="14.25" customHeight="1">
      <c r="A189" s="38"/>
      <c r="V189" s="21">
        <f t="shared" si="7"/>
        <v>0</v>
      </c>
    </row>
    <row r="190" ht="14.25" customHeight="1">
      <c r="A190" s="38"/>
      <c r="V190" s="21">
        <f t="shared" si="7"/>
        <v>0</v>
      </c>
    </row>
    <row r="191" ht="14.25" customHeight="1">
      <c r="A191" s="38"/>
      <c r="V191" s="21">
        <f t="shared" si="7"/>
        <v>0</v>
      </c>
    </row>
    <row r="192" ht="14.25" customHeight="1">
      <c r="A192" s="38"/>
      <c r="V192" s="21">
        <f t="shared" si="7"/>
        <v>0</v>
      </c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>
      <c r="A333" s="38"/>
    </row>
    <row r="334" ht="14.25" customHeight="1">
      <c r="A334" s="38"/>
    </row>
    <row r="335" ht="14.25" customHeight="1">
      <c r="A335" s="38"/>
    </row>
    <row r="336" ht="14.25" customHeight="1">
      <c r="A336" s="38"/>
    </row>
    <row r="337" ht="14.25" customHeight="1">
      <c r="A337" s="38"/>
    </row>
    <row r="338" ht="14.25" customHeight="1">
      <c r="A338" s="38"/>
    </row>
    <row r="339" ht="14.25" customHeight="1">
      <c r="A339" s="38"/>
    </row>
    <row r="340" ht="14.25" customHeight="1">
      <c r="A340" s="38"/>
    </row>
    <row r="341" ht="14.25" customHeight="1">
      <c r="A341" s="38"/>
    </row>
    <row r="342" ht="14.25" customHeight="1">
      <c r="A342" s="38"/>
    </row>
    <row r="343" ht="14.25" customHeight="1">
      <c r="A343" s="38"/>
    </row>
    <row r="344" ht="14.25" customHeight="1">
      <c r="A344" s="38"/>
    </row>
    <row r="345" ht="14.25" customHeight="1">
      <c r="A345" s="38"/>
    </row>
    <row r="346" ht="14.25" customHeight="1">
      <c r="A346" s="38"/>
    </row>
    <row r="347" ht="14.25" customHeight="1">
      <c r="A347" s="38"/>
    </row>
    <row r="348" ht="14.25" customHeight="1">
      <c r="A348" s="38"/>
    </row>
    <row r="349" ht="14.25" customHeight="1">
      <c r="A349" s="38"/>
    </row>
    <row r="350" ht="14.25" customHeight="1">
      <c r="A350" s="38"/>
    </row>
    <row r="351" ht="14.25" customHeight="1">
      <c r="A351" s="38"/>
    </row>
    <row r="352" ht="14.25" customHeight="1">
      <c r="A352" s="38"/>
    </row>
    <row r="353" ht="14.25" customHeight="1">
      <c r="A353" s="38"/>
    </row>
    <row r="354" ht="14.25" customHeight="1">
      <c r="A354" s="38"/>
    </row>
    <row r="355" ht="14.25" customHeight="1">
      <c r="A355" s="38"/>
    </row>
    <row r="356" ht="14.25" customHeight="1">
      <c r="A356" s="38"/>
    </row>
    <row r="357" ht="14.25" customHeight="1">
      <c r="A357" s="38"/>
    </row>
    <row r="358" ht="14.25" customHeight="1">
      <c r="A358" s="38"/>
    </row>
    <row r="359" ht="14.25" customHeight="1">
      <c r="A359" s="38"/>
    </row>
    <row r="360" ht="14.25" customHeight="1">
      <c r="A360" s="38"/>
    </row>
    <row r="361" ht="14.25" customHeight="1">
      <c r="A361" s="38"/>
    </row>
    <row r="362" ht="14.25" customHeight="1">
      <c r="A362" s="38"/>
    </row>
    <row r="363" ht="14.25" customHeight="1">
      <c r="A363" s="38"/>
    </row>
    <row r="364" ht="14.25" customHeight="1">
      <c r="A364" s="38"/>
    </row>
    <row r="365" ht="14.25" customHeight="1">
      <c r="A365" s="38"/>
    </row>
    <row r="366" ht="14.25" customHeight="1">
      <c r="A366" s="38"/>
    </row>
    <row r="367" ht="14.25" customHeight="1">
      <c r="A367" s="38"/>
    </row>
    <row r="368" ht="14.25" customHeight="1">
      <c r="A368" s="38"/>
    </row>
    <row r="369" ht="14.25" customHeight="1">
      <c r="A369" s="38"/>
    </row>
    <row r="370" ht="14.25" customHeight="1">
      <c r="A370" s="38"/>
    </row>
    <row r="371" ht="14.25" customHeight="1">
      <c r="A371" s="38"/>
    </row>
    <row r="372" ht="14.25" customHeight="1">
      <c r="A372" s="38"/>
    </row>
    <row r="373" ht="14.25" customHeight="1">
      <c r="A373" s="38"/>
    </row>
    <row r="374" ht="14.25" customHeight="1">
      <c r="A374" s="38"/>
    </row>
    <row r="375" ht="14.25" customHeight="1">
      <c r="A375" s="38"/>
    </row>
    <row r="376" ht="14.25" customHeight="1">
      <c r="A376" s="38"/>
    </row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3" width="8.0"/>
    <col customWidth="1" min="24" max="45" width="6.63"/>
  </cols>
  <sheetData>
    <row r="1" ht="14.25" customHeight="1">
      <c r="U1" s="48"/>
    </row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48"/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  <c r="U3" s="48"/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24" t="s">
        <v>92</v>
      </c>
      <c r="V4" s="8" t="s">
        <v>85</v>
      </c>
    </row>
    <row r="5" ht="14.25" customHeight="1">
      <c r="A5" s="36" t="s">
        <v>87</v>
      </c>
      <c r="U5" s="48"/>
    </row>
    <row r="6" ht="14.25" customHeight="1">
      <c r="A6" s="38">
        <v>0.09236111111111112</v>
      </c>
      <c r="B6" s="36">
        <v>0.0</v>
      </c>
      <c r="C6" s="36">
        <v>4.5</v>
      </c>
      <c r="D6" s="36">
        <v>304.0</v>
      </c>
      <c r="E6" s="36">
        <v>292.0</v>
      </c>
      <c r="F6" s="36">
        <v>0.96</v>
      </c>
      <c r="G6" s="36">
        <v>10.0</v>
      </c>
      <c r="H6" s="36">
        <v>0.9</v>
      </c>
      <c r="I6" s="36">
        <v>9.0</v>
      </c>
      <c r="J6" s="36">
        <v>95.2</v>
      </c>
      <c r="K6" s="36">
        <v>116.0</v>
      </c>
      <c r="L6" s="36">
        <v>40.2</v>
      </c>
      <c r="M6" s="36">
        <v>105.0</v>
      </c>
      <c r="N6" s="36">
        <v>39.0</v>
      </c>
      <c r="O6" s="36">
        <v>10.0</v>
      </c>
      <c r="P6" s="36">
        <v>11.0</v>
      </c>
      <c r="Q6" s="36">
        <v>0.3</v>
      </c>
      <c r="R6" s="36">
        <v>1.81</v>
      </c>
      <c r="S6" s="36">
        <v>4.17</v>
      </c>
      <c r="T6" s="36">
        <v>5.98</v>
      </c>
      <c r="U6" s="49">
        <f t="shared" ref="U6:U123" si="1">T6*1000</f>
        <v>5980</v>
      </c>
      <c r="V6" s="21">
        <f t="shared" ref="V6:V93" si="2">(U6-U7)^2</f>
        <v>10000</v>
      </c>
      <c r="W6" s="8">
        <f>SQRT(AVERAGE(V6:V94))</f>
        <v>465.0601024</v>
      </c>
    </row>
    <row r="7" ht="14.25" customHeight="1">
      <c r="A7" s="38">
        <v>0.09583333333333334</v>
      </c>
      <c r="B7" s="36">
        <v>3.0</v>
      </c>
      <c r="C7" s="36">
        <v>4.3</v>
      </c>
      <c r="D7" s="36">
        <v>291.0</v>
      </c>
      <c r="E7" s="36">
        <v>271.0</v>
      </c>
      <c r="F7" s="36">
        <v>0.93</v>
      </c>
      <c r="G7" s="36">
        <v>10.0</v>
      </c>
      <c r="H7" s="36">
        <v>0.84</v>
      </c>
      <c r="I7" s="36">
        <v>8.3</v>
      </c>
      <c r="J7" s="36">
        <v>95.5</v>
      </c>
      <c r="K7" s="36">
        <v>116.0</v>
      </c>
      <c r="L7" s="36">
        <v>40.2</v>
      </c>
      <c r="M7" s="36">
        <v>103.0</v>
      </c>
      <c r="N7" s="36">
        <v>40.0</v>
      </c>
      <c r="O7" s="36">
        <v>10.0</v>
      </c>
      <c r="P7" s="36">
        <v>11.0</v>
      </c>
      <c r="Q7" s="36">
        <v>0.3</v>
      </c>
      <c r="R7" s="36">
        <v>1.83</v>
      </c>
      <c r="S7" s="36">
        <v>4.25</v>
      </c>
      <c r="T7" s="36">
        <v>6.08</v>
      </c>
      <c r="U7" s="49">
        <f t="shared" si="1"/>
        <v>6080</v>
      </c>
      <c r="V7" s="21">
        <f t="shared" si="2"/>
        <v>44100</v>
      </c>
    </row>
    <row r="8" ht="14.25" customHeight="1">
      <c r="A8" s="38">
        <v>0.09861111111111111</v>
      </c>
      <c r="B8" s="36">
        <v>5.0</v>
      </c>
      <c r="C8" s="36">
        <v>3.9</v>
      </c>
      <c r="D8" s="36">
        <v>260.0</v>
      </c>
      <c r="E8" s="36">
        <v>241.0</v>
      </c>
      <c r="F8" s="36">
        <v>0.93</v>
      </c>
      <c r="G8" s="36">
        <v>10.0</v>
      </c>
      <c r="H8" s="36">
        <v>0.75</v>
      </c>
      <c r="I8" s="36">
        <v>7.6</v>
      </c>
      <c r="J8" s="36">
        <v>95.9</v>
      </c>
      <c r="K8" s="36">
        <v>114.0</v>
      </c>
      <c r="L8" s="36">
        <v>41.1</v>
      </c>
      <c r="M8" s="36">
        <v>103.0</v>
      </c>
      <c r="N8" s="36">
        <v>40.0</v>
      </c>
      <c r="O8" s="36">
        <v>10.0</v>
      </c>
      <c r="P8" s="36">
        <v>9.0</v>
      </c>
      <c r="Q8" s="36">
        <v>0.29</v>
      </c>
      <c r="R8" s="36">
        <v>1.71</v>
      </c>
      <c r="S8" s="36">
        <v>4.15</v>
      </c>
      <c r="T8" s="36">
        <v>5.87</v>
      </c>
      <c r="U8" s="49">
        <f t="shared" si="1"/>
        <v>5870</v>
      </c>
      <c r="V8" s="21">
        <f t="shared" si="2"/>
        <v>12100</v>
      </c>
    </row>
    <row r="9" ht="14.25" customHeight="1">
      <c r="A9" s="38">
        <v>0.10069444444444445</v>
      </c>
      <c r="B9" s="36">
        <v>6.0</v>
      </c>
      <c r="C9" s="36">
        <v>4.1</v>
      </c>
      <c r="D9" s="36">
        <v>273.0</v>
      </c>
      <c r="E9" s="36">
        <v>251.0</v>
      </c>
      <c r="F9" s="36">
        <v>0.92</v>
      </c>
      <c r="G9" s="36">
        <v>10.0</v>
      </c>
      <c r="H9" s="36">
        <v>0.75</v>
      </c>
      <c r="I9" s="36">
        <v>7.8</v>
      </c>
      <c r="J9" s="36">
        <v>95.8</v>
      </c>
      <c r="K9" s="36">
        <v>114.0</v>
      </c>
      <c r="L9" s="36">
        <v>41.1</v>
      </c>
      <c r="M9" s="36">
        <v>103.0</v>
      </c>
      <c r="N9" s="36">
        <v>40.0</v>
      </c>
      <c r="O9" s="36">
        <v>10.0</v>
      </c>
      <c r="P9" s="36">
        <v>10.0</v>
      </c>
      <c r="Q9" s="36">
        <v>0.31</v>
      </c>
      <c r="R9" s="36">
        <v>1.81</v>
      </c>
      <c r="S9" s="36">
        <v>3.95</v>
      </c>
      <c r="T9" s="36">
        <v>5.76</v>
      </c>
      <c r="U9" s="49">
        <f t="shared" si="1"/>
        <v>5760</v>
      </c>
      <c r="V9" s="21">
        <f t="shared" si="2"/>
        <v>100</v>
      </c>
      <c r="W9" s="8"/>
    </row>
    <row r="10" ht="14.25" customHeight="1">
      <c r="A10" s="38">
        <v>0.10555555555555556</v>
      </c>
      <c r="B10" s="36">
        <v>11.0</v>
      </c>
      <c r="C10" s="36">
        <v>4.9</v>
      </c>
      <c r="D10" s="36">
        <v>329.0</v>
      </c>
      <c r="E10" s="36">
        <v>285.0</v>
      </c>
      <c r="F10" s="36">
        <v>0.87</v>
      </c>
      <c r="G10" s="36">
        <v>10.0</v>
      </c>
      <c r="H10" s="36">
        <v>0.82</v>
      </c>
      <c r="I10" s="36">
        <v>8.6</v>
      </c>
      <c r="J10" s="36">
        <v>95.4</v>
      </c>
      <c r="K10" s="36">
        <v>115.0</v>
      </c>
      <c r="L10" s="36">
        <v>40.7</v>
      </c>
      <c r="M10" s="36">
        <v>101.0</v>
      </c>
      <c r="N10" s="36">
        <v>41.0</v>
      </c>
      <c r="O10" s="36">
        <v>10.0</v>
      </c>
      <c r="P10" s="36">
        <v>12.0</v>
      </c>
      <c r="Q10" s="36">
        <v>0.3</v>
      </c>
      <c r="R10" s="36">
        <v>1.72</v>
      </c>
      <c r="S10" s="36">
        <v>4.05</v>
      </c>
      <c r="T10" s="36">
        <v>5.77</v>
      </c>
      <c r="U10" s="49">
        <f t="shared" si="1"/>
        <v>5770</v>
      </c>
      <c r="V10" s="21">
        <f t="shared" si="2"/>
        <v>400</v>
      </c>
    </row>
    <row r="11" ht="14.25" customHeight="1">
      <c r="A11" s="38">
        <v>0.10902777777777778</v>
      </c>
      <c r="B11" s="36">
        <v>14.0</v>
      </c>
      <c r="C11" s="36">
        <v>5.0</v>
      </c>
      <c r="D11" s="36">
        <v>334.0</v>
      </c>
      <c r="E11" s="36">
        <v>279.0</v>
      </c>
      <c r="F11" s="36">
        <v>0.83</v>
      </c>
      <c r="G11" s="36">
        <v>10.0</v>
      </c>
      <c r="H11" s="36">
        <v>0.8</v>
      </c>
      <c r="I11" s="36">
        <v>8.3</v>
      </c>
      <c r="J11" s="36">
        <v>95.5</v>
      </c>
      <c r="K11" s="36">
        <v>116.0</v>
      </c>
      <c r="L11" s="36">
        <v>40.1</v>
      </c>
      <c r="M11" s="36">
        <v>99.0</v>
      </c>
      <c r="N11" s="36">
        <v>41.0</v>
      </c>
      <c r="O11" s="36">
        <v>10.0</v>
      </c>
      <c r="P11" s="36">
        <v>12.0</v>
      </c>
      <c r="Q11" s="36">
        <v>0.32</v>
      </c>
      <c r="R11" s="36">
        <v>1.83</v>
      </c>
      <c r="S11" s="36">
        <v>3.97</v>
      </c>
      <c r="T11" s="36">
        <v>5.79</v>
      </c>
      <c r="U11" s="49">
        <f t="shared" si="1"/>
        <v>5790</v>
      </c>
      <c r="V11" s="21">
        <f t="shared" si="2"/>
        <v>84100</v>
      </c>
    </row>
    <row r="12" ht="14.25" customHeight="1">
      <c r="A12" s="38">
        <v>0.1125</v>
      </c>
      <c r="B12" s="36">
        <v>15.0</v>
      </c>
      <c r="C12" s="36">
        <v>5.5</v>
      </c>
      <c r="D12" s="36">
        <v>368.0</v>
      </c>
      <c r="E12" s="36">
        <v>301.0</v>
      </c>
      <c r="F12" s="36">
        <v>0.82</v>
      </c>
      <c r="G12" s="36">
        <v>11.0</v>
      </c>
      <c r="H12" s="36">
        <v>0.83</v>
      </c>
      <c r="I12" s="36">
        <v>9.0</v>
      </c>
      <c r="J12" s="36">
        <v>95.2</v>
      </c>
      <c r="K12" s="36">
        <v>117.0</v>
      </c>
      <c r="L12" s="36">
        <v>39.7</v>
      </c>
      <c r="M12" s="36">
        <v>97.0</v>
      </c>
      <c r="N12" s="36">
        <v>42.0</v>
      </c>
      <c r="O12" s="36">
        <v>11.0</v>
      </c>
      <c r="P12" s="36">
        <v>13.0</v>
      </c>
      <c r="Q12" s="36">
        <v>0.29</v>
      </c>
      <c r="R12" s="36">
        <v>1.61</v>
      </c>
      <c r="S12" s="36">
        <v>3.89</v>
      </c>
      <c r="T12" s="36">
        <v>5.5</v>
      </c>
      <c r="U12" s="49">
        <f t="shared" si="1"/>
        <v>5500</v>
      </c>
      <c r="V12" s="21">
        <f t="shared" si="2"/>
        <v>211600</v>
      </c>
    </row>
    <row r="13" ht="14.25" customHeight="1">
      <c r="A13" s="38">
        <v>0.11458333333333333</v>
      </c>
      <c r="B13" s="36">
        <v>17.0</v>
      </c>
      <c r="C13" s="36">
        <v>6.3</v>
      </c>
      <c r="D13" s="36">
        <v>420.0</v>
      </c>
      <c r="E13" s="36">
        <v>337.0</v>
      </c>
      <c r="F13" s="36">
        <v>0.8</v>
      </c>
      <c r="G13" s="36">
        <v>12.0</v>
      </c>
      <c r="H13" s="36">
        <v>0.84</v>
      </c>
      <c r="I13" s="36">
        <v>10.0</v>
      </c>
      <c r="J13" s="36">
        <v>94.7</v>
      </c>
      <c r="K13" s="36">
        <v>119.0</v>
      </c>
      <c r="L13" s="36">
        <v>38.6</v>
      </c>
      <c r="M13" s="36">
        <v>97.0</v>
      </c>
      <c r="N13" s="36">
        <v>42.0</v>
      </c>
      <c r="O13" s="36">
        <v>12.0</v>
      </c>
      <c r="P13" s="36">
        <v>15.0</v>
      </c>
      <c r="Q13" s="36">
        <v>0.29</v>
      </c>
      <c r="R13" s="36">
        <v>1.45</v>
      </c>
      <c r="S13" s="36">
        <v>3.59</v>
      </c>
      <c r="T13" s="36">
        <v>5.04</v>
      </c>
      <c r="U13" s="49">
        <f t="shared" si="1"/>
        <v>5040</v>
      </c>
      <c r="V13" s="21">
        <f t="shared" si="2"/>
        <v>48400</v>
      </c>
    </row>
    <row r="14" ht="14.25" customHeight="1">
      <c r="A14" s="38">
        <v>0.11736111111111111</v>
      </c>
      <c r="B14" s="36">
        <v>19.0</v>
      </c>
      <c r="C14" s="36">
        <v>6.2</v>
      </c>
      <c r="D14" s="36">
        <v>413.0</v>
      </c>
      <c r="E14" s="36">
        <v>328.0</v>
      </c>
      <c r="F14" s="36">
        <v>0.79</v>
      </c>
      <c r="G14" s="36">
        <v>12.0</v>
      </c>
      <c r="H14" s="36">
        <v>0.79</v>
      </c>
      <c r="I14" s="36">
        <v>9.8</v>
      </c>
      <c r="J14" s="36">
        <v>94.7</v>
      </c>
      <c r="K14" s="36">
        <v>121.0</v>
      </c>
      <c r="L14" s="36">
        <v>37.9</v>
      </c>
      <c r="M14" s="36">
        <v>96.0</v>
      </c>
      <c r="N14" s="36">
        <v>42.0</v>
      </c>
      <c r="O14" s="36">
        <v>12.0</v>
      </c>
      <c r="P14" s="36">
        <v>15.0</v>
      </c>
      <c r="Q14" s="36">
        <v>0.28</v>
      </c>
      <c r="R14" s="36">
        <v>1.37</v>
      </c>
      <c r="S14" s="36">
        <v>3.44</v>
      </c>
      <c r="T14" s="36">
        <v>4.82</v>
      </c>
      <c r="U14" s="49">
        <f t="shared" si="1"/>
        <v>4820</v>
      </c>
      <c r="V14" s="21">
        <f t="shared" si="2"/>
        <v>57600</v>
      </c>
    </row>
    <row r="15" ht="14.25" customHeight="1">
      <c r="A15" s="38">
        <v>0.12152777777777778</v>
      </c>
      <c r="B15" s="36">
        <v>22.0</v>
      </c>
      <c r="C15" s="36">
        <v>6.3</v>
      </c>
      <c r="D15" s="36">
        <v>425.0</v>
      </c>
      <c r="E15" s="36">
        <v>335.0</v>
      </c>
      <c r="F15" s="36">
        <v>0.79</v>
      </c>
      <c r="G15" s="36">
        <v>12.0</v>
      </c>
      <c r="H15" s="36">
        <v>0.83</v>
      </c>
      <c r="I15" s="36">
        <v>9.9</v>
      </c>
      <c r="J15" s="36">
        <v>94.7</v>
      </c>
      <c r="K15" s="36">
        <v>122.0</v>
      </c>
      <c r="L15" s="36">
        <v>37.0</v>
      </c>
      <c r="M15" s="36">
        <v>95.0</v>
      </c>
      <c r="N15" s="36">
        <v>42.0</v>
      </c>
      <c r="O15" s="36">
        <v>12.0</v>
      </c>
      <c r="P15" s="36">
        <v>15.0</v>
      </c>
      <c r="Q15" s="36">
        <v>0.3</v>
      </c>
      <c r="R15" s="36">
        <v>1.51</v>
      </c>
      <c r="S15" s="36">
        <v>3.54</v>
      </c>
      <c r="T15" s="36">
        <v>5.06</v>
      </c>
      <c r="U15" s="49">
        <f t="shared" si="1"/>
        <v>5060</v>
      </c>
      <c r="V15" s="21">
        <f t="shared" si="2"/>
        <v>220900</v>
      </c>
    </row>
    <row r="16" ht="14.25" customHeight="1">
      <c r="A16" s="38">
        <v>0.125</v>
      </c>
      <c r="B16" s="36">
        <v>25.0</v>
      </c>
      <c r="C16" s="36">
        <v>6.1</v>
      </c>
      <c r="D16" s="36">
        <v>406.0</v>
      </c>
      <c r="E16" s="36">
        <v>318.0</v>
      </c>
      <c r="F16" s="36">
        <v>0.78</v>
      </c>
      <c r="G16" s="36">
        <v>11.0</v>
      </c>
      <c r="H16" s="36">
        <v>0.84</v>
      </c>
      <c r="I16" s="36">
        <v>9.1</v>
      </c>
      <c r="J16" s="36">
        <v>95.1</v>
      </c>
      <c r="K16" s="36">
        <v>123.0</v>
      </c>
      <c r="L16" s="36">
        <v>36.8</v>
      </c>
      <c r="M16" s="36">
        <v>95.0</v>
      </c>
      <c r="N16" s="36">
        <v>42.0</v>
      </c>
      <c r="O16" s="36">
        <v>11.0</v>
      </c>
      <c r="P16" s="36">
        <v>15.0</v>
      </c>
      <c r="Q16" s="36">
        <v>0.36</v>
      </c>
      <c r="R16" s="36">
        <v>2.0</v>
      </c>
      <c r="S16" s="36">
        <v>3.54</v>
      </c>
      <c r="T16" s="36">
        <v>5.53</v>
      </c>
      <c r="U16" s="49">
        <f t="shared" si="1"/>
        <v>5530</v>
      </c>
      <c r="V16" s="21">
        <f t="shared" si="2"/>
        <v>348100</v>
      </c>
    </row>
    <row r="17" ht="14.25" customHeight="1">
      <c r="A17" s="38">
        <v>0.13333333333333333</v>
      </c>
      <c r="B17" s="36">
        <v>31.0</v>
      </c>
      <c r="C17" s="36">
        <v>6.1</v>
      </c>
      <c r="D17" s="36">
        <v>411.0</v>
      </c>
      <c r="E17" s="36">
        <v>319.0</v>
      </c>
      <c r="F17" s="36">
        <v>0.78</v>
      </c>
      <c r="G17" s="36">
        <v>12.0</v>
      </c>
      <c r="H17" s="36">
        <v>0.75</v>
      </c>
      <c r="I17" s="36">
        <v>9.2</v>
      </c>
      <c r="J17" s="36">
        <v>95.1</v>
      </c>
      <c r="K17" s="36">
        <v>123.0</v>
      </c>
      <c r="L17" s="36">
        <v>36.4</v>
      </c>
      <c r="M17" s="36">
        <v>95.0</v>
      </c>
      <c r="N17" s="36">
        <v>42.0</v>
      </c>
      <c r="O17" s="36">
        <v>12.0</v>
      </c>
      <c r="P17" s="36">
        <v>15.0</v>
      </c>
      <c r="Q17" s="36">
        <v>0.39</v>
      </c>
      <c r="R17" s="36">
        <v>1.9</v>
      </c>
      <c r="S17" s="36">
        <v>3.03</v>
      </c>
      <c r="T17" s="36">
        <v>4.94</v>
      </c>
      <c r="U17" s="49">
        <f t="shared" si="1"/>
        <v>4940</v>
      </c>
      <c r="V17" s="21">
        <f t="shared" si="2"/>
        <v>193600</v>
      </c>
    </row>
    <row r="18" ht="14.25" customHeight="1">
      <c r="A18" s="38">
        <v>0.13541666666666666</v>
      </c>
      <c r="B18" s="36">
        <v>32.0</v>
      </c>
      <c r="C18" s="36">
        <v>5.9</v>
      </c>
      <c r="D18" s="36">
        <v>394.0</v>
      </c>
      <c r="E18" s="36">
        <v>303.0</v>
      </c>
      <c r="F18" s="36">
        <v>0.77</v>
      </c>
      <c r="G18" s="36">
        <v>13.0</v>
      </c>
      <c r="H18" s="36">
        <v>0.66</v>
      </c>
      <c r="I18" s="36">
        <v>8.8</v>
      </c>
      <c r="J18" s="36">
        <v>95.3</v>
      </c>
      <c r="K18" s="36">
        <v>123.0</v>
      </c>
      <c r="L18" s="36">
        <v>36.4</v>
      </c>
      <c r="M18" s="36">
        <v>94.0</v>
      </c>
      <c r="N18" s="36">
        <v>42.0</v>
      </c>
      <c r="O18" s="36">
        <v>13.0</v>
      </c>
      <c r="P18" s="36">
        <v>14.0</v>
      </c>
      <c r="Q18" s="36">
        <v>0.35</v>
      </c>
      <c r="R18" s="36">
        <v>1.58</v>
      </c>
      <c r="S18" s="36">
        <v>2.92</v>
      </c>
      <c r="T18" s="36">
        <v>4.5</v>
      </c>
      <c r="U18" s="49">
        <f t="shared" si="1"/>
        <v>4500</v>
      </c>
      <c r="V18" s="21">
        <f t="shared" si="2"/>
        <v>384400</v>
      </c>
    </row>
    <row r="19" ht="14.25" customHeight="1">
      <c r="A19" s="38">
        <v>0.14097222222222222</v>
      </c>
      <c r="B19" s="36">
        <v>36.0</v>
      </c>
      <c r="C19" s="36">
        <v>5.7</v>
      </c>
      <c r="D19" s="36">
        <v>382.0</v>
      </c>
      <c r="E19" s="36">
        <v>290.0</v>
      </c>
      <c r="F19" s="36">
        <v>0.76</v>
      </c>
      <c r="G19" s="36">
        <v>12.0</v>
      </c>
      <c r="H19" s="36">
        <v>0.7</v>
      </c>
      <c r="I19" s="36">
        <v>8.3</v>
      </c>
      <c r="J19" s="36">
        <v>95.6</v>
      </c>
      <c r="K19" s="36">
        <v>122.0</v>
      </c>
      <c r="L19" s="36">
        <v>36.9</v>
      </c>
      <c r="M19" s="36">
        <v>93.0</v>
      </c>
      <c r="N19" s="36">
        <v>43.0</v>
      </c>
      <c r="O19" s="36">
        <v>12.0</v>
      </c>
      <c r="P19" s="36">
        <v>14.0</v>
      </c>
      <c r="Q19" s="36">
        <v>0.35</v>
      </c>
      <c r="R19" s="36">
        <v>1.8</v>
      </c>
      <c r="S19" s="36">
        <v>3.31</v>
      </c>
      <c r="T19" s="36">
        <v>5.12</v>
      </c>
      <c r="U19" s="49">
        <f t="shared" si="1"/>
        <v>5120</v>
      </c>
      <c r="V19" s="21">
        <f t="shared" si="2"/>
        <v>8100</v>
      </c>
    </row>
    <row r="20" ht="14.25" customHeight="1">
      <c r="A20" s="38">
        <v>0.14375</v>
      </c>
      <c r="B20" s="36">
        <v>38.0</v>
      </c>
      <c r="C20" s="36">
        <v>5.0</v>
      </c>
      <c r="D20" s="36">
        <v>335.0</v>
      </c>
      <c r="E20" s="36">
        <v>252.0</v>
      </c>
      <c r="F20" s="36">
        <v>0.75</v>
      </c>
      <c r="G20" s="36">
        <v>12.0</v>
      </c>
      <c r="H20" s="36">
        <v>0.64</v>
      </c>
      <c r="I20" s="36">
        <v>7.4</v>
      </c>
      <c r="J20" s="36">
        <v>96.1</v>
      </c>
      <c r="K20" s="36">
        <v>121.0</v>
      </c>
      <c r="L20" s="36">
        <v>37.5</v>
      </c>
      <c r="M20" s="36">
        <v>93.0</v>
      </c>
      <c r="N20" s="36">
        <v>42.0</v>
      </c>
      <c r="O20" s="36">
        <v>12.0</v>
      </c>
      <c r="P20" s="36">
        <v>12.0</v>
      </c>
      <c r="Q20" s="36">
        <v>0.35</v>
      </c>
      <c r="R20" s="36">
        <v>1.83</v>
      </c>
      <c r="S20" s="36">
        <v>3.38</v>
      </c>
      <c r="T20" s="36">
        <v>5.21</v>
      </c>
      <c r="U20" s="49">
        <f t="shared" si="1"/>
        <v>5210</v>
      </c>
      <c r="V20" s="21">
        <f t="shared" si="2"/>
        <v>2250000</v>
      </c>
    </row>
    <row r="21" ht="14.25" customHeight="1">
      <c r="A21" s="38">
        <v>0.14652777777777778</v>
      </c>
      <c r="B21" s="36">
        <v>39.0</v>
      </c>
      <c r="C21" s="36">
        <v>6.7</v>
      </c>
      <c r="D21" s="36">
        <v>449.0</v>
      </c>
      <c r="E21" s="36">
        <v>350.0</v>
      </c>
      <c r="F21" s="36">
        <v>0.78</v>
      </c>
      <c r="G21" s="36">
        <v>9.0</v>
      </c>
      <c r="H21" s="36">
        <v>1.08</v>
      </c>
      <c r="I21" s="36">
        <v>9.7</v>
      </c>
      <c r="J21" s="36">
        <v>94.8</v>
      </c>
      <c r="K21" s="36">
        <v>120.0</v>
      </c>
      <c r="L21" s="36">
        <v>38.4</v>
      </c>
      <c r="M21" s="36">
        <v>94.0</v>
      </c>
      <c r="N21" s="36">
        <v>43.0</v>
      </c>
      <c r="O21" s="36">
        <v>9.0</v>
      </c>
      <c r="P21" s="36">
        <v>16.0</v>
      </c>
      <c r="Q21" s="36">
        <v>0.35</v>
      </c>
      <c r="R21" s="36">
        <v>2.36</v>
      </c>
      <c r="S21" s="36">
        <v>4.35</v>
      </c>
      <c r="T21" s="36">
        <v>6.71</v>
      </c>
      <c r="U21" s="49">
        <f t="shared" si="1"/>
        <v>6710</v>
      </c>
      <c r="V21" s="21">
        <f t="shared" si="2"/>
        <v>1742400</v>
      </c>
    </row>
    <row r="22" ht="14.25" customHeight="1">
      <c r="A22" s="38">
        <v>0.15486111111111112</v>
      </c>
      <c r="B22" s="36">
        <v>46.0</v>
      </c>
      <c r="C22" s="36">
        <v>7.5</v>
      </c>
      <c r="D22" s="36">
        <v>506.0</v>
      </c>
      <c r="E22" s="36">
        <v>400.0</v>
      </c>
      <c r="F22" s="36">
        <v>0.79</v>
      </c>
      <c r="G22" s="36">
        <v>7.0</v>
      </c>
      <c r="H22" s="36">
        <v>1.46</v>
      </c>
      <c r="I22" s="36">
        <v>10.9</v>
      </c>
      <c r="J22" s="36">
        <v>94.1</v>
      </c>
      <c r="K22" s="36">
        <v>118.0</v>
      </c>
      <c r="L22" s="36">
        <v>39.2</v>
      </c>
      <c r="M22" s="36">
        <v>94.0</v>
      </c>
      <c r="N22" s="36">
        <v>43.0</v>
      </c>
      <c r="O22" s="36">
        <v>7.0</v>
      </c>
      <c r="P22" s="36">
        <v>18.0</v>
      </c>
      <c r="Q22" s="36">
        <v>0.34</v>
      </c>
      <c r="R22" s="36">
        <v>2.75</v>
      </c>
      <c r="S22" s="36">
        <v>5.28</v>
      </c>
      <c r="T22" s="36">
        <v>8.03</v>
      </c>
      <c r="U22" s="49">
        <f t="shared" si="1"/>
        <v>8030</v>
      </c>
      <c r="V22" s="21">
        <f t="shared" si="2"/>
        <v>12100</v>
      </c>
    </row>
    <row r="23" ht="14.25" customHeight="1">
      <c r="A23" s="38">
        <v>0.15833333333333333</v>
      </c>
      <c r="B23" s="36">
        <v>48.0</v>
      </c>
      <c r="C23" s="36">
        <v>8.0</v>
      </c>
      <c r="D23" s="36">
        <v>536.0</v>
      </c>
      <c r="E23" s="36">
        <v>427.0</v>
      </c>
      <c r="F23" s="36">
        <v>0.8</v>
      </c>
      <c r="G23" s="36">
        <v>8.0</v>
      </c>
      <c r="H23" s="36">
        <v>1.54</v>
      </c>
      <c r="I23" s="36">
        <v>11.7</v>
      </c>
      <c r="J23" s="36">
        <v>93.7</v>
      </c>
      <c r="K23" s="36">
        <v>116.0</v>
      </c>
      <c r="L23" s="36">
        <v>40.0</v>
      </c>
      <c r="M23" s="36">
        <v>95.0</v>
      </c>
      <c r="N23" s="36">
        <v>42.0</v>
      </c>
      <c r="O23" s="36">
        <v>8.0</v>
      </c>
      <c r="P23" s="36">
        <v>20.0</v>
      </c>
      <c r="Q23" s="36">
        <v>0.33</v>
      </c>
      <c r="R23" s="36">
        <v>2.62</v>
      </c>
      <c r="S23" s="36">
        <v>5.3</v>
      </c>
      <c r="T23" s="36">
        <v>7.92</v>
      </c>
      <c r="U23" s="49">
        <f t="shared" si="1"/>
        <v>7920</v>
      </c>
      <c r="V23" s="21">
        <f t="shared" si="2"/>
        <v>462400</v>
      </c>
    </row>
    <row r="24" ht="14.25" customHeight="1">
      <c r="A24" s="38">
        <v>0.1638888888888889</v>
      </c>
      <c r="B24" s="36">
        <v>53.0</v>
      </c>
      <c r="C24" s="36">
        <v>7.7</v>
      </c>
      <c r="D24" s="36">
        <v>517.0</v>
      </c>
      <c r="E24" s="36">
        <v>413.0</v>
      </c>
      <c r="F24" s="36">
        <v>0.8</v>
      </c>
      <c r="G24" s="36">
        <v>8.0</v>
      </c>
      <c r="H24" s="36">
        <v>1.36</v>
      </c>
      <c r="I24" s="36">
        <v>11.3</v>
      </c>
      <c r="J24" s="36">
        <v>94.0</v>
      </c>
      <c r="K24" s="36">
        <v>116.0</v>
      </c>
      <c r="L24" s="36">
        <v>40.3</v>
      </c>
      <c r="M24" s="36">
        <v>95.0</v>
      </c>
      <c r="N24" s="36">
        <v>43.0</v>
      </c>
      <c r="O24" s="36">
        <v>8.0</v>
      </c>
      <c r="P24" s="36">
        <v>19.0</v>
      </c>
      <c r="Q24" s="36">
        <v>0.31</v>
      </c>
      <c r="R24" s="36">
        <v>2.24</v>
      </c>
      <c r="S24" s="36">
        <v>5.0</v>
      </c>
      <c r="T24" s="36">
        <v>7.24</v>
      </c>
      <c r="U24" s="49">
        <f t="shared" si="1"/>
        <v>7240</v>
      </c>
      <c r="V24" s="21">
        <f t="shared" si="2"/>
        <v>902500</v>
      </c>
    </row>
    <row r="25" ht="14.25" customHeight="1">
      <c r="A25" s="38">
        <v>0.16944444444444445</v>
      </c>
      <c r="B25" s="36">
        <v>56.0</v>
      </c>
      <c r="C25" s="36">
        <v>7.6</v>
      </c>
      <c r="D25" s="36">
        <v>510.0</v>
      </c>
      <c r="E25" s="36">
        <v>406.0</v>
      </c>
      <c r="F25" s="36">
        <v>0.8</v>
      </c>
      <c r="G25" s="36">
        <v>7.0</v>
      </c>
      <c r="H25" s="36">
        <v>1.51</v>
      </c>
      <c r="I25" s="36">
        <v>11.0</v>
      </c>
      <c r="J25" s="36">
        <v>94.1</v>
      </c>
      <c r="K25" s="36">
        <v>116.0</v>
      </c>
      <c r="L25" s="36">
        <v>40.3</v>
      </c>
      <c r="M25" s="36">
        <v>94.0</v>
      </c>
      <c r="N25" s="36">
        <v>43.0</v>
      </c>
      <c r="O25" s="36">
        <v>7.0</v>
      </c>
      <c r="P25" s="36">
        <v>19.0</v>
      </c>
      <c r="Q25" s="36">
        <v>0.29</v>
      </c>
      <c r="R25" s="36">
        <v>2.34</v>
      </c>
      <c r="S25" s="36">
        <v>5.86</v>
      </c>
      <c r="T25" s="36">
        <v>8.19</v>
      </c>
      <c r="U25" s="49">
        <f t="shared" si="1"/>
        <v>8190</v>
      </c>
      <c r="V25" s="21">
        <f t="shared" si="2"/>
        <v>152100</v>
      </c>
    </row>
    <row r="26" ht="14.25" customHeight="1">
      <c r="A26" s="38">
        <v>0.1736111111111111</v>
      </c>
      <c r="B26" s="36">
        <v>59.0</v>
      </c>
      <c r="C26" s="36">
        <v>8.0</v>
      </c>
      <c r="D26" s="36">
        <v>536.0</v>
      </c>
      <c r="E26" s="36">
        <v>425.0</v>
      </c>
      <c r="F26" s="36">
        <v>0.79</v>
      </c>
      <c r="G26" s="36">
        <v>8.0</v>
      </c>
      <c r="H26" s="36">
        <v>1.5</v>
      </c>
      <c r="I26" s="36">
        <v>11.5</v>
      </c>
      <c r="J26" s="36">
        <v>93.8</v>
      </c>
      <c r="K26" s="36">
        <v>114.0</v>
      </c>
      <c r="L26" s="36">
        <v>41.1</v>
      </c>
      <c r="M26" s="36">
        <v>94.0</v>
      </c>
      <c r="N26" s="36">
        <v>43.0</v>
      </c>
      <c r="O26" s="36">
        <v>8.0</v>
      </c>
      <c r="P26" s="36">
        <v>19.0</v>
      </c>
      <c r="Q26" s="36">
        <v>0.28</v>
      </c>
      <c r="R26" s="36">
        <v>2.21</v>
      </c>
      <c r="S26" s="36">
        <v>5.59</v>
      </c>
      <c r="T26" s="36">
        <v>7.8</v>
      </c>
      <c r="U26" s="49">
        <f t="shared" si="1"/>
        <v>7800</v>
      </c>
      <c r="V26" s="21">
        <f t="shared" si="2"/>
        <v>360000</v>
      </c>
    </row>
    <row r="27" ht="14.25" customHeight="1">
      <c r="A27" s="38">
        <v>0.17708333333333334</v>
      </c>
      <c r="B27" s="36">
        <v>62.0</v>
      </c>
      <c r="C27" s="36">
        <v>8.2</v>
      </c>
      <c r="D27" s="36">
        <v>553.0</v>
      </c>
      <c r="E27" s="36">
        <v>437.0</v>
      </c>
      <c r="F27" s="36">
        <v>0.79</v>
      </c>
      <c r="G27" s="36">
        <v>8.0</v>
      </c>
      <c r="H27" s="36">
        <v>1.42</v>
      </c>
      <c r="I27" s="36">
        <v>11.8</v>
      </c>
      <c r="J27" s="36">
        <v>93.7</v>
      </c>
      <c r="K27" s="36">
        <v>116.0</v>
      </c>
      <c r="L27" s="36">
        <v>40.2</v>
      </c>
      <c r="M27" s="36">
        <v>94.0</v>
      </c>
      <c r="N27" s="36">
        <v>43.0</v>
      </c>
      <c r="O27" s="36">
        <v>8.0</v>
      </c>
      <c r="P27" s="36">
        <v>20.0</v>
      </c>
      <c r="Q27" s="36">
        <v>0.33</v>
      </c>
      <c r="R27" s="36">
        <v>2.34</v>
      </c>
      <c r="S27" s="36">
        <v>4.85</v>
      </c>
      <c r="T27" s="36">
        <v>7.2</v>
      </c>
      <c r="U27" s="49">
        <f t="shared" si="1"/>
        <v>7200</v>
      </c>
      <c r="V27" s="21">
        <f t="shared" si="2"/>
        <v>1600</v>
      </c>
    </row>
    <row r="28" ht="14.25" customHeight="1">
      <c r="A28" s="38">
        <v>0.18125</v>
      </c>
      <c r="B28" s="36">
        <v>65.0</v>
      </c>
      <c r="C28" s="36">
        <v>7.6</v>
      </c>
      <c r="D28" s="36">
        <v>506.0</v>
      </c>
      <c r="E28" s="36">
        <v>394.0</v>
      </c>
      <c r="F28" s="36">
        <v>0.78</v>
      </c>
      <c r="G28" s="36">
        <v>8.0</v>
      </c>
      <c r="H28" s="36">
        <v>1.3</v>
      </c>
      <c r="I28" s="36">
        <v>10.8</v>
      </c>
      <c r="J28" s="36">
        <v>94.2</v>
      </c>
      <c r="K28" s="36">
        <v>116.0</v>
      </c>
      <c r="L28" s="36">
        <v>40.3</v>
      </c>
      <c r="M28" s="36">
        <v>93.0</v>
      </c>
      <c r="N28" s="36">
        <v>43.0</v>
      </c>
      <c r="O28" s="36">
        <v>8.0</v>
      </c>
      <c r="P28" s="36">
        <v>18.0</v>
      </c>
      <c r="Q28" s="36">
        <v>0.31</v>
      </c>
      <c r="R28" s="36">
        <v>2.22</v>
      </c>
      <c r="S28" s="36">
        <v>5.02</v>
      </c>
      <c r="T28" s="36">
        <v>7.24</v>
      </c>
      <c r="U28" s="49">
        <f t="shared" si="1"/>
        <v>7240</v>
      </c>
      <c r="V28" s="21">
        <f t="shared" si="2"/>
        <v>562500</v>
      </c>
    </row>
    <row r="29" ht="14.25" customHeight="1">
      <c r="A29" s="38">
        <v>0.18958333333333333</v>
      </c>
      <c r="B29" s="36">
        <v>70.0</v>
      </c>
      <c r="C29" s="36">
        <v>7.4</v>
      </c>
      <c r="D29" s="36">
        <v>496.0</v>
      </c>
      <c r="E29" s="36">
        <v>386.0</v>
      </c>
      <c r="F29" s="36">
        <v>0.78</v>
      </c>
      <c r="G29" s="36">
        <v>9.0</v>
      </c>
      <c r="H29" s="36">
        <v>1.14</v>
      </c>
      <c r="I29" s="36">
        <v>10.6</v>
      </c>
      <c r="J29" s="36">
        <v>94.3</v>
      </c>
      <c r="K29" s="36">
        <v>117.0</v>
      </c>
      <c r="L29" s="36">
        <v>39.7</v>
      </c>
      <c r="M29" s="36">
        <v>93.0</v>
      </c>
      <c r="N29" s="36">
        <v>43.0</v>
      </c>
      <c r="O29" s="36">
        <v>9.0</v>
      </c>
      <c r="P29" s="36">
        <v>18.0</v>
      </c>
      <c r="Q29" s="36">
        <v>0.28</v>
      </c>
      <c r="R29" s="36">
        <v>1.83</v>
      </c>
      <c r="S29" s="36">
        <v>4.66</v>
      </c>
      <c r="T29" s="36">
        <v>6.49</v>
      </c>
      <c r="U29" s="49">
        <f t="shared" si="1"/>
        <v>6490</v>
      </c>
      <c r="V29" s="21">
        <f t="shared" si="2"/>
        <v>3600</v>
      </c>
    </row>
    <row r="30" ht="14.25" customHeight="1">
      <c r="A30" s="38">
        <v>0.19236111111111112</v>
      </c>
      <c r="B30" s="36">
        <v>73.0</v>
      </c>
      <c r="C30" s="36">
        <v>7.2</v>
      </c>
      <c r="D30" s="36">
        <v>485.0</v>
      </c>
      <c r="E30" s="36">
        <v>372.0</v>
      </c>
      <c r="F30" s="36">
        <v>0.77</v>
      </c>
      <c r="G30" s="36">
        <v>9.0</v>
      </c>
      <c r="H30" s="36">
        <v>1.07</v>
      </c>
      <c r="I30" s="36">
        <v>10.0</v>
      </c>
      <c r="J30" s="36">
        <v>94.6</v>
      </c>
      <c r="K30" s="36">
        <v>118.0</v>
      </c>
      <c r="L30" s="36">
        <v>39.1</v>
      </c>
      <c r="M30" s="36">
        <v>91.0</v>
      </c>
      <c r="N30" s="36">
        <v>44.0</v>
      </c>
      <c r="O30" s="36">
        <v>9.0</v>
      </c>
      <c r="P30" s="36">
        <v>18.0</v>
      </c>
      <c r="Q30" s="36">
        <v>0.27</v>
      </c>
      <c r="R30" s="36">
        <v>1.72</v>
      </c>
      <c r="S30" s="36">
        <v>4.71</v>
      </c>
      <c r="T30" s="36">
        <v>6.43</v>
      </c>
      <c r="U30" s="49">
        <f t="shared" si="1"/>
        <v>6430</v>
      </c>
      <c r="V30" s="21">
        <f t="shared" si="2"/>
        <v>396900</v>
      </c>
    </row>
    <row r="31" ht="14.25" customHeight="1">
      <c r="A31" s="38">
        <v>0.19583333333333333</v>
      </c>
      <c r="B31" s="36">
        <v>75.0</v>
      </c>
      <c r="C31" s="36">
        <v>7.2</v>
      </c>
      <c r="D31" s="36">
        <v>480.0</v>
      </c>
      <c r="E31" s="36">
        <v>352.0</v>
      </c>
      <c r="F31" s="36">
        <v>0.73</v>
      </c>
      <c r="G31" s="36">
        <v>10.0</v>
      </c>
      <c r="H31" s="36">
        <v>0.91</v>
      </c>
      <c r="I31" s="36">
        <v>9.4</v>
      </c>
      <c r="J31" s="36">
        <v>95.0</v>
      </c>
      <c r="K31" s="36">
        <v>119.0</v>
      </c>
      <c r="L31" s="36">
        <v>38.7</v>
      </c>
      <c r="M31" s="36">
        <v>89.0</v>
      </c>
      <c r="N31" s="36">
        <v>45.0</v>
      </c>
      <c r="O31" s="36">
        <v>10.0</v>
      </c>
      <c r="P31" s="36">
        <v>17.0</v>
      </c>
      <c r="Q31" s="36">
        <v>0.3</v>
      </c>
      <c r="R31" s="36">
        <v>1.73</v>
      </c>
      <c r="S31" s="36">
        <v>4.07</v>
      </c>
      <c r="T31" s="36">
        <v>5.8</v>
      </c>
      <c r="U31" s="49">
        <f t="shared" si="1"/>
        <v>5800</v>
      </c>
      <c r="V31" s="21">
        <f t="shared" si="2"/>
        <v>220900</v>
      </c>
    </row>
    <row r="32" ht="14.25" customHeight="1">
      <c r="A32" s="38">
        <v>0.2</v>
      </c>
      <c r="B32" s="36">
        <v>78.0</v>
      </c>
      <c r="C32" s="36">
        <v>7.9</v>
      </c>
      <c r="D32" s="36">
        <v>527.0</v>
      </c>
      <c r="E32" s="36">
        <v>382.0</v>
      </c>
      <c r="F32" s="36">
        <v>0.72</v>
      </c>
      <c r="G32" s="36">
        <v>11.0</v>
      </c>
      <c r="H32" s="36">
        <v>0.89</v>
      </c>
      <c r="I32" s="36">
        <v>10.0</v>
      </c>
      <c r="J32" s="36">
        <v>94.6</v>
      </c>
      <c r="K32" s="36">
        <v>118.0</v>
      </c>
      <c r="L32" s="36">
        <v>39.1</v>
      </c>
      <c r="M32" s="36">
        <v>89.0</v>
      </c>
      <c r="N32" s="36">
        <v>44.0</v>
      </c>
      <c r="O32" s="36">
        <v>11.0</v>
      </c>
      <c r="P32" s="36">
        <v>19.0</v>
      </c>
      <c r="Q32" s="36">
        <v>0.36</v>
      </c>
      <c r="R32" s="36">
        <v>1.94</v>
      </c>
      <c r="S32" s="36">
        <v>3.39</v>
      </c>
      <c r="T32" s="36">
        <v>5.33</v>
      </c>
      <c r="U32" s="49">
        <f t="shared" si="1"/>
        <v>5330</v>
      </c>
      <c r="V32" s="21">
        <f t="shared" si="2"/>
        <v>10000</v>
      </c>
    </row>
    <row r="33" ht="14.25" customHeight="1">
      <c r="A33" s="38">
        <v>0.20416666666666666</v>
      </c>
      <c r="B33" s="36">
        <v>82.0</v>
      </c>
      <c r="C33" s="36">
        <v>7.4</v>
      </c>
      <c r="D33" s="36">
        <v>496.0</v>
      </c>
      <c r="E33" s="36">
        <v>357.0</v>
      </c>
      <c r="F33" s="36">
        <v>0.72</v>
      </c>
      <c r="G33" s="36">
        <v>11.0</v>
      </c>
      <c r="H33" s="36">
        <v>0.85</v>
      </c>
      <c r="I33" s="36">
        <v>9.4</v>
      </c>
      <c r="J33" s="36">
        <v>95.0</v>
      </c>
      <c r="K33" s="36">
        <v>119.0</v>
      </c>
      <c r="L33" s="36">
        <v>38.5</v>
      </c>
      <c r="M33" s="36">
        <v>88.0</v>
      </c>
      <c r="N33" s="36">
        <v>45.0</v>
      </c>
      <c r="O33" s="36">
        <v>11.0</v>
      </c>
      <c r="P33" s="36">
        <v>18.0</v>
      </c>
      <c r="Q33" s="36">
        <v>0.37</v>
      </c>
      <c r="R33" s="36">
        <v>2.0</v>
      </c>
      <c r="S33" s="36">
        <v>3.44</v>
      </c>
      <c r="T33" s="36">
        <v>5.43</v>
      </c>
      <c r="U33" s="49">
        <f t="shared" si="1"/>
        <v>5430</v>
      </c>
      <c r="V33" s="21">
        <f t="shared" si="2"/>
        <v>19600</v>
      </c>
    </row>
    <row r="34" ht="14.25" customHeight="1">
      <c r="A34" s="38">
        <v>0.20833333333333334</v>
      </c>
      <c r="B34" s="36">
        <v>85.0</v>
      </c>
      <c r="C34" s="36">
        <v>8.1</v>
      </c>
      <c r="D34" s="36">
        <v>545.0</v>
      </c>
      <c r="E34" s="36">
        <v>385.0</v>
      </c>
      <c r="F34" s="36">
        <v>0.71</v>
      </c>
      <c r="G34" s="36">
        <v>11.0</v>
      </c>
      <c r="H34" s="36">
        <v>0.91</v>
      </c>
      <c r="I34" s="36">
        <v>9.8</v>
      </c>
      <c r="J34" s="36">
        <v>94.8</v>
      </c>
      <c r="K34" s="36">
        <v>118.0</v>
      </c>
      <c r="L34" s="36">
        <v>39.1</v>
      </c>
      <c r="M34" s="36">
        <v>87.0</v>
      </c>
      <c r="N34" s="36">
        <v>45.0</v>
      </c>
      <c r="O34" s="36">
        <v>11.0</v>
      </c>
      <c r="P34" s="36">
        <v>20.0</v>
      </c>
      <c r="Q34" s="36">
        <v>0.38</v>
      </c>
      <c r="R34" s="36">
        <v>2.1</v>
      </c>
      <c r="S34" s="36">
        <v>3.48</v>
      </c>
      <c r="T34" s="36">
        <v>5.57</v>
      </c>
      <c r="U34" s="49">
        <f t="shared" si="1"/>
        <v>5570</v>
      </c>
      <c r="V34" s="21">
        <f t="shared" si="2"/>
        <v>1254400</v>
      </c>
    </row>
    <row r="35" ht="14.25" customHeight="1">
      <c r="A35" s="38">
        <v>0.21180555555555555</v>
      </c>
      <c r="B35" s="36">
        <v>87.0</v>
      </c>
      <c r="C35" s="36">
        <v>10.1</v>
      </c>
      <c r="D35" s="36">
        <v>676.0</v>
      </c>
      <c r="E35" s="36">
        <v>496.0</v>
      </c>
      <c r="F35" s="36">
        <v>0.73</v>
      </c>
      <c r="G35" s="36">
        <v>9.0</v>
      </c>
      <c r="H35" s="36">
        <v>1.4</v>
      </c>
      <c r="I35" s="36">
        <v>12.5</v>
      </c>
      <c r="J35" s="36">
        <v>93.3</v>
      </c>
      <c r="K35" s="36">
        <v>120.0</v>
      </c>
      <c r="L35" s="36">
        <v>38.3</v>
      </c>
      <c r="M35" s="36">
        <v>88.0</v>
      </c>
      <c r="N35" s="36">
        <v>45.0</v>
      </c>
      <c r="O35" s="36">
        <v>9.0</v>
      </c>
      <c r="P35" s="36">
        <v>25.0</v>
      </c>
      <c r="Q35" s="36">
        <v>0.37</v>
      </c>
      <c r="R35" s="36">
        <v>2.47</v>
      </c>
      <c r="S35" s="36">
        <v>4.22</v>
      </c>
      <c r="T35" s="36">
        <v>6.69</v>
      </c>
      <c r="U35" s="49">
        <f t="shared" si="1"/>
        <v>6690</v>
      </c>
      <c r="V35" s="21">
        <f t="shared" si="2"/>
        <v>2016400</v>
      </c>
    </row>
    <row r="36" ht="14.25" customHeight="1">
      <c r="A36" s="38">
        <v>0.2152777777777778</v>
      </c>
      <c r="B36" s="36">
        <v>89.0</v>
      </c>
      <c r="C36" s="36">
        <v>9.2</v>
      </c>
      <c r="D36" s="36">
        <v>619.0</v>
      </c>
      <c r="E36" s="36">
        <v>436.0</v>
      </c>
      <c r="F36" s="36">
        <v>0.7</v>
      </c>
      <c r="G36" s="36">
        <v>11.0</v>
      </c>
      <c r="H36" s="36">
        <v>0.96</v>
      </c>
      <c r="I36" s="36">
        <v>11.0</v>
      </c>
      <c r="J36" s="36">
        <v>94.1</v>
      </c>
      <c r="K36" s="36">
        <v>120.0</v>
      </c>
      <c r="L36" s="36">
        <v>38.4</v>
      </c>
      <c r="M36" s="36">
        <v>87.0</v>
      </c>
      <c r="N36" s="36">
        <v>46.0</v>
      </c>
      <c r="O36" s="36">
        <v>11.0</v>
      </c>
      <c r="P36" s="36">
        <v>23.0</v>
      </c>
      <c r="Q36" s="36">
        <v>0.39</v>
      </c>
      <c r="R36" s="36">
        <v>2.06</v>
      </c>
      <c r="S36" s="36">
        <v>3.21</v>
      </c>
      <c r="T36" s="36">
        <v>5.27</v>
      </c>
      <c r="U36" s="49">
        <f t="shared" si="1"/>
        <v>5270</v>
      </c>
      <c r="V36" s="21">
        <f t="shared" si="2"/>
        <v>14400</v>
      </c>
    </row>
    <row r="37" ht="14.25" customHeight="1">
      <c r="A37" s="38">
        <v>0.2222222222222222</v>
      </c>
      <c r="B37" s="36">
        <v>94.0</v>
      </c>
      <c r="C37" s="36">
        <v>10.5</v>
      </c>
      <c r="D37" s="36">
        <v>706.0</v>
      </c>
      <c r="E37" s="36">
        <v>492.0</v>
      </c>
      <c r="F37" s="36">
        <v>0.7</v>
      </c>
      <c r="G37" s="36">
        <v>11.0</v>
      </c>
      <c r="H37" s="36">
        <v>1.09</v>
      </c>
      <c r="I37" s="36">
        <v>12.2</v>
      </c>
      <c r="J37" s="36">
        <v>93.5</v>
      </c>
      <c r="K37" s="36">
        <v>120.0</v>
      </c>
      <c r="L37" s="36">
        <v>38.4</v>
      </c>
      <c r="M37" s="36">
        <v>86.0</v>
      </c>
      <c r="N37" s="36">
        <v>46.0</v>
      </c>
      <c r="O37" s="36">
        <v>11.0</v>
      </c>
      <c r="P37" s="36">
        <v>26.0</v>
      </c>
      <c r="Q37" s="36">
        <v>0.41</v>
      </c>
      <c r="R37" s="36">
        <v>2.19</v>
      </c>
      <c r="S37" s="36">
        <v>3.19</v>
      </c>
      <c r="T37" s="36">
        <v>5.39</v>
      </c>
      <c r="U37" s="49">
        <f t="shared" si="1"/>
        <v>5390</v>
      </c>
      <c r="V37" s="21">
        <f t="shared" si="2"/>
        <v>14400</v>
      </c>
    </row>
    <row r="38" ht="14.25" customHeight="1">
      <c r="A38" s="38">
        <v>0.225</v>
      </c>
      <c r="B38" s="36">
        <v>97.0</v>
      </c>
      <c r="C38" s="36">
        <v>9.7</v>
      </c>
      <c r="D38" s="36">
        <v>648.0</v>
      </c>
      <c r="E38" s="36">
        <v>451.0</v>
      </c>
      <c r="F38" s="36">
        <v>0.7</v>
      </c>
      <c r="G38" s="36">
        <v>11.0</v>
      </c>
      <c r="H38" s="36">
        <v>1.03</v>
      </c>
      <c r="I38" s="36">
        <v>11.2</v>
      </c>
      <c r="J38" s="36">
        <v>94.0</v>
      </c>
      <c r="K38" s="36">
        <v>121.0</v>
      </c>
      <c r="L38" s="36">
        <v>37.6</v>
      </c>
      <c r="M38" s="36">
        <v>86.0</v>
      </c>
      <c r="N38" s="36">
        <v>46.0</v>
      </c>
      <c r="O38" s="36">
        <v>11.0</v>
      </c>
      <c r="P38" s="36">
        <v>24.0</v>
      </c>
      <c r="Q38" s="36">
        <v>0.38</v>
      </c>
      <c r="R38" s="36">
        <v>2.11</v>
      </c>
      <c r="S38" s="36">
        <v>3.4</v>
      </c>
      <c r="T38" s="36">
        <v>5.51</v>
      </c>
      <c r="U38" s="49">
        <f t="shared" si="1"/>
        <v>5510</v>
      </c>
      <c r="V38" s="21">
        <f t="shared" si="2"/>
        <v>28900</v>
      </c>
    </row>
    <row r="39" ht="14.25" customHeight="1">
      <c r="A39" s="38">
        <v>0.22847222222222222</v>
      </c>
      <c r="B39" s="36">
        <v>99.0</v>
      </c>
      <c r="C39" s="36">
        <v>10.0</v>
      </c>
      <c r="D39" s="36">
        <v>667.0</v>
      </c>
      <c r="E39" s="36">
        <v>462.0</v>
      </c>
      <c r="F39" s="36">
        <v>0.69</v>
      </c>
      <c r="G39" s="36">
        <v>11.0</v>
      </c>
      <c r="H39" s="36">
        <v>1.01</v>
      </c>
      <c r="I39" s="36">
        <v>11.4</v>
      </c>
      <c r="J39" s="36">
        <v>93.9</v>
      </c>
      <c r="K39" s="36">
        <v>123.0</v>
      </c>
      <c r="L39" s="36">
        <v>36.7</v>
      </c>
      <c r="M39" s="36">
        <v>84.0</v>
      </c>
      <c r="N39" s="36">
        <v>47.0</v>
      </c>
      <c r="O39" s="36">
        <v>11.0</v>
      </c>
      <c r="P39" s="36">
        <v>24.0</v>
      </c>
      <c r="Q39" s="36">
        <v>0.37</v>
      </c>
      <c r="R39" s="36">
        <v>1.97</v>
      </c>
      <c r="S39" s="36">
        <v>3.38</v>
      </c>
      <c r="T39" s="36">
        <v>5.34</v>
      </c>
      <c r="U39" s="49">
        <f t="shared" si="1"/>
        <v>5340</v>
      </c>
      <c r="V39" s="21">
        <f t="shared" si="2"/>
        <v>1600</v>
      </c>
    </row>
    <row r="40" ht="14.25" customHeight="1">
      <c r="A40" s="38">
        <v>0.2326388888888889</v>
      </c>
      <c r="B40" s="36">
        <v>102.0</v>
      </c>
      <c r="C40" s="36">
        <v>11.1</v>
      </c>
      <c r="D40" s="36">
        <v>742.0</v>
      </c>
      <c r="E40" s="36">
        <v>512.0</v>
      </c>
      <c r="F40" s="36">
        <v>0.69</v>
      </c>
      <c r="G40" s="36">
        <v>11.0</v>
      </c>
      <c r="H40" s="36">
        <v>1.1</v>
      </c>
      <c r="I40" s="36">
        <v>12.3</v>
      </c>
      <c r="J40" s="36">
        <v>93.4</v>
      </c>
      <c r="K40" s="36">
        <v>123.0</v>
      </c>
      <c r="L40" s="36">
        <v>36.8</v>
      </c>
      <c r="M40" s="36">
        <v>83.0</v>
      </c>
      <c r="N40" s="36">
        <v>47.0</v>
      </c>
      <c r="O40" s="36">
        <v>11.0</v>
      </c>
      <c r="P40" s="36">
        <v>27.0</v>
      </c>
      <c r="Q40" s="36">
        <v>0.4</v>
      </c>
      <c r="R40" s="36">
        <v>2.13</v>
      </c>
      <c r="S40" s="36">
        <v>3.25</v>
      </c>
      <c r="T40" s="36">
        <v>5.38</v>
      </c>
      <c r="U40" s="49">
        <f t="shared" si="1"/>
        <v>5380</v>
      </c>
      <c r="V40" s="21">
        <f t="shared" si="2"/>
        <v>84100</v>
      </c>
    </row>
    <row r="41" ht="14.25" customHeight="1">
      <c r="A41" s="38">
        <v>0.2361111111111111</v>
      </c>
      <c r="B41" s="36">
        <v>104.0</v>
      </c>
      <c r="C41" s="36">
        <v>12.0</v>
      </c>
      <c r="D41" s="36">
        <v>805.0</v>
      </c>
      <c r="E41" s="36">
        <v>558.0</v>
      </c>
      <c r="F41" s="36">
        <v>0.69</v>
      </c>
      <c r="G41" s="36">
        <v>12.0</v>
      </c>
      <c r="H41" s="36">
        <v>1.14</v>
      </c>
      <c r="I41" s="36">
        <v>13.4</v>
      </c>
      <c r="J41" s="36">
        <v>92.8</v>
      </c>
      <c r="K41" s="36">
        <v>124.0</v>
      </c>
      <c r="L41" s="36">
        <v>36.1</v>
      </c>
      <c r="M41" s="36">
        <v>83.0</v>
      </c>
      <c r="N41" s="36">
        <v>47.0</v>
      </c>
      <c r="O41" s="36">
        <v>12.0</v>
      </c>
      <c r="P41" s="36">
        <v>29.0</v>
      </c>
      <c r="Q41" s="36">
        <v>0.39</v>
      </c>
      <c r="R41" s="36">
        <v>1.96</v>
      </c>
      <c r="S41" s="36">
        <v>3.13</v>
      </c>
      <c r="T41" s="36">
        <v>5.09</v>
      </c>
      <c r="U41" s="49">
        <f t="shared" si="1"/>
        <v>5090</v>
      </c>
      <c r="V41" s="21">
        <f t="shared" si="2"/>
        <v>14400</v>
      </c>
    </row>
    <row r="42" ht="14.25" customHeight="1">
      <c r="A42" s="38">
        <v>0.2388888888888889</v>
      </c>
      <c r="B42" s="36">
        <v>106.0</v>
      </c>
      <c r="C42" s="36">
        <v>11.2</v>
      </c>
      <c r="D42" s="36">
        <v>753.0</v>
      </c>
      <c r="E42" s="36">
        <v>527.0</v>
      </c>
      <c r="F42" s="36">
        <v>0.7</v>
      </c>
      <c r="G42" s="36">
        <v>12.0</v>
      </c>
      <c r="H42" s="36">
        <v>1.06</v>
      </c>
      <c r="I42" s="36">
        <v>12.8</v>
      </c>
      <c r="J42" s="36">
        <v>93.1</v>
      </c>
      <c r="K42" s="36">
        <v>126.0</v>
      </c>
      <c r="L42" s="36">
        <v>34.9</v>
      </c>
      <c r="M42" s="36">
        <v>83.0</v>
      </c>
      <c r="N42" s="36">
        <v>48.0</v>
      </c>
      <c r="O42" s="36">
        <v>12.0</v>
      </c>
      <c r="P42" s="36">
        <v>27.0</v>
      </c>
      <c r="Q42" s="36">
        <v>0.4</v>
      </c>
      <c r="R42" s="36">
        <v>1.98</v>
      </c>
      <c r="S42" s="36">
        <v>2.99</v>
      </c>
      <c r="T42" s="36">
        <v>4.97</v>
      </c>
      <c r="U42" s="49">
        <f t="shared" si="1"/>
        <v>4970</v>
      </c>
      <c r="V42" s="21">
        <f t="shared" si="2"/>
        <v>1166400</v>
      </c>
    </row>
    <row r="43" ht="14.25" customHeight="1">
      <c r="A43" s="38">
        <v>0.24375</v>
      </c>
      <c r="B43" s="36">
        <v>109.0</v>
      </c>
      <c r="C43" s="36">
        <v>12.1</v>
      </c>
      <c r="D43" s="36">
        <v>810.0</v>
      </c>
      <c r="E43" s="36">
        <v>593.0</v>
      </c>
      <c r="F43" s="36">
        <v>0.73</v>
      </c>
      <c r="G43" s="36">
        <v>10.0</v>
      </c>
      <c r="H43" s="36">
        <v>1.47</v>
      </c>
      <c r="I43" s="36">
        <v>14.6</v>
      </c>
      <c r="J43" s="36">
        <v>92.2</v>
      </c>
      <c r="K43" s="36">
        <v>126.0</v>
      </c>
      <c r="L43" s="36">
        <v>34.9</v>
      </c>
      <c r="M43" s="36">
        <v>84.0</v>
      </c>
      <c r="N43" s="36">
        <v>47.0</v>
      </c>
      <c r="O43" s="36">
        <v>10.0</v>
      </c>
      <c r="P43" s="36">
        <v>29.0</v>
      </c>
      <c r="Q43" s="36">
        <v>0.38</v>
      </c>
      <c r="R43" s="36">
        <v>2.32</v>
      </c>
      <c r="S43" s="36">
        <v>3.73</v>
      </c>
      <c r="T43" s="36">
        <v>6.05</v>
      </c>
      <c r="U43" s="49">
        <f t="shared" si="1"/>
        <v>6050</v>
      </c>
      <c r="V43" s="21">
        <f t="shared" si="2"/>
        <v>1795600</v>
      </c>
    </row>
    <row r="44" ht="14.25" customHeight="1">
      <c r="A44" s="38">
        <v>0.24583333333333332</v>
      </c>
      <c r="B44" s="36">
        <v>111.0</v>
      </c>
      <c r="C44" s="36">
        <v>10.5</v>
      </c>
      <c r="D44" s="36">
        <v>703.0</v>
      </c>
      <c r="E44" s="36">
        <v>499.0</v>
      </c>
      <c r="F44" s="36">
        <v>0.71</v>
      </c>
      <c r="G44" s="36">
        <v>13.0</v>
      </c>
      <c r="H44" s="36">
        <v>0.98</v>
      </c>
      <c r="I44" s="36">
        <v>12.5</v>
      </c>
      <c r="J44" s="36">
        <v>93.3</v>
      </c>
      <c r="K44" s="36">
        <v>126.0</v>
      </c>
      <c r="L44" s="36">
        <v>34.9</v>
      </c>
      <c r="M44" s="36">
        <v>86.0</v>
      </c>
      <c r="N44" s="36">
        <v>47.0</v>
      </c>
      <c r="O44" s="36">
        <v>13.0</v>
      </c>
      <c r="P44" s="36">
        <v>26.0</v>
      </c>
      <c r="Q44" s="36">
        <v>0.39</v>
      </c>
      <c r="R44" s="36">
        <v>1.82</v>
      </c>
      <c r="S44" s="36">
        <v>2.89</v>
      </c>
      <c r="T44" s="36">
        <v>4.71</v>
      </c>
      <c r="U44" s="49">
        <f t="shared" si="1"/>
        <v>4710</v>
      </c>
      <c r="V44" s="21">
        <f t="shared" si="2"/>
        <v>0</v>
      </c>
    </row>
    <row r="45" ht="14.25" customHeight="1">
      <c r="A45" s="38">
        <v>0.24791666666666667</v>
      </c>
      <c r="B45" s="36">
        <v>113.0</v>
      </c>
      <c r="C45" s="36">
        <v>10.5</v>
      </c>
      <c r="D45" s="36">
        <v>704.0</v>
      </c>
      <c r="E45" s="36">
        <v>499.0</v>
      </c>
      <c r="F45" s="36">
        <v>0.71</v>
      </c>
      <c r="G45" s="36">
        <v>13.0</v>
      </c>
      <c r="H45" s="36">
        <v>0.98</v>
      </c>
      <c r="I45" s="36">
        <v>12.5</v>
      </c>
      <c r="J45" s="36">
        <v>93.3</v>
      </c>
      <c r="K45" s="36">
        <v>127.0</v>
      </c>
      <c r="L45" s="36">
        <v>34.8</v>
      </c>
      <c r="M45" s="36">
        <v>86.0</v>
      </c>
      <c r="N45" s="36">
        <v>47.0</v>
      </c>
      <c r="O45" s="36">
        <v>13.0</v>
      </c>
      <c r="P45" s="36">
        <v>26.0</v>
      </c>
      <c r="Q45" s="36">
        <v>0.39</v>
      </c>
      <c r="R45" s="36">
        <v>1.82</v>
      </c>
      <c r="S45" s="36">
        <v>2.89</v>
      </c>
      <c r="T45" s="36">
        <v>4.71</v>
      </c>
      <c r="U45" s="49">
        <f t="shared" si="1"/>
        <v>4710</v>
      </c>
      <c r="V45" s="21">
        <f t="shared" si="2"/>
        <v>280900</v>
      </c>
    </row>
    <row r="46" ht="14.25" customHeight="1">
      <c r="A46" s="38">
        <v>0.25</v>
      </c>
      <c r="B46" s="36">
        <v>114.0</v>
      </c>
      <c r="C46" s="36">
        <v>10.7</v>
      </c>
      <c r="D46" s="36">
        <v>718.0</v>
      </c>
      <c r="E46" s="36">
        <v>517.0</v>
      </c>
      <c r="F46" s="36">
        <v>0.72</v>
      </c>
      <c r="G46" s="36">
        <v>14.0</v>
      </c>
      <c r="H46" s="36">
        <v>0.92</v>
      </c>
      <c r="I46" s="36">
        <v>13.3</v>
      </c>
      <c r="J46" s="36">
        <v>92.9</v>
      </c>
      <c r="K46" s="36">
        <v>127.0</v>
      </c>
      <c r="L46" s="36">
        <v>34.8</v>
      </c>
      <c r="M46" s="36">
        <v>87.0</v>
      </c>
      <c r="N46" s="36">
        <v>47.0</v>
      </c>
      <c r="O46" s="36">
        <v>14.0</v>
      </c>
      <c r="P46" s="36">
        <v>26.0</v>
      </c>
      <c r="Q46" s="36">
        <v>0.36</v>
      </c>
      <c r="R46" s="36">
        <v>1.51</v>
      </c>
      <c r="S46" s="36">
        <v>2.67</v>
      </c>
      <c r="T46" s="36">
        <v>4.18</v>
      </c>
      <c r="U46" s="49">
        <f t="shared" si="1"/>
        <v>4180</v>
      </c>
      <c r="V46" s="21">
        <f t="shared" si="2"/>
        <v>372100</v>
      </c>
    </row>
    <row r="47" ht="14.25" customHeight="1">
      <c r="A47" s="38">
        <v>0.2513888888888889</v>
      </c>
      <c r="B47" s="36">
        <v>116.0</v>
      </c>
      <c r="C47" s="36">
        <v>11.3</v>
      </c>
      <c r="D47" s="36">
        <v>756.0</v>
      </c>
      <c r="E47" s="36">
        <v>560.0</v>
      </c>
      <c r="F47" s="36">
        <v>0.74</v>
      </c>
      <c r="G47" s="36">
        <v>17.0</v>
      </c>
      <c r="H47" s="36">
        <v>0.88</v>
      </c>
      <c r="I47" s="36">
        <v>14.8</v>
      </c>
      <c r="J47" s="36">
        <v>92.1</v>
      </c>
      <c r="K47" s="36">
        <v>127.0</v>
      </c>
      <c r="L47" s="36">
        <v>34.8</v>
      </c>
      <c r="M47" s="36">
        <v>88.0</v>
      </c>
      <c r="N47" s="36">
        <v>47.0</v>
      </c>
      <c r="O47" s="36">
        <v>17.0</v>
      </c>
      <c r="P47" s="36">
        <v>27.0</v>
      </c>
      <c r="Q47" s="36">
        <v>0.3</v>
      </c>
      <c r="R47" s="36">
        <v>1.07</v>
      </c>
      <c r="S47" s="36">
        <v>2.5</v>
      </c>
      <c r="T47" s="36">
        <v>3.57</v>
      </c>
      <c r="U47" s="49">
        <f t="shared" si="1"/>
        <v>3570</v>
      </c>
      <c r="V47" s="21">
        <f t="shared" si="2"/>
        <v>90000</v>
      </c>
    </row>
    <row r="48" ht="14.25" customHeight="1">
      <c r="A48" s="38">
        <v>0.2534722222222222</v>
      </c>
      <c r="B48" s="36">
        <v>117.0</v>
      </c>
      <c r="C48" s="36">
        <v>14.0</v>
      </c>
      <c r="D48" s="36">
        <v>938.0</v>
      </c>
      <c r="E48" s="36">
        <v>726.0</v>
      </c>
      <c r="F48" s="36">
        <v>0.77</v>
      </c>
      <c r="G48" s="36">
        <v>15.0</v>
      </c>
      <c r="H48" s="36">
        <v>1.24</v>
      </c>
      <c r="I48" s="36">
        <v>19.2</v>
      </c>
      <c r="J48" s="36">
        <v>89.7</v>
      </c>
      <c r="K48" s="36">
        <v>127.0</v>
      </c>
      <c r="L48" s="36">
        <v>34.8</v>
      </c>
      <c r="M48" s="36">
        <v>89.0</v>
      </c>
      <c r="N48" s="36">
        <v>47.0</v>
      </c>
      <c r="O48" s="36">
        <v>15.0</v>
      </c>
      <c r="P48" s="36">
        <v>34.0</v>
      </c>
      <c r="Q48" s="36">
        <v>0.29</v>
      </c>
      <c r="R48" s="36">
        <v>1.14</v>
      </c>
      <c r="S48" s="36">
        <v>2.74</v>
      </c>
      <c r="T48" s="36">
        <v>3.87</v>
      </c>
      <c r="U48" s="49">
        <f t="shared" si="1"/>
        <v>3870</v>
      </c>
      <c r="V48" s="21">
        <f t="shared" si="2"/>
        <v>115600</v>
      </c>
    </row>
    <row r="49" ht="14.25" customHeight="1">
      <c r="A49" s="38">
        <v>0.25555555555555554</v>
      </c>
      <c r="B49" s="36">
        <v>118.0</v>
      </c>
      <c r="C49" s="36">
        <v>14.5</v>
      </c>
      <c r="D49" s="36">
        <v>973.0</v>
      </c>
      <c r="E49" s="36">
        <v>762.0</v>
      </c>
      <c r="F49" s="36">
        <v>0.78</v>
      </c>
      <c r="G49" s="36">
        <v>17.0</v>
      </c>
      <c r="H49" s="36">
        <v>1.21</v>
      </c>
      <c r="I49" s="36">
        <v>20.6</v>
      </c>
      <c r="J49" s="36">
        <v>89.0</v>
      </c>
      <c r="K49" s="36">
        <v>126.0</v>
      </c>
      <c r="L49" s="36">
        <v>35.3</v>
      </c>
      <c r="M49" s="36">
        <v>90.0</v>
      </c>
      <c r="N49" s="36">
        <v>46.0</v>
      </c>
      <c r="O49" s="36">
        <v>17.0</v>
      </c>
      <c r="P49" s="36">
        <v>35.0</v>
      </c>
      <c r="Q49" s="36">
        <v>0.25</v>
      </c>
      <c r="R49" s="36">
        <v>0.87</v>
      </c>
      <c r="S49" s="36">
        <v>2.65</v>
      </c>
      <c r="T49" s="36">
        <v>3.53</v>
      </c>
      <c r="U49" s="49">
        <f t="shared" si="1"/>
        <v>3530</v>
      </c>
      <c r="V49" s="21">
        <f t="shared" si="2"/>
        <v>324900</v>
      </c>
    </row>
    <row r="50" ht="14.25" customHeight="1">
      <c r="A50" s="38">
        <v>0.25625</v>
      </c>
      <c r="B50" s="36">
        <v>119.0</v>
      </c>
      <c r="C50" s="36">
        <v>9.4</v>
      </c>
      <c r="D50" s="36">
        <v>628.0</v>
      </c>
      <c r="E50" s="36">
        <v>493.0</v>
      </c>
      <c r="F50" s="36">
        <v>0.78</v>
      </c>
      <c r="G50" s="36">
        <v>20.0</v>
      </c>
      <c r="H50" s="36">
        <v>0.72</v>
      </c>
      <c r="I50" s="36">
        <v>14.6</v>
      </c>
      <c r="J50" s="36">
        <v>92.2</v>
      </c>
      <c r="K50" s="36">
        <v>125.0</v>
      </c>
      <c r="L50" s="36">
        <v>35.7</v>
      </c>
      <c r="M50" s="36">
        <v>90.0</v>
      </c>
      <c r="N50" s="36">
        <v>47.0</v>
      </c>
      <c r="O50" s="36">
        <v>20.0</v>
      </c>
      <c r="P50" s="36">
        <v>23.0</v>
      </c>
      <c r="Q50" s="36">
        <v>0.2</v>
      </c>
      <c r="R50" s="36">
        <v>0.59</v>
      </c>
      <c r="S50" s="36">
        <v>2.37</v>
      </c>
      <c r="T50" s="36">
        <v>2.96</v>
      </c>
      <c r="U50" s="49">
        <f t="shared" si="1"/>
        <v>2960</v>
      </c>
      <c r="V50" s="21">
        <f t="shared" si="2"/>
        <v>400</v>
      </c>
    </row>
    <row r="51" ht="14.25" customHeight="1">
      <c r="A51" s="38">
        <v>0.25833333333333336</v>
      </c>
      <c r="B51" s="36">
        <v>121.0</v>
      </c>
      <c r="C51" s="36">
        <v>11.6</v>
      </c>
      <c r="D51" s="36">
        <v>776.0</v>
      </c>
      <c r="E51" s="36">
        <v>606.0</v>
      </c>
      <c r="F51" s="36">
        <v>0.78</v>
      </c>
      <c r="G51" s="36">
        <v>20.0</v>
      </c>
      <c r="H51" s="36">
        <v>0.84</v>
      </c>
      <c r="I51" s="36">
        <v>16.8</v>
      </c>
      <c r="J51" s="36">
        <v>91.0</v>
      </c>
      <c r="K51" s="36">
        <v>124.0</v>
      </c>
      <c r="L51" s="36">
        <v>36.1</v>
      </c>
      <c r="M51" s="36">
        <v>89.0</v>
      </c>
      <c r="N51" s="36">
        <v>47.0</v>
      </c>
      <c r="O51" s="36">
        <v>20.0</v>
      </c>
      <c r="P51" s="36">
        <v>28.0</v>
      </c>
      <c r="Q51" s="36">
        <v>0.17</v>
      </c>
      <c r="R51" s="36">
        <v>0.51</v>
      </c>
      <c r="S51" s="36">
        <v>2.47</v>
      </c>
      <c r="T51" s="36">
        <v>2.98</v>
      </c>
      <c r="U51" s="49">
        <f t="shared" si="1"/>
        <v>2980</v>
      </c>
      <c r="V51" s="21">
        <f t="shared" si="2"/>
        <v>10000</v>
      </c>
    </row>
    <row r="52" ht="14.25" customHeight="1">
      <c r="A52" s="38">
        <v>0.2611111111111111</v>
      </c>
      <c r="B52" s="36">
        <v>122.0</v>
      </c>
      <c r="C52" s="36">
        <v>14.9</v>
      </c>
      <c r="D52" s="36">
        <v>997.0</v>
      </c>
      <c r="E52" s="36">
        <v>785.0</v>
      </c>
      <c r="F52" s="36">
        <v>0.79</v>
      </c>
      <c r="G52" s="36">
        <v>19.0</v>
      </c>
      <c r="H52" s="36">
        <v>1.04</v>
      </c>
      <c r="I52" s="36">
        <v>20.3</v>
      </c>
      <c r="J52" s="36">
        <v>89.1</v>
      </c>
      <c r="K52" s="36">
        <v>124.0</v>
      </c>
      <c r="L52" s="36">
        <v>36.1</v>
      </c>
      <c r="M52" s="36">
        <v>89.0</v>
      </c>
      <c r="N52" s="36">
        <v>48.0</v>
      </c>
      <c r="O52" s="36">
        <v>19.0</v>
      </c>
      <c r="P52" s="36">
        <v>36.0</v>
      </c>
      <c r="Q52" s="36">
        <v>0.17</v>
      </c>
      <c r="R52" s="36">
        <v>0.53</v>
      </c>
      <c r="S52" s="36">
        <v>2.55</v>
      </c>
      <c r="T52" s="36">
        <v>3.08</v>
      </c>
      <c r="U52" s="49">
        <f t="shared" si="1"/>
        <v>3080</v>
      </c>
      <c r="V52" s="21">
        <f t="shared" si="2"/>
        <v>313600</v>
      </c>
    </row>
    <row r="53" ht="14.25" customHeight="1">
      <c r="A53" s="38">
        <v>0.2652777777777778</v>
      </c>
      <c r="B53" s="36">
        <v>125.0</v>
      </c>
      <c r="C53" s="36">
        <v>15.7</v>
      </c>
      <c r="D53" s="36">
        <v>1053.0</v>
      </c>
      <c r="E53" s="36">
        <v>840.0</v>
      </c>
      <c r="F53" s="36">
        <v>0.8</v>
      </c>
      <c r="G53" s="36">
        <v>16.0</v>
      </c>
      <c r="H53" s="36">
        <v>1.25</v>
      </c>
      <c r="I53" s="36">
        <v>20.6</v>
      </c>
      <c r="J53" s="36">
        <v>89.0</v>
      </c>
      <c r="K53" s="36">
        <v>125.0</v>
      </c>
      <c r="L53" s="36">
        <v>35.8</v>
      </c>
      <c r="M53" s="36">
        <v>89.0</v>
      </c>
      <c r="N53" s="36">
        <v>48.0</v>
      </c>
      <c r="O53" s="36">
        <v>16.0</v>
      </c>
      <c r="P53" s="36">
        <v>38.0</v>
      </c>
      <c r="Q53" s="36">
        <v>0.26</v>
      </c>
      <c r="R53" s="36">
        <v>0.95</v>
      </c>
      <c r="S53" s="36">
        <v>2.69</v>
      </c>
      <c r="T53" s="36">
        <v>3.64</v>
      </c>
      <c r="U53" s="49">
        <f t="shared" si="1"/>
        <v>3640</v>
      </c>
      <c r="V53" s="21">
        <f t="shared" si="2"/>
        <v>240100</v>
      </c>
    </row>
    <row r="54" ht="14.25" customHeight="1">
      <c r="A54" s="38">
        <v>0.26875</v>
      </c>
      <c r="B54" s="36">
        <v>128.0</v>
      </c>
      <c r="C54" s="36">
        <v>15.4</v>
      </c>
      <c r="D54" s="36">
        <v>1033.0</v>
      </c>
      <c r="E54" s="36">
        <v>833.0</v>
      </c>
      <c r="F54" s="36">
        <v>0.81</v>
      </c>
      <c r="G54" s="36">
        <v>15.0</v>
      </c>
      <c r="H54" s="36">
        <v>1.38</v>
      </c>
      <c r="I54" s="36">
        <v>20.1</v>
      </c>
      <c r="J54" s="36">
        <v>89.3</v>
      </c>
      <c r="K54" s="36">
        <v>125.0</v>
      </c>
      <c r="L54" s="36">
        <v>35.4</v>
      </c>
      <c r="M54" s="36">
        <v>91.0</v>
      </c>
      <c r="N54" s="36">
        <v>47.0</v>
      </c>
      <c r="O54" s="36">
        <v>15.0</v>
      </c>
      <c r="P54" s="36">
        <v>38.0</v>
      </c>
      <c r="Q54" s="36">
        <v>0.32</v>
      </c>
      <c r="R54" s="36">
        <v>1.3</v>
      </c>
      <c r="S54" s="36">
        <v>2.83</v>
      </c>
      <c r="T54" s="36">
        <v>4.13</v>
      </c>
      <c r="U54" s="49">
        <f t="shared" si="1"/>
        <v>4130</v>
      </c>
      <c r="V54" s="21">
        <f t="shared" si="2"/>
        <v>16900</v>
      </c>
    </row>
    <row r="55" ht="14.25" customHeight="1">
      <c r="A55" s="38">
        <v>0.27152777777777776</v>
      </c>
      <c r="B55" s="36">
        <v>130.0</v>
      </c>
      <c r="C55" s="36">
        <v>14.7</v>
      </c>
      <c r="D55" s="36">
        <v>985.0</v>
      </c>
      <c r="E55" s="36">
        <v>798.0</v>
      </c>
      <c r="F55" s="36">
        <v>0.81</v>
      </c>
      <c r="G55" s="36">
        <v>14.0</v>
      </c>
      <c r="H55" s="36">
        <v>1.35</v>
      </c>
      <c r="I55" s="36">
        <v>19.1</v>
      </c>
      <c r="J55" s="36">
        <v>89.8</v>
      </c>
      <c r="K55" s="36">
        <v>128.0</v>
      </c>
      <c r="L55" s="36">
        <v>34.0</v>
      </c>
      <c r="M55" s="36">
        <v>91.0</v>
      </c>
      <c r="N55" s="36">
        <v>47.0</v>
      </c>
      <c r="O55" s="36">
        <v>14.0</v>
      </c>
      <c r="P55" s="36">
        <v>36.0</v>
      </c>
      <c r="Q55" s="36">
        <v>0.35</v>
      </c>
      <c r="R55" s="36">
        <v>1.47</v>
      </c>
      <c r="S55" s="36">
        <v>2.79</v>
      </c>
      <c r="T55" s="36">
        <v>4.26</v>
      </c>
      <c r="U55" s="49">
        <f t="shared" si="1"/>
        <v>4260</v>
      </c>
      <c r="V55" s="21">
        <f t="shared" si="2"/>
        <v>384400</v>
      </c>
    </row>
    <row r="56" ht="14.25" customHeight="1">
      <c r="A56" s="38">
        <v>0.27569444444444446</v>
      </c>
      <c r="B56" s="36">
        <v>133.0</v>
      </c>
      <c r="C56" s="36">
        <v>16.0</v>
      </c>
      <c r="D56" s="36">
        <v>1073.0</v>
      </c>
      <c r="E56" s="36">
        <v>896.0</v>
      </c>
      <c r="F56" s="36">
        <v>0.83</v>
      </c>
      <c r="G56" s="36">
        <v>12.0</v>
      </c>
      <c r="H56" s="36">
        <v>1.73</v>
      </c>
      <c r="I56" s="36">
        <v>21.2</v>
      </c>
      <c r="J56" s="36">
        <v>88.6</v>
      </c>
      <c r="K56" s="36">
        <v>130.0</v>
      </c>
      <c r="L56" s="36">
        <v>32.9</v>
      </c>
      <c r="M56" s="36">
        <v>92.0</v>
      </c>
      <c r="N56" s="36">
        <v>47.0</v>
      </c>
      <c r="O56" s="36">
        <v>12.0</v>
      </c>
      <c r="P56" s="36">
        <v>39.0</v>
      </c>
      <c r="Q56" s="36">
        <v>0.37</v>
      </c>
      <c r="R56" s="36">
        <v>1.79</v>
      </c>
      <c r="S56" s="36">
        <v>3.09</v>
      </c>
      <c r="T56" s="36">
        <v>4.88</v>
      </c>
      <c r="U56" s="49">
        <f t="shared" si="1"/>
        <v>4880</v>
      </c>
      <c r="V56" s="21">
        <f t="shared" si="2"/>
        <v>32400</v>
      </c>
    </row>
    <row r="57" ht="14.25" customHeight="1">
      <c r="A57" s="38">
        <v>0.2791666666666667</v>
      </c>
      <c r="B57" s="36">
        <v>135.0</v>
      </c>
      <c r="C57" s="36">
        <v>16.5</v>
      </c>
      <c r="D57" s="36">
        <v>1104.0</v>
      </c>
      <c r="E57" s="36">
        <v>927.0</v>
      </c>
      <c r="F57" s="36">
        <v>0.84</v>
      </c>
      <c r="G57" s="36">
        <v>13.0</v>
      </c>
      <c r="H57" s="36">
        <v>1.71</v>
      </c>
      <c r="I57" s="36">
        <v>21.8</v>
      </c>
      <c r="J57" s="36">
        <v>88.3</v>
      </c>
      <c r="K57" s="36">
        <v>132.0</v>
      </c>
      <c r="L57" s="36">
        <v>31.9</v>
      </c>
      <c r="M57" s="36">
        <v>92.0</v>
      </c>
      <c r="N57" s="36">
        <v>48.0</v>
      </c>
      <c r="O57" s="36">
        <v>13.0</v>
      </c>
      <c r="P57" s="36">
        <v>40.0</v>
      </c>
      <c r="Q57" s="36">
        <v>0.35</v>
      </c>
      <c r="R57" s="36">
        <v>1.62</v>
      </c>
      <c r="S57" s="36">
        <v>3.08</v>
      </c>
      <c r="T57" s="36">
        <v>4.7</v>
      </c>
      <c r="U57" s="49">
        <f t="shared" si="1"/>
        <v>4700</v>
      </c>
      <c r="V57" s="21">
        <f t="shared" si="2"/>
        <v>25600</v>
      </c>
    </row>
    <row r="58" ht="14.25" customHeight="1">
      <c r="A58" s="38">
        <v>0.28194444444444444</v>
      </c>
      <c r="B58" s="36">
        <v>137.0</v>
      </c>
      <c r="C58" s="36">
        <v>16.7</v>
      </c>
      <c r="D58" s="36">
        <v>1121.0</v>
      </c>
      <c r="E58" s="36">
        <v>949.0</v>
      </c>
      <c r="F58" s="36">
        <v>0.85</v>
      </c>
      <c r="G58" s="36">
        <v>12.0</v>
      </c>
      <c r="H58" s="36">
        <v>1.77</v>
      </c>
      <c r="I58" s="36">
        <v>21.9</v>
      </c>
      <c r="J58" s="36">
        <v>88.3</v>
      </c>
      <c r="K58" s="36">
        <v>135.0</v>
      </c>
      <c r="L58" s="36">
        <v>30.7</v>
      </c>
      <c r="M58" s="36">
        <v>91.0</v>
      </c>
      <c r="N58" s="36">
        <v>49.0</v>
      </c>
      <c r="O58" s="36">
        <v>12.0</v>
      </c>
      <c r="P58" s="36">
        <v>41.0</v>
      </c>
      <c r="Q58" s="36">
        <v>0.36</v>
      </c>
      <c r="R58" s="36">
        <v>1.75</v>
      </c>
      <c r="S58" s="36">
        <v>3.12</v>
      </c>
      <c r="T58" s="36">
        <v>4.86</v>
      </c>
      <c r="U58" s="49">
        <f t="shared" si="1"/>
        <v>4860</v>
      </c>
      <c r="V58" s="21">
        <f t="shared" si="2"/>
        <v>102400</v>
      </c>
    </row>
    <row r="59" ht="14.25" customHeight="1">
      <c r="A59" s="38">
        <v>0.2847222222222222</v>
      </c>
      <c r="B59" s="36">
        <v>139.0</v>
      </c>
      <c r="C59" s="36">
        <v>15.9</v>
      </c>
      <c r="D59" s="36">
        <v>1066.0</v>
      </c>
      <c r="E59" s="36">
        <v>891.0</v>
      </c>
      <c r="F59" s="36">
        <v>0.84</v>
      </c>
      <c r="G59" s="36">
        <v>13.0</v>
      </c>
      <c r="H59" s="36">
        <v>1.5</v>
      </c>
      <c r="I59" s="36">
        <v>19.9</v>
      </c>
      <c r="J59" s="36">
        <v>89.4</v>
      </c>
      <c r="K59" s="36">
        <v>135.0</v>
      </c>
      <c r="L59" s="36">
        <v>30.7</v>
      </c>
      <c r="M59" s="36">
        <v>90.0</v>
      </c>
      <c r="N59" s="36">
        <v>49.0</v>
      </c>
      <c r="O59" s="36">
        <v>13.0</v>
      </c>
      <c r="P59" s="36">
        <v>39.0</v>
      </c>
      <c r="Q59" s="36">
        <v>0.35</v>
      </c>
      <c r="R59" s="36">
        <v>1.57</v>
      </c>
      <c r="S59" s="36">
        <v>2.97</v>
      </c>
      <c r="T59" s="36">
        <v>4.54</v>
      </c>
      <c r="U59" s="49">
        <f t="shared" si="1"/>
        <v>4540</v>
      </c>
      <c r="V59" s="21">
        <f t="shared" si="2"/>
        <v>78400</v>
      </c>
    </row>
    <row r="60" ht="14.25" customHeight="1">
      <c r="A60" s="38">
        <v>0.2875</v>
      </c>
      <c r="B60" s="36">
        <v>142.0</v>
      </c>
      <c r="C60" s="36">
        <v>16.0</v>
      </c>
      <c r="D60" s="36">
        <v>1071.0</v>
      </c>
      <c r="E60" s="36">
        <v>903.0</v>
      </c>
      <c r="F60" s="36">
        <v>0.84</v>
      </c>
      <c r="G60" s="36">
        <v>14.0</v>
      </c>
      <c r="H60" s="36">
        <v>1.42</v>
      </c>
      <c r="I60" s="36">
        <v>20.0</v>
      </c>
      <c r="J60" s="36">
        <v>89.3</v>
      </c>
      <c r="K60" s="36">
        <v>135.0</v>
      </c>
      <c r="L60" s="36">
        <v>30.7</v>
      </c>
      <c r="M60" s="36">
        <v>89.0</v>
      </c>
      <c r="N60" s="36">
        <v>50.0</v>
      </c>
      <c r="O60" s="36">
        <v>14.0</v>
      </c>
      <c r="P60" s="36">
        <v>39.0</v>
      </c>
      <c r="Q60" s="36">
        <v>0.34</v>
      </c>
      <c r="R60" s="36">
        <v>1.43</v>
      </c>
      <c r="S60" s="36">
        <v>2.83</v>
      </c>
      <c r="T60" s="36">
        <v>4.26</v>
      </c>
      <c r="U60" s="49">
        <f t="shared" si="1"/>
        <v>4260</v>
      </c>
      <c r="V60" s="21">
        <f t="shared" si="2"/>
        <v>100</v>
      </c>
    </row>
    <row r="61" ht="14.25" customHeight="1">
      <c r="A61" s="38">
        <v>0.2902777777777778</v>
      </c>
      <c r="B61" s="36">
        <v>144.0</v>
      </c>
      <c r="C61" s="36">
        <v>16.5</v>
      </c>
      <c r="D61" s="36">
        <v>1107.0</v>
      </c>
      <c r="E61" s="36">
        <v>932.0</v>
      </c>
      <c r="F61" s="36">
        <v>0.84</v>
      </c>
      <c r="G61" s="36">
        <v>14.0</v>
      </c>
      <c r="H61" s="36">
        <v>1.47</v>
      </c>
      <c r="I61" s="36">
        <v>20.7</v>
      </c>
      <c r="J61" s="36">
        <v>88.9</v>
      </c>
      <c r="K61" s="36">
        <v>137.0</v>
      </c>
      <c r="L61" s="36">
        <v>29.4</v>
      </c>
      <c r="M61" s="36">
        <v>90.0</v>
      </c>
      <c r="N61" s="36">
        <v>50.0</v>
      </c>
      <c r="O61" s="36">
        <v>14.0</v>
      </c>
      <c r="P61" s="36">
        <v>40.0</v>
      </c>
      <c r="Q61" s="36">
        <v>0.32</v>
      </c>
      <c r="R61" s="36">
        <v>1.37</v>
      </c>
      <c r="S61" s="36">
        <v>2.89</v>
      </c>
      <c r="T61" s="36">
        <v>4.25</v>
      </c>
      <c r="U61" s="49">
        <f t="shared" si="1"/>
        <v>4250</v>
      </c>
      <c r="V61" s="21">
        <f t="shared" si="2"/>
        <v>90000</v>
      </c>
    </row>
    <row r="62" ht="14.25" customHeight="1">
      <c r="A62" s="38">
        <v>0.29305555555555557</v>
      </c>
      <c r="B62" s="36">
        <v>145.0</v>
      </c>
      <c r="C62" s="36">
        <v>17.2</v>
      </c>
      <c r="D62" s="36">
        <v>1150.0</v>
      </c>
      <c r="E62" s="36">
        <v>985.0</v>
      </c>
      <c r="F62" s="36">
        <v>0.86</v>
      </c>
      <c r="G62" s="36">
        <v>13.0</v>
      </c>
      <c r="H62" s="36">
        <v>1.72</v>
      </c>
      <c r="I62" s="36">
        <v>22.6</v>
      </c>
      <c r="J62" s="36">
        <v>87.9</v>
      </c>
      <c r="K62" s="36">
        <v>138.0</v>
      </c>
      <c r="L62" s="36">
        <v>28.7</v>
      </c>
      <c r="M62" s="36">
        <v>91.0</v>
      </c>
      <c r="N62" s="36">
        <v>49.0</v>
      </c>
      <c r="O62" s="36">
        <v>13.0</v>
      </c>
      <c r="P62" s="36">
        <v>42.0</v>
      </c>
      <c r="Q62" s="36">
        <v>0.34</v>
      </c>
      <c r="R62" s="36">
        <v>1.55</v>
      </c>
      <c r="S62" s="36">
        <v>3.0</v>
      </c>
      <c r="T62" s="36">
        <v>4.55</v>
      </c>
      <c r="U62" s="49">
        <f t="shared" si="1"/>
        <v>4550</v>
      </c>
      <c r="V62" s="21">
        <f t="shared" si="2"/>
        <v>220900</v>
      </c>
    </row>
    <row r="63" ht="14.25" customHeight="1">
      <c r="A63" s="38">
        <v>0.29583333333333334</v>
      </c>
      <c r="B63" s="36">
        <v>147.0</v>
      </c>
      <c r="C63" s="36">
        <v>17.3</v>
      </c>
      <c r="D63" s="36">
        <v>1162.0</v>
      </c>
      <c r="E63" s="36">
        <v>988.0</v>
      </c>
      <c r="F63" s="36">
        <v>0.85</v>
      </c>
      <c r="G63" s="36">
        <v>15.0</v>
      </c>
      <c r="H63" s="36">
        <v>1.5</v>
      </c>
      <c r="I63" s="36">
        <v>22.1</v>
      </c>
      <c r="J63" s="36">
        <v>88.2</v>
      </c>
      <c r="K63" s="36">
        <v>141.0</v>
      </c>
      <c r="L63" s="36">
        <v>27.2</v>
      </c>
      <c r="M63" s="36">
        <v>91.0</v>
      </c>
      <c r="N63" s="36">
        <v>49.0</v>
      </c>
      <c r="O63" s="36">
        <v>15.0</v>
      </c>
      <c r="P63" s="36">
        <v>42.0</v>
      </c>
      <c r="Q63" s="36">
        <v>0.33</v>
      </c>
      <c r="R63" s="36">
        <v>1.33</v>
      </c>
      <c r="S63" s="36">
        <v>2.74</v>
      </c>
      <c r="T63" s="36">
        <v>4.08</v>
      </c>
      <c r="U63" s="49">
        <f t="shared" si="1"/>
        <v>4080</v>
      </c>
      <c r="V63" s="21">
        <f t="shared" si="2"/>
        <v>32400</v>
      </c>
    </row>
    <row r="64" ht="14.25" customHeight="1">
      <c r="A64" s="38">
        <v>0.29791666666666666</v>
      </c>
      <c r="B64" s="36">
        <v>149.0</v>
      </c>
      <c r="C64" s="36">
        <v>18.1</v>
      </c>
      <c r="D64" s="36">
        <v>1211.0</v>
      </c>
      <c r="E64" s="36">
        <v>1028.0</v>
      </c>
      <c r="F64" s="36">
        <v>0.85</v>
      </c>
      <c r="G64" s="36">
        <v>15.0</v>
      </c>
      <c r="H64" s="36">
        <v>1.5</v>
      </c>
      <c r="I64" s="36">
        <v>23.1</v>
      </c>
      <c r="J64" s="36">
        <v>87.7</v>
      </c>
      <c r="K64" s="36">
        <v>141.0</v>
      </c>
      <c r="L64" s="36">
        <v>27.4</v>
      </c>
      <c r="M64" s="36">
        <v>91.0</v>
      </c>
      <c r="N64" s="36">
        <v>50.0</v>
      </c>
      <c r="O64" s="36">
        <v>15.0</v>
      </c>
      <c r="P64" s="36">
        <v>44.0</v>
      </c>
      <c r="Q64" s="36">
        <v>0.33</v>
      </c>
      <c r="R64" s="36">
        <v>1.29</v>
      </c>
      <c r="S64" s="36">
        <v>2.61</v>
      </c>
      <c r="T64" s="36">
        <v>3.9</v>
      </c>
      <c r="U64" s="49">
        <f t="shared" si="1"/>
        <v>3900</v>
      </c>
      <c r="V64" s="21">
        <f t="shared" si="2"/>
        <v>144400</v>
      </c>
    </row>
    <row r="65" ht="14.25" customHeight="1">
      <c r="A65" s="38">
        <v>0.29930555555555555</v>
      </c>
      <c r="B65" s="36">
        <v>150.0</v>
      </c>
      <c r="C65" s="36">
        <v>17.6</v>
      </c>
      <c r="D65" s="36">
        <v>1179.0</v>
      </c>
      <c r="E65" s="36">
        <v>1008.0</v>
      </c>
      <c r="F65" s="36">
        <v>0.86</v>
      </c>
      <c r="G65" s="36">
        <v>17.0</v>
      </c>
      <c r="H65" s="36">
        <v>1.37</v>
      </c>
      <c r="I65" s="36">
        <v>23.3</v>
      </c>
      <c r="J65" s="36">
        <v>87.5</v>
      </c>
      <c r="K65" s="36">
        <v>141.0</v>
      </c>
      <c r="L65" s="36">
        <v>27.1</v>
      </c>
      <c r="M65" s="36">
        <v>92.0</v>
      </c>
      <c r="N65" s="36">
        <v>49.0</v>
      </c>
      <c r="O65" s="36">
        <v>17.0</v>
      </c>
      <c r="P65" s="36">
        <v>43.0</v>
      </c>
      <c r="Q65" s="36">
        <v>0.32</v>
      </c>
      <c r="R65" s="36">
        <v>1.14</v>
      </c>
      <c r="S65" s="36">
        <v>2.37</v>
      </c>
      <c r="T65" s="36">
        <v>3.52</v>
      </c>
      <c r="U65" s="49">
        <f t="shared" si="1"/>
        <v>3520</v>
      </c>
      <c r="V65" s="21">
        <f t="shared" si="2"/>
        <v>4900</v>
      </c>
    </row>
    <row r="66" ht="14.25" customHeight="1">
      <c r="A66" s="38">
        <v>0.30069444444444443</v>
      </c>
      <c r="B66" s="36">
        <v>151.0</v>
      </c>
      <c r="C66" s="36">
        <v>18.6</v>
      </c>
      <c r="D66" s="36">
        <v>1246.0</v>
      </c>
      <c r="E66" s="36">
        <v>1072.0</v>
      </c>
      <c r="F66" s="36">
        <v>0.86</v>
      </c>
      <c r="G66" s="36">
        <v>17.0</v>
      </c>
      <c r="H66" s="36">
        <v>1.44</v>
      </c>
      <c r="I66" s="36">
        <v>25.0</v>
      </c>
      <c r="J66" s="36">
        <v>86.6</v>
      </c>
      <c r="K66" s="36">
        <v>142.0</v>
      </c>
      <c r="L66" s="36">
        <v>26.9</v>
      </c>
      <c r="M66" s="36">
        <v>92.0</v>
      </c>
      <c r="N66" s="36">
        <v>49.0</v>
      </c>
      <c r="O66" s="36">
        <v>17.0</v>
      </c>
      <c r="P66" s="36">
        <v>45.0</v>
      </c>
      <c r="Q66" s="36">
        <v>0.31</v>
      </c>
      <c r="R66" s="36">
        <v>1.07</v>
      </c>
      <c r="S66" s="36">
        <v>2.38</v>
      </c>
      <c r="T66" s="36">
        <v>3.45</v>
      </c>
      <c r="U66" s="49">
        <f t="shared" si="1"/>
        <v>3450</v>
      </c>
      <c r="V66" s="21">
        <f t="shared" si="2"/>
        <v>6400</v>
      </c>
    </row>
    <row r="67" ht="14.25" customHeight="1">
      <c r="A67" s="38">
        <v>0.3020833333333333</v>
      </c>
      <c r="B67" s="36">
        <v>152.0</v>
      </c>
      <c r="C67" s="36">
        <v>19.7</v>
      </c>
      <c r="D67" s="36">
        <v>1318.0</v>
      </c>
      <c r="E67" s="36">
        <v>1142.0</v>
      </c>
      <c r="F67" s="36">
        <v>0.87</v>
      </c>
      <c r="G67" s="36">
        <v>18.0</v>
      </c>
      <c r="H67" s="36">
        <v>1.49</v>
      </c>
      <c r="I67" s="36">
        <v>26.5</v>
      </c>
      <c r="J67" s="36">
        <v>85.8</v>
      </c>
      <c r="K67" s="36">
        <v>142.0</v>
      </c>
      <c r="L67" s="36">
        <v>26.9</v>
      </c>
      <c r="M67" s="36">
        <v>92.0</v>
      </c>
      <c r="N67" s="36">
        <v>49.0</v>
      </c>
      <c r="O67" s="36">
        <v>18.0</v>
      </c>
      <c r="P67" s="36">
        <v>48.0</v>
      </c>
      <c r="Q67" s="36">
        <v>0.3</v>
      </c>
      <c r="R67" s="36">
        <v>1.01</v>
      </c>
      <c r="S67" s="36">
        <v>2.36</v>
      </c>
      <c r="T67" s="36">
        <v>3.37</v>
      </c>
      <c r="U67" s="49">
        <f t="shared" si="1"/>
        <v>3370</v>
      </c>
      <c r="V67" s="21">
        <f t="shared" si="2"/>
        <v>176400</v>
      </c>
    </row>
    <row r="68" ht="14.25" customHeight="1">
      <c r="A68" s="38">
        <v>0.3034722222222222</v>
      </c>
      <c r="B68" s="36">
        <v>153.0</v>
      </c>
      <c r="C68" s="36">
        <v>19.5</v>
      </c>
      <c r="D68" s="36">
        <v>1309.0</v>
      </c>
      <c r="E68" s="36">
        <v>1147.0</v>
      </c>
      <c r="F68" s="36">
        <v>0.88</v>
      </c>
      <c r="G68" s="36">
        <v>20.0</v>
      </c>
      <c r="H68" s="36">
        <v>1.35</v>
      </c>
      <c r="I68" s="36">
        <v>27.4</v>
      </c>
      <c r="J68" s="36">
        <v>85.3</v>
      </c>
      <c r="K68" s="36">
        <v>142.0</v>
      </c>
      <c r="L68" s="36">
        <v>26.9</v>
      </c>
      <c r="M68" s="36">
        <v>93.0</v>
      </c>
      <c r="N68" s="36">
        <v>48.0</v>
      </c>
      <c r="O68" s="36">
        <v>20.0</v>
      </c>
      <c r="P68" s="36">
        <v>48.0</v>
      </c>
      <c r="Q68" s="36">
        <v>0.31</v>
      </c>
      <c r="R68" s="36">
        <v>0.93</v>
      </c>
      <c r="S68" s="36">
        <v>2.02</v>
      </c>
      <c r="T68" s="36">
        <v>2.95</v>
      </c>
      <c r="U68" s="49">
        <f t="shared" si="1"/>
        <v>2950</v>
      </c>
      <c r="V68" s="21">
        <f t="shared" si="2"/>
        <v>108900</v>
      </c>
    </row>
    <row r="69" ht="14.25" customHeight="1">
      <c r="A69" s="38">
        <v>0.3055555555555556</v>
      </c>
      <c r="B69" s="36">
        <v>155.0</v>
      </c>
      <c r="C69" s="36">
        <v>20.9</v>
      </c>
      <c r="D69" s="36">
        <v>1400.0</v>
      </c>
      <c r="E69" s="36">
        <v>1233.0</v>
      </c>
      <c r="F69" s="36">
        <v>0.88</v>
      </c>
      <c r="G69" s="36">
        <v>23.0</v>
      </c>
      <c r="H69" s="36">
        <v>1.29</v>
      </c>
      <c r="I69" s="36">
        <v>29.5</v>
      </c>
      <c r="J69" s="36">
        <v>84.2</v>
      </c>
      <c r="K69" s="36">
        <v>142.0</v>
      </c>
      <c r="L69" s="36">
        <v>26.7</v>
      </c>
      <c r="M69" s="36">
        <v>93.0</v>
      </c>
      <c r="N69" s="36">
        <v>48.0</v>
      </c>
      <c r="O69" s="36">
        <v>23.0</v>
      </c>
      <c r="P69" s="36">
        <v>51.0</v>
      </c>
      <c r="Q69" s="36">
        <v>0.29</v>
      </c>
      <c r="R69" s="36">
        <v>0.75</v>
      </c>
      <c r="S69" s="36">
        <v>1.87</v>
      </c>
      <c r="T69" s="36">
        <v>2.62</v>
      </c>
      <c r="U69" s="49">
        <f t="shared" si="1"/>
        <v>2620</v>
      </c>
      <c r="V69" s="21">
        <f t="shared" si="2"/>
        <v>52900</v>
      </c>
    </row>
    <row r="70" ht="14.25" customHeight="1">
      <c r="A70" s="38">
        <v>0.30694444444444446</v>
      </c>
      <c r="B70" s="36">
        <v>155.0</v>
      </c>
      <c r="C70" s="36">
        <v>19.3</v>
      </c>
      <c r="D70" s="36">
        <v>1291.0</v>
      </c>
      <c r="E70" s="36">
        <v>1157.0</v>
      </c>
      <c r="F70" s="36">
        <v>0.9</v>
      </c>
      <c r="G70" s="36">
        <v>25.0</v>
      </c>
      <c r="H70" s="36">
        <v>1.16</v>
      </c>
      <c r="I70" s="36">
        <v>29.1</v>
      </c>
      <c r="J70" s="36">
        <v>84.4</v>
      </c>
      <c r="K70" s="36">
        <v>142.0</v>
      </c>
      <c r="L70" s="36">
        <v>26.9</v>
      </c>
      <c r="M70" s="36">
        <v>96.0</v>
      </c>
      <c r="N70" s="36">
        <v>47.0</v>
      </c>
      <c r="O70" s="36">
        <v>25.0</v>
      </c>
      <c r="P70" s="36">
        <v>47.0</v>
      </c>
      <c r="Q70" s="36">
        <v>0.3</v>
      </c>
      <c r="R70" s="36">
        <v>0.72</v>
      </c>
      <c r="S70" s="36">
        <v>1.67</v>
      </c>
      <c r="T70" s="36">
        <v>2.39</v>
      </c>
      <c r="U70" s="49">
        <f t="shared" si="1"/>
        <v>2390</v>
      </c>
      <c r="V70" s="21">
        <f t="shared" si="2"/>
        <v>57600</v>
      </c>
    </row>
    <row r="71" ht="14.25" customHeight="1">
      <c r="A71" s="38">
        <v>0.30833333333333335</v>
      </c>
      <c r="B71" s="36">
        <v>157.0</v>
      </c>
      <c r="C71" s="36">
        <v>20.5</v>
      </c>
      <c r="D71" s="36">
        <v>1375.0</v>
      </c>
      <c r="E71" s="36">
        <v>1271.0</v>
      </c>
      <c r="F71" s="36">
        <v>0.92</v>
      </c>
      <c r="G71" s="36">
        <v>28.0</v>
      </c>
      <c r="H71" s="36">
        <v>1.15</v>
      </c>
      <c r="I71" s="36">
        <v>32.1</v>
      </c>
      <c r="J71" s="36">
        <v>82.8</v>
      </c>
      <c r="K71" s="36">
        <v>142.0</v>
      </c>
      <c r="L71" s="36">
        <v>26.9</v>
      </c>
      <c r="M71" s="36">
        <v>97.0</v>
      </c>
      <c r="N71" s="36">
        <v>47.0</v>
      </c>
      <c r="O71" s="36">
        <v>28.0</v>
      </c>
      <c r="P71" s="36">
        <v>50.0</v>
      </c>
      <c r="Q71" s="36">
        <v>0.27</v>
      </c>
      <c r="R71" s="36">
        <v>0.58</v>
      </c>
      <c r="S71" s="36">
        <v>1.57</v>
      </c>
      <c r="T71" s="36">
        <v>2.15</v>
      </c>
      <c r="U71" s="49">
        <f t="shared" si="1"/>
        <v>2150</v>
      </c>
      <c r="V71" s="21">
        <f t="shared" si="2"/>
        <v>129600</v>
      </c>
    </row>
    <row r="72" ht="14.25" customHeight="1">
      <c r="A72" s="38">
        <v>0.31180555555555556</v>
      </c>
      <c r="B72" s="36">
        <v>159.0</v>
      </c>
      <c r="C72" s="36">
        <v>20.8</v>
      </c>
      <c r="D72" s="36">
        <v>1396.0</v>
      </c>
      <c r="E72" s="36">
        <v>1318.0</v>
      </c>
      <c r="F72" s="36">
        <v>0.94</v>
      </c>
      <c r="G72" s="36">
        <v>24.0</v>
      </c>
      <c r="H72" s="36">
        <v>1.34</v>
      </c>
      <c r="I72" s="36">
        <v>32.0</v>
      </c>
      <c r="J72" s="36">
        <v>82.9</v>
      </c>
      <c r="K72" s="36">
        <v>142.0</v>
      </c>
      <c r="L72" s="36">
        <v>26.7</v>
      </c>
      <c r="M72" s="36">
        <v>97.0</v>
      </c>
      <c r="N72" s="36">
        <v>48.0</v>
      </c>
      <c r="O72" s="36">
        <v>24.0</v>
      </c>
      <c r="P72" s="36">
        <v>51.0</v>
      </c>
      <c r="Q72" s="36">
        <v>0.28</v>
      </c>
      <c r="R72" s="36">
        <v>0.7</v>
      </c>
      <c r="S72" s="36">
        <v>1.82</v>
      </c>
      <c r="T72" s="36">
        <v>2.51</v>
      </c>
      <c r="U72" s="49">
        <f t="shared" si="1"/>
        <v>2510</v>
      </c>
      <c r="V72" s="21">
        <f t="shared" si="2"/>
        <v>52900</v>
      </c>
    </row>
    <row r="73" ht="14.25" customHeight="1">
      <c r="A73" s="38">
        <v>0.3138888888888889</v>
      </c>
      <c r="B73" s="36">
        <v>161.0</v>
      </c>
      <c r="C73" s="36">
        <v>19.3</v>
      </c>
      <c r="D73" s="36">
        <v>1295.0</v>
      </c>
      <c r="E73" s="36">
        <v>1253.0</v>
      </c>
      <c r="F73" s="36">
        <v>0.97</v>
      </c>
      <c r="G73" s="36">
        <v>22.0</v>
      </c>
      <c r="H73" s="36">
        <v>1.39</v>
      </c>
      <c r="I73" s="36">
        <v>30.5</v>
      </c>
      <c r="J73" s="36">
        <v>83.7</v>
      </c>
      <c r="K73" s="36">
        <v>143.0</v>
      </c>
      <c r="L73" s="36">
        <v>26.4</v>
      </c>
      <c r="M73" s="36">
        <v>97.0</v>
      </c>
      <c r="N73" s="36">
        <v>48.0</v>
      </c>
      <c r="O73" s="36">
        <v>22.0</v>
      </c>
      <c r="P73" s="36">
        <v>47.0</v>
      </c>
      <c r="Q73" s="36">
        <v>0.3</v>
      </c>
      <c r="R73" s="36">
        <v>0.82</v>
      </c>
      <c r="S73" s="36">
        <v>1.92</v>
      </c>
      <c r="T73" s="36">
        <v>2.74</v>
      </c>
      <c r="U73" s="49">
        <f t="shared" si="1"/>
        <v>2740</v>
      </c>
      <c r="V73" s="21">
        <f t="shared" si="2"/>
        <v>10000</v>
      </c>
    </row>
    <row r="74" ht="14.25" customHeight="1">
      <c r="A74" s="38">
        <v>0.31666666666666665</v>
      </c>
      <c r="B74" s="36">
        <v>163.0</v>
      </c>
      <c r="C74" s="36">
        <v>17.6</v>
      </c>
      <c r="D74" s="36">
        <v>1178.0</v>
      </c>
      <c r="E74" s="36">
        <v>1145.0</v>
      </c>
      <c r="F74" s="36">
        <v>0.97</v>
      </c>
      <c r="G74" s="36">
        <v>21.0</v>
      </c>
      <c r="H74" s="36">
        <v>1.34</v>
      </c>
      <c r="I74" s="36">
        <v>28.4</v>
      </c>
      <c r="J74" s="36">
        <v>84.8</v>
      </c>
      <c r="K74" s="36">
        <v>143.0</v>
      </c>
      <c r="L74" s="36">
        <v>26.0</v>
      </c>
      <c r="M74" s="36">
        <v>98.0</v>
      </c>
      <c r="N74" s="36">
        <v>47.0</v>
      </c>
      <c r="O74" s="36">
        <v>21.0</v>
      </c>
      <c r="P74" s="36">
        <v>43.0</v>
      </c>
      <c r="Q74" s="36">
        <v>0.32</v>
      </c>
      <c r="R74" s="36">
        <v>0.91</v>
      </c>
      <c r="S74" s="36">
        <v>1.92</v>
      </c>
      <c r="T74" s="36">
        <v>2.84</v>
      </c>
      <c r="U74" s="49">
        <f t="shared" si="1"/>
        <v>2840</v>
      </c>
      <c r="V74" s="21">
        <f t="shared" si="2"/>
        <v>400</v>
      </c>
    </row>
    <row r="75" ht="14.25" customHeight="1">
      <c r="A75" s="38">
        <v>0.31805555555555554</v>
      </c>
      <c r="B75" s="36">
        <v>163.0</v>
      </c>
      <c r="C75" s="36">
        <v>19.2</v>
      </c>
      <c r="D75" s="36">
        <v>1287.0</v>
      </c>
      <c r="E75" s="36">
        <v>1241.0</v>
      </c>
      <c r="F75" s="36">
        <v>0.96</v>
      </c>
      <c r="G75" s="36">
        <v>21.0</v>
      </c>
      <c r="H75" s="36">
        <v>1.39</v>
      </c>
      <c r="I75" s="36">
        <v>29.6</v>
      </c>
      <c r="J75" s="36">
        <v>84.2</v>
      </c>
      <c r="K75" s="36">
        <v>144.0</v>
      </c>
      <c r="L75" s="36">
        <v>25.7</v>
      </c>
      <c r="M75" s="36">
        <v>97.0</v>
      </c>
      <c r="N75" s="36">
        <v>49.0</v>
      </c>
      <c r="O75" s="36">
        <v>21.0</v>
      </c>
      <c r="P75" s="36">
        <v>47.0</v>
      </c>
      <c r="Q75" s="36">
        <v>0.3</v>
      </c>
      <c r="R75" s="36">
        <v>0.83</v>
      </c>
      <c r="S75" s="36">
        <v>1.99</v>
      </c>
      <c r="T75" s="36">
        <v>2.82</v>
      </c>
      <c r="U75" s="49">
        <f t="shared" si="1"/>
        <v>2820</v>
      </c>
      <c r="V75" s="21">
        <f t="shared" si="2"/>
        <v>0</v>
      </c>
    </row>
    <row r="76" ht="14.25" customHeight="1">
      <c r="A76" s="38">
        <v>0.32083333333333336</v>
      </c>
      <c r="B76" s="36">
        <v>166.0</v>
      </c>
      <c r="C76" s="36">
        <v>19.2</v>
      </c>
      <c r="D76" s="36">
        <v>1286.0</v>
      </c>
      <c r="E76" s="36">
        <v>1240.0</v>
      </c>
      <c r="F76" s="36">
        <v>0.96</v>
      </c>
      <c r="G76" s="36">
        <v>21.0</v>
      </c>
      <c r="H76" s="36">
        <v>1.39</v>
      </c>
      <c r="I76" s="36">
        <v>29.6</v>
      </c>
      <c r="J76" s="36">
        <v>84.2</v>
      </c>
      <c r="K76" s="36">
        <v>145.0</v>
      </c>
      <c r="L76" s="36">
        <v>25.1</v>
      </c>
      <c r="M76" s="36">
        <v>97.0</v>
      </c>
      <c r="N76" s="36">
        <v>49.0</v>
      </c>
      <c r="O76" s="36">
        <v>21.0</v>
      </c>
      <c r="P76" s="36">
        <v>47.0</v>
      </c>
      <c r="Q76" s="36">
        <v>0.3</v>
      </c>
      <c r="R76" s="36">
        <v>0.83</v>
      </c>
      <c r="S76" s="36">
        <v>1.99</v>
      </c>
      <c r="T76" s="36">
        <v>2.82</v>
      </c>
      <c r="U76" s="49">
        <f t="shared" si="1"/>
        <v>2820</v>
      </c>
      <c r="V76" s="21">
        <f t="shared" si="2"/>
        <v>62500</v>
      </c>
    </row>
    <row r="77" ht="14.25" customHeight="1">
      <c r="A77" s="38">
        <v>0.3236111111111111</v>
      </c>
      <c r="B77" s="36">
        <v>167.0</v>
      </c>
      <c r="C77" s="36">
        <v>19.9</v>
      </c>
      <c r="D77" s="36">
        <v>1335.0</v>
      </c>
      <c r="E77" s="36">
        <v>1280.0</v>
      </c>
      <c r="F77" s="36">
        <v>0.96</v>
      </c>
      <c r="G77" s="36">
        <v>20.0</v>
      </c>
      <c r="H77" s="36">
        <v>1.51</v>
      </c>
      <c r="I77" s="36">
        <v>29.5</v>
      </c>
      <c r="J77" s="36">
        <v>84.2</v>
      </c>
      <c r="K77" s="36">
        <v>146.0</v>
      </c>
      <c r="L77" s="36">
        <v>24.8</v>
      </c>
      <c r="M77" s="36">
        <v>95.0</v>
      </c>
      <c r="N77" s="36">
        <v>50.0</v>
      </c>
      <c r="O77" s="36">
        <v>20.0</v>
      </c>
      <c r="P77" s="36">
        <v>49.0</v>
      </c>
      <c r="Q77" s="36">
        <v>0.26</v>
      </c>
      <c r="R77" s="36">
        <v>0.8</v>
      </c>
      <c r="S77" s="36">
        <v>2.27</v>
      </c>
      <c r="T77" s="36">
        <v>3.07</v>
      </c>
      <c r="U77" s="49">
        <f t="shared" si="1"/>
        <v>3070</v>
      </c>
      <c r="V77" s="21">
        <f t="shared" si="2"/>
        <v>193600</v>
      </c>
    </row>
    <row r="78" ht="14.25" customHeight="1">
      <c r="A78" s="38">
        <v>0.3263888888888889</v>
      </c>
      <c r="B78" s="36">
        <v>169.0</v>
      </c>
      <c r="C78" s="36">
        <v>17.7</v>
      </c>
      <c r="D78" s="36">
        <v>1185.0</v>
      </c>
      <c r="E78" s="36">
        <v>1131.0</v>
      </c>
      <c r="F78" s="36">
        <v>0.95</v>
      </c>
      <c r="G78" s="36">
        <v>17.0</v>
      </c>
      <c r="H78" s="36">
        <v>1.51</v>
      </c>
      <c r="I78" s="36">
        <v>25.8</v>
      </c>
      <c r="J78" s="36">
        <v>86.2</v>
      </c>
      <c r="K78" s="36">
        <v>147.0</v>
      </c>
      <c r="L78" s="36">
        <v>24.0</v>
      </c>
      <c r="M78" s="36">
        <v>93.0</v>
      </c>
      <c r="N78" s="36">
        <v>51.0</v>
      </c>
      <c r="O78" s="36">
        <v>17.0</v>
      </c>
      <c r="P78" s="36">
        <v>43.0</v>
      </c>
      <c r="Q78" s="36">
        <v>0.26</v>
      </c>
      <c r="R78" s="36">
        <v>0.93</v>
      </c>
      <c r="S78" s="36">
        <v>2.58</v>
      </c>
      <c r="T78" s="36">
        <v>3.51</v>
      </c>
      <c r="U78" s="49">
        <f t="shared" si="1"/>
        <v>3510</v>
      </c>
      <c r="V78" s="21">
        <f t="shared" si="2"/>
        <v>62500</v>
      </c>
    </row>
    <row r="79" ht="14.25" customHeight="1">
      <c r="A79" s="38">
        <v>0.3284722222222222</v>
      </c>
      <c r="B79" s="36">
        <v>171.0</v>
      </c>
      <c r="C79" s="36">
        <v>19.1</v>
      </c>
      <c r="D79" s="36">
        <v>1278.0</v>
      </c>
      <c r="E79" s="36">
        <v>1204.0</v>
      </c>
      <c r="F79" s="36">
        <v>0.94</v>
      </c>
      <c r="G79" s="36">
        <v>18.0</v>
      </c>
      <c r="H79" s="36">
        <v>1.46</v>
      </c>
      <c r="I79" s="36">
        <v>27.0</v>
      </c>
      <c r="J79" s="36">
        <v>85.6</v>
      </c>
      <c r="K79" s="36">
        <v>148.0</v>
      </c>
      <c r="L79" s="36">
        <v>23.6</v>
      </c>
      <c r="M79" s="36">
        <v>93.0</v>
      </c>
      <c r="N79" s="36">
        <v>52.0</v>
      </c>
      <c r="O79" s="36">
        <v>18.0</v>
      </c>
      <c r="P79" s="36">
        <v>46.0</v>
      </c>
      <c r="Q79" s="36">
        <v>0.25</v>
      </c>
      <c r="R79" s="36">
        <v>0.81</v>
      </c>
      <c r="S79" s="36">
        <v>2.44</v>
      </c>
      <c r="T79" s="36">
        <v>3.26</v>
      </c>
      <c r="U79" s="49">
        <f t="shared" si="1"/>
        <v>3260</v>
      </c>
      <c r="V79" s="21">
        <f t="shared" si="2"/>
        <v>6400</v>
      </c>
    </row>
    <row r="80" ht="14.25" customHeight="1">
      <c r="A80" s="38">
        <v>0.33125</v>
      </c>
      <c r="B80" s="36">
        <v>172.0</v>
      </c>
      <c r="C80" s="36">
        <v>20.7</v>
      </c>
      <c r="D80" s="36">
        <v>1387.0</v>
      </c>
      <c r="E80" s="36">
        <v>1293.0</v>
      </c>
      <c r="F80" s="36">
        <v>0.93</v>
      </c>
      <c r="G80" s="36">
        <v>18.0</v>
      </c>
      <c r="H80" s="36">
        <v>1.6</v>
      </c>
      <c r="I80" s="36">
        <v>28.7</v>
      </c>
      <c r="J80" s="36">
        <v>84.6</v>
      </c>
      <c r="K80" s="36">
        <v>148.0</v>
      </c>
      <c r="L80" s="36">
        <v>23.5</v>
      </c>
      <c r="M80" s="36">
        <v>92.0</v>
      </c>
      <c r="N80" s="36">
        <v>52.0</v>
      </c>
      <c r="O80" s="36">
        <v>18.0</v>
      </c>
      <c r="P80" s="36">
        <v>50.0</v>
      </c>
      <c r="Q80" s="36">
        <v>0.23</v>
      </c>
      <c r="R80" s="36">
        <v>0.78</v>
      </c>
      <c r="S80" s="36">
        <v>2.57</v>
      </c>
      <c r="T80" s="36">
        <v>3.34</v>
      </c>
      <c r="U80" s="49">
        <f t="shared" si="1"/>
        <v>3340</v>
      </c>
      <c r="V80" s="21">
        <f t="shared" si="2"/>
        <v>4900</v>
      </c>
    </row>
    <row r="81" ht="14.25" customHeight="1">
      <c r="A81" s="38">
        <v>0.3333333333333333</v>
      </c>
      <c r="B81" s="36">
        <v>175.0</v>
      </c>
      <c r="C81" s="36">
        <v>24.2</v>
      </c>
      <c r="D81" s="36">
        <v>1624.0</v>
      </c>
      <c r="E81" s="36">
        <v>1528.0</v>
      </c>
      <c r="F81" s="36">
        <v>0.94</v>
      </c>
      <c r="G81" s="36">
        <v>18.0</v>
      </c>
      <c r="H81" s="36">
        <v>1.86</v>
      </c>
      <c r="I81" s="36">
        <v>34.2</v>
      </c>
      <c r="J81" s="36">
        <v>81.7</v>
      </c>
      <c r="K81" s="36">
        <v>148.0</v>
      </c>
      <c r="L81" s="36">
        <v>23.5</v>
      </c>
      <c r="M81" s="36">
        <v>93.0</v>
      </c>
      <c r="N81" s="36">
        <v>51.0</v>
      </c>
      <c r="O81" s="36">
        <v>18.0</v>
      </c>
      <c r="P81" s="36">
        <v>59.0</v>
      </c>
      <c r="Q81" s="36">
        <v>0.26</v>
      </c>
      <c r="R81" s="36">
        <v>0.84</v>
      </c>
      <c r="S81" s="36">
        <v>2.43</v>
      </c>
      <c r="T81" s="36">
        <v>3.27</v>
      </c>
      <c r="U81" s="49">
        <f t="shared" si="1"/>
        <v>3270</v>
      </c>
      <c r="V81" s="21">
        <f t="shared" si="2"/>
        <v>40000</v>
      </c>
    </row>
    <row r="82" ht="14.25" customHeight="1">
      <c r="A82" s="38">
        <v>0.33541666666666664</v>
      </c>
      <c r="B82" s="36">
        <v>176.0</v>
      </c>
      <c r="C82" s="36">
        <v>25.6</v>
      </c>
      <c r="D82" s="36">
        <v>1713.0</v>
      </c>
      <c r="E82" s="36">
        <v>1619.0</v>
      </c>
      <c r="F82" s="36">
        <v>0.95</v>
      </c>
      <c r="G82" s="36">
        <v>17.0</v>
      </c>
      <c r="H82" s="36">
        <v>2.09</v>
      </c>
      <c r="I82" s="36">
        <v>36.1</v>
      </c>
      <c r="J82" s="36">
        <v>80.7</v>
      </c>
      <c r="K82" s="36">
        <v>149.0</v>
      </c>
      <c r="L82" s="36">
        <v>23.1</v>
      </c>
      <c r="M82" s="36">
        <v>93.0</v>
      </c>
      <c r="N82" s="36">
        <v>51.0</v>
      </c>
      <c r="O82" s="36">
        <v>17.0</v>
      </c>
      <c r="P82" s="36">
        <v>62.0</v>
      </c>
      <c r="Q82" s="36">
        <v>0.28</v>
      </c>
      <c r="R82" s="36">
        <v>0.97</v>
      </c>
      <c r="S82" s="36">
        <v>2.5</v>
      </c>
      <c r="T82" s="36">
        <v>3.47</v>
      </c>
      <c r="U82" s="49">
        <f t="shared" si="1"/>
        <v>3470</v>
      </c>
      <c r="V82" s="21">
        <f t="shared" si="2"/>
        <v>22500</v>
      </c>
    </row>
    <row r="83" ht="14.25" customHeight="1">
      <c r="A83" s="38">
        <v>0.3375</v>
      </c>
      <c r="B83" s="36">
        <v>178.0</v>
      </c>
      <c r="C83" s="36">
        <v>25.4</v>
      </c>
      <c r="D83" s="36">
        <v>1703.0</v>
      </c>
      <c r="E83" s="36">
        <v>1628.0</v>
      </c>
      <c r="F83" s="36">
        <v>0.96</v>
      </c>
      <c r="G83" s="36">
        <v>18.0</v>
      </c>
      <c r="H83" s="36">
        <v>1.99</v>
      </c>
      <c r="I83" s="36">
        <v>36.0</v>
      </c>
      <c r="J83" s="36">
        <v>80.7</v>
      </c>
      <c r="K83" s="36">
        <v>151.0</v>
      </c>
      <c r="L83" s="36">
        <v>22.3</v>
      </c>
      <c r="M83" s="36">
        <v>94.0</v>
      </c>
      <c r="N83" s="36">
        <v>51.0</v>
      </c>
      <c r="O83" s="36">
        <v>18.0</v>
      </c>
      <c r="P83" s="36">
        <v>62.0</v>
      </c>
      <c r="Q83" s="36">
        <v>0.27</v>
      </c>
      <c r="R83" s="36">
        <v>0.9</v>
      </c>
      <c r="S83" s="36">
        <v>2.41</v>
      </c>
      <c r="T83" s="36">
        <v>3.32</v>
      </c>
      <c r="U83" s="49">
        <f t="shared" si="1"/>
        <v>3320</v>
      </c>
      <c r="V83" s="21">
        <f t="shared" si="2"/>
        <v>40000</v>
      </c>
    </row>
    <row r="84" ht="14.25" customHeight="1">
      <c r="A84" s="38">
        <v>0.34097222222222223</v>
      </c>
      <c r="B84" s="36">
        <v>180.0</v>
      </c>
      <c r="C84" s="36">
        <v>26.9</v>
      </c>
      <c r="D84" s="36">
        <v>1804.0</v>
      </c>
      <c r="E84" s="36">
        <v>1778.0</v>
      </c>
      <c r="F84" s="36">
        <v>0.99</v>
      </c>
      <c r="G84" s="36">
        <v>17.0</v>
      </c>
      <c r="H84" s="36">
        <v>2.3</v>
      </c>
      <c r="I84" s="36">
        <v>39.2</v>
      </c>
      <c r="J84" s="36">
        <v>79.0</v>
      </c>
      <c r="K84" s="36">
        <v>153.0</v>
      </c>
      <c r="L84" s="36">
        <v>21.3</v>
      </c>
      <c r="M84" s="36">
        <v>95.0</v>
      </c>
      <c r="N84" s="36">
        <v>51.0</v>
      </c>
      <c r="O84" s="36">
        <v>17.0</v>
      </c>
      <c r="P84" s="36">
        <v>66.0</v>
      </c>
      <c r="Q84" s="36">
        <v>0.31</v>
      </c>
      <c r="R84" s="36">
        <v>1.11</v>
      </c>
      <c r="S84" s="36">
        <v>2.41</v>
      </c>
      <c r="T84" s="36">
        <v>3.52</v>
      </c>
      <c r="U84" s="49">
        <f t="shared" si="1"/>
        <v>3520</v>
      </c>
      <c r="V84" s="21">
        <f t="shared" si="2"/>
        <v>100</v>
      </c>
    </row>
    <row r="85" ht="14.25" customHeight="1">
      <c r="A85" s="38">
        <v>0.34305555555555556</v>
      </c>
      <c r="B85" s="36">
        <v>181.0</v>
      </c>
      <c r="C85" s="36">
        <v>26.5</v>
      </c>
      <c r="D85" s="36">
        <v>1776.0</v>
      </c>
      <c r="E85" s="36">
        <v>1787.0</v>
      </c>
      <c r="F85" s="36">
        <v>1.01</v>
      </c>
      <c r="G85" s="36">
        <v>17.0</v>
      </c>
      <c r="H85" s="36">
        <v>2.33</v>
      </c>
      <c r="I85" s="36">
        <v>39.9</v>
      </c>
      <c r="J85" s="36">
        <v>78.7</v>
      </c>
      <c r="K85" s="36">
        <v>152.0</v>
      </c>
      <c r="L85" s="36">
        <v>21.7</v>
      </c>
      <c r="M85" s="36">
        <v>96.0</v>
      </c>
      <c r="N85" s="36">
        <v>50.0</v>
      </c>
      <c r="O85" s="36">
        <v>17.0</v>
      </c>
      <c r="P85" s="36">
        <v>65.0</v>
      </c>
      <c r="Q85" s="36">
        <v>0.32</v>
      </c>
      <c r="R85" s="36">
        <v>1.11</v>
      </c>
      <c r="S85" s="36">
        <v>2.4</v>
      </c>
      <c r="T85" s="36">
        <v>3.51</v>
      </c>
      <c r="U85" s="49">
        <f t="shared" si="1"/>
        <v>3510</v>
      </c>
      <c r="V85" s="21">
        <f t="shared" si="2"/>
        <v>0</v>
      </c>
    </row>
    <row r="86" ht="14.25" customHeight="1">
      <c r="A86" s="38">
        <v>0.3451388888888889</v>
      </c>
      <c r="B86" s="36">
        <v>183.0</v>
      </c>
      <c r="C86" s="36">
        <v>26.5</v>
      </c>
      <c r="D86" s="36">
        <v>1776.0</v>
      </c>
      <c r="E86" s="36">
        <v>1787.0</v>
      </c>
      <c r="F86" s="36">
        <v>1.01</v>
      </c>
      <c r="G86" s="36">
        <v>17.0</v>
      </c>
      <c r="H86" s="36">
        <v>2.33</v>
      </c>
      <c r="I86" s="36">
        <v>39.9</v>
      </c>
      <c r="J86" s="36">
        <v>78.7</v>
      </c>
      <c r="K86" s="36">
        <v>154.0</v>
      </c>
      <c r="L86" s="36">
        <v>20.5</v>
      </c>
      <c r="M86" s="36">
        <v>96.0</v>
      </c>
      <c r="N86" s="36">
        <v>50.0</v>
      </c>
      <c r="O86" s="36">
        <v>17.0</v>
      </c>
      <c r="P86" s="36">
        <v>65.0</v>
      </c>
      <c r="Q86" s="36">
        <v>0.32</v>
      </c>
      <c r="R86" s="36">
        <v>1.11</v>
      </c>
      <c r="S86" s="36">
        <v>2.4</v>
      </c>
      <c r="T86" s="36">
        <v>3.51</v>
      </c>
      <c r="U86" s="49">
        <f t="shared" si="1"/>
        <v>3510</v>
      </c>
      <c r="V86" s="21">
        <f t="shared" si="2"/>
        <v>19600</v>
      </c>
    </row>
    <row r="87" ht="14.25" customHeight="1">
      <c r="A87" s="38">
        <v>0.3472222222222222</v>
      </c>
      <c r="B87" s="36">
        <v>184.0</v>
      </c>
      <c r="C87" s="36">
        <v>25.6</v>
      </c>
      <c r="D87" s="36">
        <v>1715.0</v>
      </c>
      <c r="E87" s="36">
        <v>1770.0</v>
      </c>
      <c r="F87" s="36">
        <v>1.03</v>
      </c>
      <c r="G87" s="36">
        <v>18.0</v>
      </c>
      <c r="H87" s="36">
        <v>2.21</v>
      </c>
      <c r="I87" s="36">
        <v>39.4</v>
      </c>
      <c r="J87" s="36">
        <v>78.9</v>
      </c>
      <c r="K87" s="36">
        <v>154.0</v>
      </c>
      <c r="L87" s="36">
        <v>20.7</v>
      </c>
      <c r="M87" s="36">
        <v>98.0</v>
      </c>
      <c r="N87" s="36">
        <v>50.0</v>
      </c>
      <c r="O87" s="36">
        <v>18.0</v>
      </c>
      <c r="P87" s="36">
        <v>62.0</v>
      </c>
      <c r="Q87" s="36">
        <v>0.32</v>
      </c>
      <c r="R87" s="36">
        <v>1.09</v>
      </c>
      <c r="S87" s="36">
        <v>2.28</v>
      </c>
      <c r="T87" s="36">
        <v>3.37</v>
      </c>
      <c r="U87" s="49">
        <f t="shared" si="1"/>
        <v>3370</v>
      </c>
      <c r="V87" s="21">
        <f t="shared" si="2"/>
        <v>900</v>
      </c>
    </row>
    <row r="88" ht="14.25" customHeight="1">
      <c r="A88" s="38">
        <v>0.35</v>
      </c>
      <c r="B88" s="36">
        <v>186.0</v>
      </c>
      <c r="C88" s="36">
        <v>24.2</v>
      </c>
      <c r="D88" s="36">
        <v>1624.0</v>
      </c>
      <c r="E88" s="36">
        <v>1702.0</v>
      </c>
      <c r="F88" s="36">
        <v>1.05</v>
      </c>
      <c r="G88" s="36">
        <v>18.0</v>
      </c>
      <c r="H88" s="36">
        <v>2.12</v>
      </c>
      <c r="I88" s="36">
        <v>37.4</v>
      </c>
      <c r="J88" s="36">
        <v>80.0</v>
      </c>
      <c r="K88" s="36">
        <v>157.0</v>
      </c>
      <c r="L88" s="36">
        <v>19.0</v>
      </c>
      <c r="M88" s="36">
        <v>97.0</v>
      </c>
      <c r="N88" s="36">
        <v>51.0</v>
      </c>
      <c r="O88" s="36">
        <v>18.0</v>
      </c>
      <c r="P88" s="36">
        <v>59.0</v>
      </c>
      <c r="Q88" s="36">
        <v>0.32</v>
      </c>
      <c r="R88" s="36">
        <v>1.1</v>
      </c>
      <c r="S88" s="36">
        <v>2.3</v>
      </c>
      <c r="T88" s="36">
        <v>3.4</v>
      </c>
      <c r="U88" s="49">
        <f t="shared" si="1"/>
        <v>3400</v>
      </c>
      <c r="V88" s="21">
        <f t="shared" si="2"/>
        <v>10000</v>
      </c>
    </row>
    <row r="89" ht="14.25" customHeight="1">
      <c r="A89" s="38">
        <v>0.35138888888888886</v>
      </c>
      <c r="B89" s="36">
        <v>187.0</v>
      </c>
      <c r="C89" s="36">
        <v>24.2</v>
      </c>
      <c r="D89" s="36">
        <v>1619.0</v>
      </c>
      <c r="E89" s="36">
        <v>1689.0</v>
      </c>
      <c r="F89" s="36">
        <v>1.04</v>
      </c>
      <c r="G89" s="36">
        <v>18.0</v>
      </c>
      <c r="H89" s="36">
        <v>2.02</v>
      </c>
      <c r="I89" s="36">
        <v>36.8</v>
      </c>
      <c r="J89" s="36">
        <v>80.3</v>
      </c>
      <c r="K89" s="36">
        <v>160.0</v>
      </c>
      <c r="L89" s="36">
        <v>17.5</v>
      </c>
      <c r="M89" s="36">
        <v>96.0</v>
      </c>
      <c r="N89" s="36">
        <v>52.0</v>
      </c>
      <c r="O89" s="36">
        <v>18.0</v>
      </c>
      <c r="P89" s="36">
        <v>59.0</v>
      </c>
      <c r="Q89" s="36">
        <v>0.34</v>
      </c>
      <c r="R89" s="36">
        <v>1.12</v>
      </c>
      <c r="S89" s="36">
        <v>2.18</v>
      </c>
      <c r="T89" s="36">
        <v>3.3</v>
      </c>
      <c r="U89" s="49">
        <f t="shared" si="1"/>
        <v>3300</v>
      </c>
      <c r="V89" s="21">
        <f t="shared" si="2"/>
        <v>144400</v>
      </c>
    </row>
    <row r="90" ht="14.25" customHeight="1">
      <c r="A90" s="38">
        <v>0.35347222222222224</v>
      </c>
      <c r="B90" s="36">
        <v>189.0</v>
      </c>
      <c r="C90" s="36">
        <v>24.3</v>
      </c>
      <c r="D90" s="36">
        <v>1625.0</v>
      </c>
      <c r="E90" s="36">
        <v>1670.0</v>
      </c>
      <c r="F90" s="36">
        <v>1.03</v>
      </c>
      <c r="G90" s="36">
        <v>21.0</v>
      </c>
      <c r="H90" s="36">
        <v>1.74</v>
      </c>
      <c r="I90" s="36">
        <v>35.8</v>
      </c>
      <c r="J90" s="36">
        <v>80.8</v>
      </c>
      <c r="K90" s="36">
        <v>160.0</v>
      </c>
      <c r="L90" s="36">
        <v>17.5</v>
      </c>
      <c r="M90" s="36">
        <v>96.0</v>
      </c>
      <c r="N90" s="36">
        <v>52.0</v>
      </c>
      <c r="O90" s="36">
        <v>21.0</v>
      </c>
      <c r="P90" s="36">
        <v>59.0</v>
      </c>
      <c r="Q90" s="36">
        <v>0.31</v>
      </c>
      <c r="R90" s="36">
        <v>0.91</v>
      </c>
      <c r="S90" s="36">
        <v>2.0</v>
      </c>
      <c r="T90" s="36">
        <v>2.92</v>
      </c>
      <c r="U90" s="49">
        <f t="shared" si="1"/>
        <v>2920</v>
      </c>
      <c r="V90" s="21">
        <f t="shared" si="2"/>
        <v>400</v>
      </c>
    </row>
    <row r="91" ht="14.25" customHeight="1">
      <c r="A91" s="38">
        <v>0.35555555555555557</v>
      </c>
      <c r="B91" s="36">
        <v>191.0</v>
      </c>
      <c r="C91" s="36">
        <v>23.9</v>
      </c>
      <c r="D91" s="36">
        <v>1602.0</v>
      </c>
      <c r="E91" s="36">
        <v>1645.0</v>
      </c>
      <c r="F91" s="36">
        <v>1.03</v>
      </c>
      <c r="G91" s="36">
        <v>21.0</v>
      </c>
      <c r="H91" s="36">
        <v>1.7</v>
      </c>
      <c r="I91" s="36">
        <v>35.2</v>
      </c>
      <c r="J91" s="36">
        <v>81.1</v>
      </c>
      <c r="K91" s="36">
        <v>161.0</v>
      </c>
      <c r="L91" s="36">
        <v>17.1</v>
      </c>
      <c r="M91" s="36">
        <v>95.0</v>
      </c>
      <c r="N91" s="36">
        <v>52.0</v>
      </c>
      <c r="O91" s="36">
        <v>21.0</v>
      </c>
      <c r="P91" s="36">
        <v>58.0</v>
      </c>
      <c r="Q91" s="36">
        <v>0.31</v>
      </c>
      <c r="R91" s="36">
        <v>0.91</v>
      </c>
      <c r="S91" s="36">
        <v>1.98</v>
      </c>
      <c r="T91" s="36">
        <v>2.9</v>
      </c>
      <c r="U91" s="49">
        <f t="shared" si="1"/>
        <v>2900</v>
      </c>
      <c r="V91" s="21">
        <f t="shared" si="2"/>
        <v>10000</v>
      </c>
    </row>
    <row r="92" ht="14.25" customHeight="1">
      <c r="A92" s="38">
        <v>0.35694444444444445</v>
      </c>
      <c r="B92" s="36">
        <v>191.0</v>
      </c>
      <c r="C92" s="36">
        <v>24.1</v>
      </c>
      <c r="D92" s="36">
        <v>1614.0</v>
      </c>
      <c r="E92" s="36">
        <v>1635.0</v>
      </c>
      <c r="F92" s="36">
        <v>1.01</v>
      </c>
      <c r="G92" s="36">
        <v>21.0</v>
      </c>
      <c r="H92" s="36">
        <v>1.62</v>
      </c>
      <c r="I92" s="36">
        <v>34.7</v>
      </c>
      <c r="J92" s="36">
        <v>81.4</v>
      </c>
      <c r="K92" s="36">
        <v>161.0</v>
      </c>
      <c r="L92" s="36">
        <v>16.9</v>
      </c>
      <c r="M92" s="36">
        <v>94.0</v>
      </c>
      <c r="N92" s="36">
        <v>53.0</v>
      </c>
      <c r="O92" s="36">
        <v>21.0</v>
      </c>
      <c r="P92" s="36">
        <v>59.0</v>
      </c>
      <c r="Q92" s="36">
        <v>0.32</v>
      </c>
      <c r="R92" s="36">
        <v>0.9</v>
      </c>
      <c r="S92" s="36">
        <v>1.9</v>
      </c>
      <c r="T92" s="36">
        <v>2.8</v>
      </c>
      <c r="U92" s="49">
        <f t="shared" si="1"/>
        <v>2800</v>
      </c>
      <c r="V92" s="21">
        <f t="shared" si="2"/>
        <v>900</v>
      </c>
    </row>
    <row r="93" ht="14.25" customHeight="1">
      <c r="A93" s="38">
        <v>0.35833333333333334</v>
      </c>
      <c r="B93" s="36">
        <v>193.0</v>
      </c>
      <c r="C93" s="36">
        <v>24.9</v>
      </c>
      <c r="D93" s="36">
        <v>1666.0</v>
      </c>
      <c r="E93" s="36">
        <v>1675.0</v>
      </c>
      <c r="F93" s="36">
        <v>1.01</v>
      </c>
      <c r="G93" s="36">
        <v>22.0</v>
      </c>
      <c r="H93" s="36">
        <v>1.64</v>
      </c>
      <c r="I93" s="36">
        <v>35.4</v>
      </c>
      <c r="J93" s="36">
        <v>81.0</v>
      </c>
      <c r="K93" s="36">
        <v>162.0</v>
      </c>
      <c r="L93" s="36">
        <v>16.7</v>
      </c>
      <c r="M93" s="36">
        <v>94.0</v>
      </c>
      <c r="N93" s="36">
        <v>53.0</v>
      </c>
      <c r="O93" s="36">
        <v>22.0</v>
      </c>
      <c r="P93" s="36">
        <v>61.0</v>
      </c>
      <c r="Q93" s="36">
        <v>0.33</v>
      </c>
      <c r="R93" s="36">
        <v>0.9</v>
      </c>
      <c r="S93" s="36">
        <v>1.87</v>
      </c>
      <c r="T93" s="36">
        <v>2.77</v>
      </c>
      <c r="U93" s="49">
        <f t="shared" si="1"/>
        <v>2770</v>
      </c>
      <c r="V93" s="21">
        <f t="shared" si="2"/>
        <v>44100</v>
      </c>
    </row>
    <row r="94" ht="14.25" customHeight="1">
      <c r="A94" s="38">
        <v>0.36041666666666666</v>
      </c>
      <c r="B94" s="36">
        <v>194.0</v>
      </c>
      <c r="C94" s="36">
        <v>25.8</v>
      </c>
      <c r="D94" s="36">
        <v>1728.0</v>
      </c>
      <c r="E94" s="36">
        <v>1729.0</v>
      </c>
      <c r="F94" s="36">
        <v>1.0</v>
      </c>
      <c r="G94" s="36">
        <v>23.0</v>
      </c>
      <c r="H94" s="36">
        <v>1.59</v>
      </c>
      <c r="I94" s="36">
        <v>37.2</v>
      </c>
      <c r="J94" s="36">
        <v>80.1</v>
      </c>
      <c r="K94" s="36">
        <v>163.0</v>
      </c>
      <c r="L94" s="36">
        <v>16.2</v>
      </c>
      <c r="M94" s="36">
        <v>95.0</v>
      </c>
      <c r="N94" s="36">
        <v>52.0</v>
      </c>
      <c r="O94" s="36">
        <v>23.0</v>
      </c>
      <c r="P94" s="36">
        <v>63.0</v>
      </c>
      <c r="Q94" s="36">
        <v>0.33</v>
      </c>
      <c r="R94" s="36">
        <v>0.85</v>
      </c>
      <c r="S94" s="36">
        <v>1.72</v>
      </c>
      <c r="T94" s="36">
        <v>2.56</v>
      </c>
      <c r="U94" s="49">
        <f t="shared" si="1"/>
        <v>2560</v>
      </c>
      <c r="V94" s="8">
        <v>0.0</v>
      </c>
    </row>
    <row r="95" ht="14.25" customHeight="1">
      <c r="A95" s="36" t="s">
        <v>80</v>
      </c>
      <c r="U95" s="49">
        <f t="shared" si="1"/>
        <v>0</v>
      </c>
    </row>
    <row r="96" ht="14.25" customHeight="1">
      <c r="A96" s="38">
        <v>0.3625</v>
      </c>
      <c r="B96" s="36">
        <v>195.0</v>
      </c>
      <c r="C96" s="36">
        <v>26.8</v>
      </c>
      <c r="D96" s="36">
        <v>1799.0</v>
      </c>
      <c r="E96" s="36">
        <v>1809.0</v>
      </c>
      <c r="F96" s="36">
        <v>1.01</v>
      </c>
      <c r="G96" s="36">
        <v>23.0</v>
      </c>
      <c r="H96" s="36">
        <v>1.68</v>
      </c>
      <c r="I96" s="36">
        <v>39.2</v>
      </c>
      <c r="J96" s="36">
        <v>79.0</v>
      </c>
      <c r="K96" s="36">
        <v>163.0</v>
      </c>
      <c r="L96" s="36">
        <v>16.0</v>
      </c>
      <c r="M96" s="36">
        <v>95.0</v>
      </c>
      <c r="N96" s="36">
        <v>52.0</v>
      </c>
      <c r="O96" s="36">
        <v>23.0</v>
      </c>
      <c r="P96" s="36">
        <v>65.0</v>
      </c>
      <c r="Q96" s="36">
        <v>0.33</v>
      </c>
      <c r="R96" s="36">
        <v>0.86</v>
      </c>
      <c r="S96" s="36">
        <v>1.71</v>
      </c>
      <c r="T96" s="36">
        <v>2.57</v>
      </c>
      <c r="U96" s="49">
        <f t="shared" si="1"/>
        <v>2570</v>
      </c>
      <c r="V96" s="21">
        <f t="shared" ref="V96:V112" si="3">(U96-U97)^2</f>
        <v>400</v>
      </c>
      <c r="W96" s="8">
        <f>SQRT(AVERAGE(V96:V113))</f>
        <v>102.9293177</v>
      </c>
    </row>
    <row r="97" ht="14.25" customHeight="1">
      <c r="A97" s="38">
        <v>0.3638888888888889</v>
      </c>
      <c r="B97" s="36">
        <v>197.0</v>
      </c>
      <c r="C97" s="36">
        <v>27.1</v>
      </c>
      <c r="D97" s="36">
        <v>1816.0</v>
      </c>
      <c r="E97" s="36">
        <v>1849.0</v>
      </c>
      <c r="F97" s="36">
        <v>1.02</v>
      </c>
      <c r="G97" s="36">
        <v>24.0</v>
      </c>
      <c r="H97" s="36">
        <v>1.74</v>
      </c>
      <c r="I97" s="36">
        <v>41.0</v>
      </c>
      <c r="J97" s="36">
        <v>78.1</v>
      </c>
      <c r="K97" s="36">
        <v>164.0</v>
      </c>
      <c r="L97" s="36">
        <v>15.5</v>
      </c>
      <c r="M97" s="36">
        <v>97.0</v>
      </c>
      <c r="N97" s="36">
        <v>51.0</v>
      </c>
      <c r="O97" s="36">
        <v>24.0</v>
      </c>
      <c r="P97" s="36">
        <v>66.0</v>
      </c>
      <c r="Q97" s="36">
        <v>0.32</v>
      </c>
      <c r="R97" s="36">
        <v>0.82</v>
      </c>
      <c r="S97" s="36">
        <v>1.73</v>
      </c>
      <c r="T97" s="36">
        <v>2.55</v>
      </c>
      <c r="U97" s="49">
        <f t="shared" si="1"/>
        <v>2550</v>
      </c>
      <c r="V97" s="21">
        <f t="shared" si="3"/>
        <v>1600</v>
      </c>
    </row>
    <row r="98" ht="14.25" customHeight="1">
      <c r="A98" s="38">
        <v>0.3659722222222222</v>
      </c>
      <c r="B98" s="36">
        <v>198.0</v>
      </c>
      <c r="C98" s="36">
        <v>27.5</v>
      </c>
      <c r="D98" s="36">
        <v>1845.0</v>
      </c>
      <c r="E98" s="36">
        <v>1901.0</v>
      </c>
      <c r="F98" s="36">
        <v>1.03</v>
      </c>
      <c r="G98" s="36">
        <v>24.0</v>
      </c>
      <c r="H98" s="36">
        <v>1.78</v>
      </c>
      <c r="I98" s="36">
        <v>42.4</v>
      </c>
      <c r="J98" s="36">
        <v>77.3</v>
      </c>
      <c r="K98" s="36">
        <v>164.0</v>
      </c>
      <c r="L98" s="36">
        <v>15.5</v>
      </c>
      <c r="M98" s="36">
        <v>98.0</v>
      </c>
      <c r="N98" s="36">
        <v>51.0</v>
      </c>
      <c r="O98" s="36">
        <v>24.0</v>
      </c>
      <c r="P98" s="36">
        <v>67.0</v>
      </c>
      <c r="Q98" s="36">
        <v>0.33</v>
      </c>
      <c r="R98" s="36">
        <v>0.82</v>
      </c>
      <c r="S98" s="36">
        <v>1.69</v>
      </c>
      <c r="T98" s="36">
        <v>2.51</v>
      </c>
      <c r="U98" s="49">
        <f t="shared" si="1"/>
        <v>2510</v>
      </c>
      <c r="V98" s="21">
        <f t="shared" si="3"/>
        <v>14400</v>
      </c>
    </row>
    <row r="99" ht="14.25" customHeight="1">
      <c r="A99" s="38">
        <v>0.3680555555555556</v>
      </c>
      <c r="B99" s="36">
        <v>199.0</v>
      </c>
      <c r="C99" s="36">
        <v>28.2</v>
      </c>
      <c r="D99" s="36">
        <v>1890.0</v>
      </c>
      <c r="E99" s="36">
        <v>1979.0</v>
      </c>
      <c r="F99" s="36">
        <v>1.05</v>
      </c>
      <c r="G99" s="36">
        <v>23.0</v>
      </c>
      <c r="H99" s="36">
        <v>1.92</v>
      </c>
      <c r="I99" s="36">
        <v>43.9</v>
      </c>
      <c r="J99" s="36">
        <v>76.5</v>
      </c>
      <c r="K99" s="36">
        <v>167.0</v>
      </c>
      <c r="L99" s="36">
        <v>14.1</v>
      </c>
      <c r="M99" s="36">
        <v>98.0</v>
      </c>
      <c r="N99" s="36">
        <v>51.0</v>
      </c>
      <c r="O99" s="36">
        <v>23.0</v>
      </c>
      <c r="P99" s="36">
        <v>69.0</v>
      </c>
      <c r="Q99" s="36">
        <v>0.32</v>
      </c>
      <c r="R99" s="36">
        <v>0.85</v>
      </c>
      <c r="S99" s="36">
        <v>1.78</v>
      </c>
      <c r="T99" s="36">
        <v>2.63</v>
      </c>
      <c r="U99" s="49">
        <f t="shared" si="1"/>
        <v>2630</v>
      </c>
      <c r="V99" s="21">
        <f t="shared" si="3"/>
        <v>2500</v>
      </c>
    </row>
    <row r="100" ht="14.25" customHeight="1">
      <c r="A100" s="38">
        <v>0.3701388888888889</v>
      </c>
      <c r="B100" s="36">
        <v>201.0</v>
      </c>
      <c r="C100" s="36">
        <v>28.8</v>
      </c>
      <c r="D100" s="36">
        <v>1927.0</v>
      </c>
      <c r="E100" s="36">
        <v>2030.0</v>
      </c>
      <c r="F100" s="36">
        <v>1.05</v>
      </c>
      <c r="G100" s="36">
        <v>22.0</v>
      </c>
      <c r="H100" s="36">
        <v>2.02</v>
      </c>
      <c r="I100" s="36">
        <v>45.2</v>
      </c>
      <c r="J100" s="36">
        <v>75.8</v>
      </c>
      <c r="K100" s="36">
        <v>169.0</v>
      </c>
      <c r="L100" s="36">
        <v>13.1</v>
      </c>
      <c r="M100" s="36">
        <v>98.0</v>
      </c>
      <c r="N100" s="36">
        <v>51.0</v>
      </c>
      <c r="O100" s="36">
        <v>22.0</v>
      </c>
      <c r="P100" s="36">
        <v>70.0</v>
      </c>
      <c r="Q100" s="36">
        <v>0.32</v>
      </c>
      <c r="R100" s="36">
        <v>0.86</v>
      </c>
      <c r="S100" s="36">
        <v>1.82</v>
      </c>
      <c r="T100" s="36">
        <v>2.68</v>
      </c>
      <c r="U100" s="49">
        <f t="shared" si="1"/>
        <v>2680</v>
      </c>
      <c r="V100" s="21">
        <f t="shared" si="3"/>
        <v>0</v>
      </c>
    </row>
    <row r="101" ht="14.25" customHeight="1">
      <c r="A101" s="38">
        <v>0.3729166666666667</v>
      </c>
      <c r="B101" s="36">
        <v>203.0</v>
      </c>
      <c r="C101" s="36">
        <v>28.8</v>
      </c>
      <c r="D101" s="36">
        <v>1927.0</v>
      </c>
      <c r="E101" s="36">
        <v>2030.0</v>
      </c>
      <c r="F101" s="36">
        <v>1.05</v>
      </c>
      <c r="G101" s="36">
        <v>22.0</v>
      </c>
      <c r="H101" s="36">
        <v>2.02</v>
      </c>
      <c r="I101" s="36">
        <v>45.2</v>
      </c>
      <c r="J101" s="36">
        <v>75.8</v>
      </c>
      <c r="K101" s="36">
        <v>169.0</v>
      </c>
      <c r="L101" s="36">
        <v>12.9</v>
      </c>
      <c r="M101" s="36">
        <v>98.0</v>
      </c>
      <c r="N101" s="36">
        <v>51.0</v>
      </c>
      <c r="O101" s="36">
        <v>22.0</v>
      </c>
      <c r="P101" s="36">
        <v>70.0</v>
      </c>
      <c r="Q101" s="36">
        <v>0.32</v>
      </c>
      <c r="R101" s="36">
        <v>0.86</v>
      </c>
      <c r="S101" s="36">
        <v>1.82</v>
      </c>
      <c r="T101" s="36">
        <v>2.68</v>
      </c>
      <c r="U101" s="49">
        <f t="shared" si="1"/>
        <v>2680</v>
      </c>
      <c r="V101" s="21">
        <f t="shared" si="3"/>
        <v>28900</v>
      </c>
    </row>
    <row r="102" ht="14.25" customHeight="1">
      <c r="A102" s="38">
        <v>0.37430555555555556</v>
      </c>
      <c r="B102" s="36">
        <v>204.0</v>
      </c>
      <c r="C102" s="36">
        <v>28.8</v>
      </c>
      <c r="D102" s="36">
        <v>1930.0</v>
      </c>
      <c r="E102" s="36">
        <v>2068.0</v>
      </c>
      <c r="F102" s="36">
        <v>1.07</v>
      </c>
      <c r="G102" s="36">
        <v>21.0</v>
      </c>
      <c r="H102" s="36">
        <v>2.18</v>
      </c>
      <c r="I102" s="36">
        <v>45.9</v>
      </c>
      <c r="J102" s="36">
        <v>75.4</v>
      </c>
      <c r="K102" s="36">
        <v>169.0</v>
      </c>
      <c r="L102" s="36">
        <v>12.9</v>
      </c>
      <c r="M102" s="36">
        <v>99.0</v>
      </c>
      <c r="N102" s="36">
        <v>51.0</v>
      </c>
      <c r="O102" s="36">
        <v>21.0</v>
      </c>
      <c r="P102" s="36">
        <v>70.0</v>
      </c>
      <c r="Q102" s="36">
        <v>0.33</v>
      </c>
      <c r="R102" s="36">
        <v>0.95</v>
      </c>
      <c r="S102" s="36">
        <v>1.9</v>
      </c>
      <c r="T102" s="36">
        <v>2.85</v>
      </c>
      <c r="U102" s="49">
        <f t="shared" si="1"/>
        <v>2850</v>
      </c>
      <c r="V102" s="21">
        <f t="shared" si="3"/>
        <v>2500</v>
      </c>
    </row>
    <row r="103" ht="14.25" customHeight="1">
      <c r="A103" s="38">
        <v>0.3763888888888889</v>
      </c>
      <c r="B103" s="36">
        <v>205.0</v>
      </c>
      <c r="C103" s="36">
        <v>28.2</v>
      </c>
      <c r="D103" s="36">
        <v>1887.0</v>
      </c>
      <c r="E103" s="36">
        <v>2047.0</v>
      </c>
      <c r="F103" s="36">
        <v>1.08</v>
      </c>
      <c r="G103" s="36">
        <v>21.0</v>
      </c>
      <c r="H103" s="36">
        <v>2.13</v>
      </c>
      <c r="I103" s="36">
        <v>45.7</v>
      </c>
      <c r="J103" s="36">
        <v>75.5</v>
      </c>
      <c r="K103" s="36">
        <v>169.0</v>
      </c>
      <c r="L103" s="36">
        <v>12.9</v>
      </c>
      <c r="M103" s="36">
        <v>100.0</v>
      </c>
      <c r="N103" s="36">
        <v>51.0</v>
      </c>
      <c r="O103" s="36">
        <v>21.0</v>
      </c>
      <c r="P103" s="36">
        <v>69.0</v>
      </c>
      <c r="Q103" s="36">
        <v>0.32</v>
      </c>
      <c r="R103" s="36">
        <v>0.89</v>
      </c>
      <c r="S103" s="36">
        <v>1.91</v>
      </c>
      <c r="T103" s="36">
        <v>2.8</v>
      </c>
      <c r="U103" s="49">
        <f t="shared" si="1"/>
        <v>2800</v>
      </c>
      <c r="V103" s="21">
        <f t="shared" si="3"/>
        <v>8100</v>
      </c>
    </row>
    <row r="104" ht="14.25" customHeight="1">
      <c r="A104" s="38">
        <v>0.37777777777777777</v>
      </c>
      <c r="B104" s="36">
        <v>206.0</v>
      </c>
      <c r="C104" s="36">
        <v>28.8</v>
      </c>
      <c r="D104" s="36">
        <v>1927.0</v>
      </c>
      <c r="E104" s="36">
        <v>2112.0</v>
      </c>
      <c r="F104" s="36">
        <v>1.1</v>
      </c>
      <c r="G104" s="36">
        <v>22.0</v>
      </c>
      <c r="H104" s="36">
        <v>2.12</v>
      </c>
      <c r="I104" s="36">
        <v>46.9</v>
      </c>
      <c r="J104" s="36">
        <v>74.9</v>
      </c>
      <c r="K104" s="36">
        <v>169.0</v>
      </c>
      <c r="L104" s="36">
        <v>12.9</v>
      </c>
      <c r="M104" s="36">
        <v>100.0</v>
      </c>
      <c r="N104" s="36">
        <v>51.0</v>
      </c>
      <c r="O104" s="36">
        <v>22.0</v>
      </c>
      <c r="P104" s="36">
        <v>70.0</v>
      </c>
      <c r="Q104" s="36">
        <v>0.32</v>
      </c>
      <c r="R104" s="36">
        <v>0.88</v>
      </c>
      <c r="S104" s="36">
        <v>1.84</v>
      </c>
      <c r="T104" s="36">
        <v>2.71</v>
      </c>
      <c r="U104" s="49">
        <f t="shared" si="1"/>
        <v>2710</v>
      </c>
      <c r="V104" s="21">
        <f t="shared" si="3"/>
        <v>16900</v>
      </c>
    </row>
    <row r="105" ht="14.25" customHeight="1">
      <c r="A105" s="38">
        <v>0.3798611111111111</v>
      </c>
      <c r="B105" s="36">
        <v>208.0</v>
      </c>
      <c r="C105" s="36">
        <v>28.8</v>
      </c>
      <c r="D105" s="36">
        <v>1930.0</v>
      </c>
      <c r="E105" s="36">
        <v>2146.0</v>
      </c>
      <c r="F105" s="36">
        <v>1.11</v>
      </c>
      <c r="G105" s="36">
        <v>21.0</v>
      </c>
      <c r="H105" s="36">
        <v>2.27</v>
      </c>
      <c r="I105" s="36">
        <v>48.0</v>
      </c>
      <c r="J105" s="36">
        <v>74.3</v>
      </c>
      <c r="K105" s="36">
        <v>169.0</v>
      </c>
      <c r="L105" s="36">
        <v>12.9</v>
      </c>
      <c r="M105" s="36">
        <v>101.0</v>
      </c>
      <c r="N105" s="36">
        <v>51.0</v>
      </c>
      <c r="O105" s="36">
        <v>21.0</v>
      </c>
      <c r="P105" s="36">
        <v>70.0</v>
      </c>
      <c r="Q105" s="36">
        <v>0.33</v>
      </c>
      <c r="R105" s="36">
        <v>0.92</v>
      </c>
      <c r="S105" s="36">
        <v>1.92</v>
      </c>
      <c r="T105" s="36">
        <v>2.84</v>
      </c>
      <c r="U105" s="49">
        <f t="shared" si="1"/>
        <v>2840</v>
      </c>
      <c r="V105" s="21">
        <f t="shared" si="3"/>
        <v>19600</v>
      </c>
    </row>
    <row r="106" ht="14.25" customHeight="1">
      <c r="A106" s="38">
        <v>0.38125</v>
      </c>
      <c r="B106" s="36">
        <v>209.0</v>
      </c>
      <c r="C106" s="36">
        <v>29.8</v>
      </c>
      <c r="D106" s="36">
        <v>1997.0</v>
      </c>
      <c r="E106" s="36">
        <v>2235.0</v>
      </c>
      <c r="F106" s="36">
        <v>1.12</v>
      </c>
      <c r="G106" s="36">
        <v>22.0</v>
      </c>
      <c r="H106" s="36">
        <v>2.28</v>
      </c>
      <c r="I106" s="36">
        <v>50.5</v>
      </c>
      <c r="J106" s="36">
        <v>73.0</v>
      </c>
      <c r="K106" s="36">
        <v>170.0</v>
      </c>
      <c r="L106" s="36">
        <v>12.4</v>
      </c>
      <c r="M106" s="36">
        <v>101.0</v>
      </c>
      <c r="N106" s="36">
        <v>51.0</v>
      </c>
      <c r="O106" s="36">
        <v>22.0</v>
      </c>
      <c r="P106" s="36">
        <v>73.0</v>
      </c>
      <c r="Q106" s="36">
        <v>0.32</v>
      </c>
      <c r="R106" s="36">
        <v>0.88</v>
      </c>
      <c r="S106" s="36">
        <v>1.83</v>
      </c>
      <c r="T106" s="36">
        <v>2.7</v>
      </c>
      <c r="U106" s="49">
        <f t="shared" si="1"/>
        <v>2700</v>
      </c>
      <c r="V106" s="21">
        <f t="shared" si="3"/>
        <v>57600</v>
      </c>
    </row>
    <row r="107" ht="14.25" customHeight="1">
      <c r="A107" s="38">
        <v>0.38263888888888886</v>
      </c>
      <c r="B107" s="36">
        <v>210.0</v>
      </c>
      <c r="C107" s="36">
        <v>29.9</v>
      </c>
      <c r="D107" s="36">
        <v>2006.0</v>
      </c>
      <c r="E107" s="36">
        <v>2267.0</v>
      </c>
      <c r="F107" s="36">
        <v>1.13</v>
      </c>
      <c r="G107" s="36">
        <v>24.0</v>
      </c>
      <c r="H107" s="36">
        <v>2.12</v>
      </c>
      <c r="I107" s="36">
        <v>51.7</v>
      </c>
      <c r="J107" s="36">
        <v>72.3</v>
      </c>
      <c r="K107" s="36">
        <v>170.0</v>
      </c>
      <c r="L107" s="36">
        <v>12.4</v>
      </c>
      <c r="M107" s="36">
        <v>101.0</v>
      </c>
      <c r="N107" s="36">
        <v>51.0</v>
      </c>
      <c r="O107" s="36">
        <v>24.0</v>
      </c>
      <c r="P107" s="36">
        <v>73.0</v>
      </c>
      <c r="Q107" s="36">
        <v>0.31</v>
      </c>
      <c r="R107" s="36">
        <v>0.76</v>
      </c>
      <c r="S107" s="36">
        <v>1.7</v>
      </c>
      <c r="T107" s="36">
        <v>2.46</v>
      </c>
      <c r="U107" s="49">
        <f t="shared" si="1"/>
        <v>2460</v>
      </c>
      <c r="V107" s="21">
        <f t="shared" si="3"/>
        <v>1600</v>
      </c>
    </row>
    <row r="108" ht="14.25" customHeight="1">
      <c r="A108" s="38">
        <v>0.38472222222222224</v>
      </c>
      <c r="B108" s="36">
        <v>211.0</v>
      </c>
      <c r="C108" s="36">
        <v>30.5</v>
      </c>
      <c r="D108" s="36">
        <v>2042.0</v>
      </c>
      <c r="E108" s="36">
        <v>2318.0</v>
      </c>
      <c r="F108" s="36">
        <v>1.14</v>
      </c>
      <c r="G108" s="36">
        <v>24.0</v>
      </c>
      <c r="H108" s="36">
        <v>2.17</v>
      </c>
      <c r="I108" s="36">
        <v>52.0</v>
      </c>
      <c r="J108" s="36">
        <v>72.2</v>
      </c>
      <c r="K108" s="36">
        <v>173.0</v>
      </c>
      <c r="L108" s="36">
        <v>10.9</v>
      </c>
      <c r="M108" s="36">
        <v>101.0</v>
      </c>
      <c r="N108" s="36">
        <v>51.0</v>
      </c>
      <c r="O108" s="36">
        <v>24.0</v>
      </c>
      <c r="P108" s="36">
        <v>74.0</v>
      </c>
      <c r="Q108" s="36">
        <v>0.32</v>
      </c>
      <c r="R108" s="36">
        <v>0.79</v>
      </c>
      <c r="S108" s="36">
        <v>1.71</v>
      </c>
      <c r="T108" s="36">
        <v>2.5</v>
      </c>
      <c r="U108" s="49">
        <f t="shared" si="1"/>
        <v>2500</v>
      </c>
      <c r="V108" s="21">
        <f t="shared" si="3"/>
        <v>32400</v>
      </c>
    </row>
    <row r="109" ht="14.25" customHeight="1">
      <c r="A109" s="38">
        <v>0.38680555555555557</v>
      </c>
      <c r="B109" s="36">
        <v>213.0</v>
      </c>
      <c r="C109" s="36">
        <v>30.3</v>
      </c>
      <c r="D109" s="36">
        <v>2027.0</v>
      </c>
      <c r="E109" s="36">
        <v>2323.0</v>
      </c>
      <c r="F109" s="36">
        <v>1.15</v>
      </c>
      <c r="G109" s="36">
        <v>22.0</v>
      </c>
      <c r="H109" s="36">
        <v>2.31</v>
      </c>
      <c r="I109" s="36">
        <v>51.8</v>
      </c>
      <c r="J109" s="36">
        <v>72.3</v>
      </c>
      <c r="K109" s="36">
        <v>173.0</v>
      </c>
      <c r="L109" s="36">
        <v>10.9</v>
      </c>
      <c r="M109" s="36">
        <v>101.0</v>
      </c>
      <c r="N109" s="36">
        <v>51.0</v>
      </c>
      <c r="O109" s="36">
        <v>22.0</v>
      </c>
      <c r="P109" s="36">
        <v>74.0</v>
      </c>
      <c r="Q109" s="36">
        <v>0.34</v>
      </c>
      <c r="R109" s="36">
        <v>0.9</v>
      </c>
      <c r="S109" s="36">
        <v>1.77</v>
      </c>
      <c r="T109" s="36">
        <v>2.68</v>
      </c>
      <c r="U109" s="49">
        <f t="shared" si="1"/>
        <v>2680</v>
      </c>
      <c r="V109" s="21">
        <f t="shared" si="3"/>
        <v>0</v>
      </c>
    </row>
    <row r="110" ht="14.25" customHeight="1">
      <c r="A110" s="38">
        <v>0.3888888888888889</v>
      </c>
      <c r="B110" s="36">
        <v>214.0</v>
      </c>
      <c r="C110" s="36">
        <v>30.3</v>
      </c>
      <c r="D110" s="36">
        <v>2027.0</v>
      </c>
      <c r="E110" s="36">
        <v>2323.0</v>
      </c>
      <c r="F110" s="36">
        <v>1.15</v>
      </c>
      <c r="G110" s="36">
        <v>22.0</v>
      </c>
      <c r="H110" s="36">
        <v>2.31</v>
      </c>
      <c r="I110" s="36">
        <v>51.8</v>
      </c>
      <c r="J110" s="36">
        <v>72.3</v>
      </c>
      <c r="K110" s="36">
        <v>173.0</v>
      </c>
      <c r="L110" s="36">
        <v>10.6</v>
      </c>
      <c r="M110" s="36">
        <v>101.0</v>
      </c>
      <c r="N110" s="36">
        <v>51.0</v>
      </c>
      <c r="O110" s="36">
        <v>22.0</v>
      </c>
      <c r="P110" s="36">
        <v>74.0</v>
      </c>
      <c r="Q110" s="36">
        <v>0.34</v>
      </c>
      <c r="R110" s="36">
        <v>0.9</v>
      </c>
      <c r="S110" s="36">
        <v>1.77</v>
      </c>
      <c r="T110" s="36">
        <v>2.68</v>
      </c>
      <c r="U110" s="49">
        <f t="shared" si="1"/>
        <v>2680</v>
      </c>
      <c r="V110" s="21">
        <f t="shared" si="3"/>
        <v>2500</v>
      </c>
    </row>
    <row r="111" ht="14.25" customHeight="1">
      <c r="A111" s="38">
        <v>0.3902777777777778</v>
      </c>
      <c r="B111" s="36">
        <v>215.0</v>
      </c>
      <c r="C111" s="36">
        <v>30.0</v>
      </c>
      <c r="D111" s="36">
        <v>2007.0</v>
      </c>
      <c r="E111" s="36">
        <v>2309.0</v>
      </c>
      <c r="F111" s="36">
        <v>1.15</v>
      </c>
      <c r="G111" s="36">
        <v>22.0</v>
      </c>
      <c r="H111" s="36">
        <v>2.31</v>
      </c>
      <c r="I111" s="36">
        <v>50.8</v>
      </c>
      <c r="J111" s="36">
        <v>72.8</v>
      </c>
      <c r="K111" s="36">
        <v>174.0</v>
      </c>
      <c r="L111" s="36">
        <v>10.4</v>
      </c>
      <c r="M111" s="36">
        <v>101.0</v>
      </c>
      <c r="N111" s="36">
        <v>51.0</v>
      </c>
      <c r="O111" s="36">
        <v>22.0</v>
      </c>
      <c r="P111" s="36">
        <v>73.0</v>
      </c>
      <c r="Q111" s="36">
        <v>0.35</v>
      </c>
      <c r="R111" s="36">
        <v>0.95</v>
      </c>
      <c r="S111" s="36">
        <v>1.78</v>
      </c>
      <c r="T111" s="36">
        <v>2.73</v>
      </c>
      <c r="U111" s="49">
        <f t="shared" si="1"/>
        <v>2730</v>
      </c>
      <c r="V111" s="21">
        <f t="shared" si="3"/>
        <v>100</v>
      </c>
    </row>
    <row r="112" ht="14.25" customHeight="1">
      <c r="A112" s="38">
        <v>0.3923611111111111</v>
      </c>
      <c r="B112" s="36">
        <v>217.0</v>
      </c>
      <c r="C112" s="36">
        <v>30.8</v>
      </c>
      <c r="D112" s="36">
        <v>2066.0</v>
      </c>
      <c r="E112" s="36">
        <v>2383.0</v>
      </c>
      <c r="F112" s="36">
        <v>1.15</v>
      </c>
      <c r="G112" s="36">
        <v>22.0</v>
      </c>
      <c r="H112" s="36">
        <v>2.35</v>
      </c>
      <c r="I112" s="36">
        <v>51.8</v>
      </c>
      <c r="J112" s="36">
        <v>72.2</v>
      </c>
      <c r="K112" s="36">
        <v>174.0</v>
      </c>
      <c r="L112" s="36">
        <v>10.4</v>
      </c>
      <c r="M112" s="36">
        <v>101.0</v>
      </c>
      <c r="N112" s="36">
        <v>52.0</v>
      </c>
      <c r="O112" s="36">
        <v>22.0</v>
      </c>
      <c r="P112" s="36">
        <v>75.0</v>
      </c>
      <c r="Q112" s="36">
        <v>0.36</v>
      </c>
      <c r="R112" s="36">
        <v>0.98</v>
      </c>
      <c r="S112" s="36">
        <v>1.74</v>
      </c>
      <c r="T112" s="36">
        <v>2.72</v>
      </c>
      <c r="U112" s="49">
        <f t="shared" si="1"/>
        <v>2720</v>
      </c>
      <c r="V112" s="21">
        <f t="shared" si="3"/>
        <v>1600</v>
      </c>
    </row>
    <row r="113" ht="14.25" customHeight="1">
      <c r="A113" s="38">
        <v>0.3951388888888889</v>
      </c>
      <c r="B113" s="36">
        <v>219.0</v>
      </c>
      <c r="C113" s="36">
        <v>29.5</v>
      </c>
      <c r="D113" s="36">
        <v>1977.0</v>
      </c>
      <c r="E113" s="36">
        <v>2282.0</v>
      </c>
      <c r="F113" s="36">
        <v>1.15</v>
      </c>
      <c r="G113" s="36">
        <v>22.0</v>
      </c>
      <c r="H113" s="36">
        <v>2.2</v>
      </c>
      <c r="I113" s="36">
        <v>49.3</v>
      </c>
      <c r="J113" s="36">
        <v>73.6</v>
      </c>
      <c r="K113" s="36">
        <v>174.0</v>
      </c>
      <c r="L113" s="36">
        <v>10.4</v>
      </c>
      <c r="M113" s="36">
        <v>101.0</v>
      </c>
      <c r="N113" s="36">
        <v>52.0</v>
      </c>
      <c r="O113" s="36">
        <v>22.0</v>
      </c>
      <c r="P113" s="36">
        <v>72.0</v>
      </c>
      <c r="Q113" s="36">
        <v>0.35</v>
      </c>
      <c r="R113" s="36">
        <v>0.94</v>
      </c>
      <c r="S113" s="36">
        <v>1.74</v>
      </c>
      <c r="T113" s="36">
        <v>2.68</v>
      </c>
      <c r="U113" s="49">
        <f t="shared" si="1"/>
        <v>2680</v>
      </c>
      <c r="V113" s="8">
        <v>0.0</v>
      </c>
    </row>
    <row r="114" ht="14.25" customHeight="1">
      <c r="A114" s="36" t="s">
        <v>81</v>
      </c>
      <c r="U114" s="49">
        <f t="shared" si="1"/>
        <v>0</v>
      </c>
    </row>
    <row r="115" ht="14.25" customHeight="1">
      <c r="A115" s="38">
        <v>0.39652777777777776</v>
      </c>
      <c r="B115" s="36">
        <v>219.0</v>
      </c>
      <c r="C115" s="36">
        <v>30.1</v>
      </c>
      <c r="D115" s="36">
        <v>2015.0</v>
      </c>
      <c r="E115" s="36">
        <v>2329.0</v>
      </c>
      <c r="F115" s="36">
        <v>1.16</v>
      </c>
      <c r="G115" s="36">
        <v>21.0</v>
      </c>
      <c r="H115" s="36">
        <v>2.37</v>
      </c>
      <c r="I115" s="36">
        <v>50.1</v>
      </c>
      <c r="J115" s="36">
        <v>73.2</v>
      </c>
      <c r="K115" s="36">
        <v>174.0</v>
      </c>
      <c r="L115" s="36">
        <v>10.1</v>
      </c>
      <c r="M115" s="36">
        <v>101.0</v>
      </c>
      <c r="N115" s="36">
        <v>52.0</v>
      </c>
      <c r="O115" s="36">
        <v>21.0</v>
      </c>
      <c r="P115" s="36">
        <v>73.0</v>
      </c>
      <c r="Q115" s="36">
        <v>0.37</v>
      </c>
      <c r="R115" s="36">
        <v>1.04</v>
      </c>
      <c r="S115" s="36">
        <v>1.8</v>
      </c>
      <c r="T115" s="36">
        <v>2.83</v>
      </c>
      <c r="U115" s="49">
        <f t="shared" si="1"/>
        <v>2830</v>
      </c>
      <c r="V115" s="21">
        <f t="shared" ref="V115:V119" si="4">(U115-U116)^2</f>
        <v>1600</v>
      </c>
      <c r="W115" s="8">
        <f>SQRT(AVERAGE(V115:V259))</f>
        <v>39.95189415</v>
      </c>
    </row>
    <row r="116" ht="14.25" customHeight="1">
      <c r="A116" s="38">
        <v>0.39861111111111114</v>
      </c>
      <c r="B116" s="36">
        <v>221.0</v>
      </c>
      <c r="C116" s="36">
        <v>30.8</v>
      </c>
      <c r="D116" s="36">
        <v>2062.0</v>
      </c>
      <c r="E116" s="36">
        <v>2393.0</v>
      </c>
      <c r="F116" s="36">
        <v>1.16</v>
      </c>
      <c r="G116" s="36">
        <v>21.0</v>
      </c>
      <c r="H116" s="36">
        <v>2.41</v>
      </c>
      <c r="I116" s="36">
        <v>51.8</v>
      </c>
      <c r="J116" s="36">
        <v>72.2</v>
      </c>
      <c r="K116" s="36">
        <v>175.0</v>
      </c>
      <c r="L116" s="36">
        <v>9.8</v>
      </c>
      <c r="M116" s="36">
        <v>101.0</v>
      </c>
      <c r="N116" s="36">
        <v>52.0</v>
      </c>
      <c r="O116" s="36">
        <v>21.0</v>
      </c>
      <c r="P116" s="36">
        <v>75.0</v>
      </c>
      <c r="Q116" s="36">
        <v>0.36</v>
      </c>
      <c r="R116" s="36">
        <v>1.0</v>
      </c>
      <c r="S116" s="36">
        <v>1.79</v>
      </c>
      <c r="T116" s="36">
        <v>2.79</v>
      </c>
      <c r="U116" s="49">
        <f t="shared" si="1"/>
        <v>2790</v>
      </c>
      <c r="V116" s="21">
        <f t="shared" si="4"/>
        <v>16900</v>
      </c>
    </row>
    <row r="117" ht="14.25" customHeight="1">
      <c r="A117" s="38">
        <v>0.4</v>
      </c>
      <c r="B117" s="36">
        <v>222.0</v>
      </c>
      <c r="C117" s="36">
        <v>30.1</v>
      </c>
      <c r="D117" s="36">
        <v>2015.0</v>
      </c>
      <c r="E117" s="36">
        <v>2346.0</v>
      </c>
      <c r="F117" s="36">
        <v>1.16</v>
      </c>
      <c r="G117" s="36">
        <v>23.0</v>
      </c>
      <c r="H117" s="36">
        <v>2.26</v>
      </c>
      <c r="I117" s="36">
        <v>50.9</v>
      </c>
      <c r="J117" s="36">
        <v>72.7</v>
      </c>
      <c r="K117" s="36">
        <v>175.0</v>
      </c>
      <c r="L117" s="36">
        <v>9.8</v>
      </c>
      <c r="M117" s="36">
        <v>101.0</v>
      </c>
      <c r="N117" s="36">
        <v>52.0</v>
      </c>
      <c r="O117" s="36">
        <v>23.0</v>
      </c>
      <c r="P117" s="36">
        <v>73.0</v>
      </c>
      <c r="Q117" s="36">
        <v>0.35</v>
      </c>
      <c r="R117" s="36">
        <v>0.92</v>
      </c>
      <c r="S117" s="36">
        <v>1.74</v>
      </c>
      <c r="T117" s="36">
        <v>2.66</v>
      </c>
      <c r="U117" s="49">
        <f t="shared" si="1"/>
        <v>2660</v>
      </c>
      <c r="V117" s="21">
        <f t="shared" si="4"/>
        <v>2500</v>
      </c>
    </row>
    <row r="118" ht="14.25" customHeight="1">
      <c r="A118" s="38">
        <v>0.4013888888888889</v>
      </c>
      <c r="B118" s="36">
        <v>223.0</v>
      </c>
      <c r="C118" s="36">
        <v>31.9</v>
      </c>
      <c r="D118" s="36">
        <v>2140.0</v>
      </c>
      <c r="E118" s="36">
        <v>2494.0</v>
      </c>
      <c r="F118" s="36">
        <v>1.17</v>
      </c>
      <c r="G118" s="36">
        <v>23.0</v>
      </c>
      <c r="H118" s="36">
        <v>2.38</v>
      </c>
      <c r="I118" s="36">
        <v>54.6</v>
      </c>
      <c r="J118" s="36">
        <v>70.8</v>
      </c>
      <c r="K118" s="36">
        <v>175.0</v>
      </c>
      <c r="L118" s="36">
        <v>9.6</v>
      </c>
      <c r="M118" s="36">
        <v>102.0</v>
      </c>
      <c r="N118" s="36">
        <v>51.0</v>
      </c>
      <c r="O118" s="36">
        <v>23.0</v>
      </c>
      <c r="P118" s="36">
        <v>78.0</v>
      </c>
      <c r="Q118" s="36">
        <v>0.35</v>
      </c>
      <c r="R118" s="36">
        <v>0.92</v>
      </c>
      <c r="S118" s="36">
        <v>1.69</v>
      </c>
      <c r="T118" s="36">
        <v>2.61</v>
      </c>
      <c r="U118" s="49">
        <f t="shared" si="1"/>
        <v>2610</v>
      </c>
      <c r="V118" s="21">
        <f t="shared" si="4"/>
        <v>3600</v>
      </c>
    </row>
    <row r="119" ht="14.25" customHeight="1">
      <c r="A119" s="38">
        <v>0.40347222222222223</v>
      </c>
      <c r="B119" s="36">
        <v>225.0</v>
      </c>
      <c r="C119" s="36">
        <v>32.5</v>
      </c>
      <c r="D119" s="36">
        <v>2175.0</v>
      </c>
      <c r="E119" s="36">
        <v>2563.0</v>
      </c>
      <c r="F119" s="36">
        <v>1.18</v>
      </c>
      <c r="G119" s="36">
        <v>22.0</v>
      </c>
      <c r="H119" s="36">
        <v>2.53</v>
      </c>
      <c r="I119" s="36">
        <v>56.9</v>
      </c>
      <c r="J119" s="36">
        <v>69.5</v>
      </c>
      <c r="K119" s="36">
        <v>176.0</v>
      </c>
      <c r="L119" s="36">
        <v>9.1</v>
      </c>
      <c r="M119" s="36">
        <v>102.0</v>
      </c>
      <c r="N119" s="36">
        <v>51.0</v>
      </c>
      <c r="O119" s="36">
        <v>22.0</v>
      </c>
      <c r="P119" s="36">
        <v>79.0</v>
      </c>
      <c r="Q119" s="36">
        <v>0.36</v>
      </c>
      <c r="R119" s="36">
        <v>0.95</v>
      </c>
      <c r="S119" s="36">
        <v>1.71</v>
      </c>
      <c r="T119" s="36">
        <v>2.67</v>
      </c>
      <c r="U119" s="49">
        <f t="shared" si="1"/>
        <v>2670</v>
      </c>
      <c r="V119" s="21">
        <f t="shared" si="4"/>
        <v>16900</v>
      </c>
    </row>
    <row r="120" ht="14.25" customHeight="1">
      <c r="A120" s="38">
        <v>0.40555555555555556</v>
      </c>
      <c r="B120" s="36">
        <v>227.0</v>
      </c>
      <c r="C120" s="36">
        <v>31.6</v>
      </c>
      <c r="D120" s="36">
        <v>2119.0</v>
      </c>
      <c r="E120" s="36">
        <v>2522.0</v>
      </c>
      <c r="F120" s="36">
        <v>1.19</v>
      </c>
      <c r="G120" s="36">
        <v>24.0</v>
      </c>
      <c r="H120" s="36">
        <v>2.39</v>
      </c>
      <c r="I120" s="36">
        <v>56.4</v>
      </c>
      <c r="J120" s="36">
        <v>69.8</v>
      </c>
      <c r="K120" s="36">
        <v>177.0</v>
      </c>
      <c r="L120" s="36">
        <v>8.5</v>
      </c>
      <c r="M120" s="36">
        <v>102.0</v>
      </c>
      <c r="N120" s="36">
        <v>51.0</v>
      </c>
      <c r="O120" s="36">
        <v>24.0</v>
      </c>
      <c r="P120" s="36">
        <v>77.0</v>
      </c>
      <c r="Q120" s="36">
        <v>0.34</v>
      </c>
      <c r="R120" s="36">
        <v>0.88</v>
      </c>
      <c r="S120" s="36">
        <v>1.67</v>
      </c>
      <c r="T120" s="36">
        <v>2.54</v>
      </c>
      <c r="U120" s="49">
        <f t="shared" si="1"/>
        <v>2540</v>
      </c>
      <c r="V120" s="8">
        <v>0.0</v>
      </c>
    </row>
    <row r="121" ht="14.25" customHeight="1">
      <c r="A121" s="36" t="s">
        <v>82</v>
      </c>
      <c r="U121" s="49">
        <f t="shared" si="1"/>
        <v>0</v>
      </c>
      <c r="V121" s="8">
        <v>0.0</v>
      </c>
    </row>
    <row r="122" ht="14.25" customHeight="1">
      <c r="A122" s="38">
        <v>0.40694444444444444</v>
      </c>
      <c r="B122" s="36">
        <v>227.0</v>
      </c>
      <c r="C122" s="36">
        <v>33.1</v>
      </c>
      <c r="D122" s="36">
        <v>2220.0</v>
      </c>
      <c r="E122" s="36">
        <v>2642.0</v>
      </c>
      <c r="F122" s="36">
        <v>1.19</v>
      </c>
      <c r="G122" s="36">
        <v>24.0</v>
      </c>
      <c r="H122" s="36">
        <v>2.47</v>
      </c>
      <c r="I122" s="36">
        <v>58.7</v>
      </c>
      <c r="J122" s="36">
        <v>68.6</v>
      </c>
      <c r="K122" s="36">
        <v>179.0</v>
      </c>
      <c r="L122" s="36">
        <v>8.0</v>
      </c>
      <c r="M122" s="36">
        <v>102.0</v>
      </c>
      <c r="N122" s="36">
        <v>51.0</v>
      </c>
      <c r="O122" s="36">
        <v>24.0</v>
      </c>
      <c r="P122" s="36">
        <v>81.0</v>
      </c>
      <c r="Q122" s="36">
        <v>0.35</v>
      </c>
      <c r="R122" s="36">
        <v>0.89</v>
      </c>
      <c r="S122" s="36">
        <v>1.64</v>
      </c>
      <c r="T122" s="36">
        <v>2.53</v>
      </c>
      <c r="U122" s="49">
        <f t="shared" si="1"/>
        <v>2530</v>
      </c>
      <c r="V122" s="8">
        <v>0.0</v>
      </c>
    </row>
    <row r="123" ht="14.25" customHeight="1">
      <c r="A123" s="38">
        <v>0.40902777777777777</v>
      </c>
      <c r="B123" s="36">
        <v>229.0</v>
      </c>
      <c r="C123" s="36">
        <v>33.0</v>
      </c>
      <c r="D123" s="36">
        <v>2208.0</v>
      </c>
      <c r="E123" s="36">
        <v>2651.0</v>
      </c>
      <c r="F123" s="36">
        <v>1.2</v>
      </c>
      <c r="G123" s="36">
        <v>24.0</v>
      </c>
      <c r="H123" s="36">
        <v>2.48</v>
      </c>
      <c r="I123" s="36">
        <v>59.4</v>
      </c>
      <c r="J123" s="36">
        <v>68.2</v>
      </c>
      <c r="K123" s="36">
        <v>179.0</v>
      </c>
      <c r="L123" s="36">
        <v>7.7</v>
      </c>
      <c r="M123" s="36">
        <v>103.0</v>
      </c>
      <c r="N123" s="36">
        <v>51.0</v>
      </c>
      <c r="O123" s="36">
        <v>24.0</v>
      </c>
      <c r="P123" s="36">
        <v>80.0</v>
      </c>
      <c r="Q123" s="36">
        <v>0.35</v>
      </c>
      <c r="R123" s="36">
        <v>0.87</v>
      </c>
      <c r="S123" s="36">
        <v>1.64</v>
      </c>
      <c r="T123" s="36">
        <v>2.5</v>
      </c>
      <c r="U123" s="49">
        <f t="shared" si="1"/>
        <v>2500</v>
      </c>
      <c r="V123" s="8">
        <v>0.0</v>
      </c>
    </row>
    <row r="124" ht="14.25" customHeight="1">
      <c r="A124" s="36" t="s">
        <v>88</v>
      </c>
      <c r="U124" s="49"/>
    </row>
    <row r="125" ht="14.25" customHeight="1">
      <c r="U125" s="49"/>
    </row>
    <row r="126" ht="14.25" customHeight="1">
      <c r="U126" s="49"/>
      <c r="W126" s="8"/>
    </row>
    <row r="127" ht="14.25" customHeight="1">
      <c r="U127" s="49"/>
      <c r="W127" s="8"/>
    </row>
    <row r="128" ht="14.25" customHeight="1">
      <c r="U128" s="49"/>
    </row>
    <row r="129" ht="14.25" customHeight="1">
      <c r="U129" s="49"/>
    </row>
    <row r="130" ht="14.25" customHeight="1">
      <c r="U130" s="49"/>
    </row>
    <row r="131" ht="14.25" customHeight="1">
      <c r="U131" s="49"/>
    </row>
    <row r="132" ht="14.25" customHeight="1">
      <c r="U132" s="49"/>
    </row>
    <row r="133" ht="14.25" customHeight="1">
      <c r="U133" s="49"/>
    </row>
    <row r="134" ht="14.25" customHeight="1">
      <c r="U134" s="49"/>
    </row>
    <row r="135" ht="14.25" customHeight="1">
      <c r="U135" s="49"/>
    </row>
    <row r="136" ht="14.25" customHeight="1">
      <c r="U136" s="49"/>
    </row>
    <row r="137" ht="14.25" customHeight="1">
      <c r="U137" s="49"/>
    </row>
    <row r="138" ht="14.25" customHeight="1">
      <c r="U138" s="49"/>
    </row>
    <row r="139" ht="14.25" customHeight="1">
      <c r="U139" s="49"/>
    </row>
    <row r="140" ht="14.25" customHeight="1">
      <c r="U140" s="49"/>
    </row>
    <row r="141" ht="14.25" customHeight="1">
      <c r="U141" s="49"/>
    </row>
    <row r="142" ht="14.25" customHeight="1">
      <c r="U142" s="49"/>
    </row>
    <row r="143" ht="14.25" customHeight="1">
      <c r="U143" s="49"/>
    </row>
    <row r="144" ht="14.25" customHeight="1">
      <c r="U144" s="49"/>
    </row>
    <row r="145" ht="14.25" customHeight="1">
      <c r="U145" s="49"/>
    </row>
    <row r="146" ht="14.25" customHeight="1">
      <c r="U146" s="49"/>
    </row>
    <row r="147" ht="14.25" customHeight="1">
      <c r="U147" s="49"/>
    </row>
    <row r="148" ht="14.25" customHeight="1">
      <c r="U148" s="49"/>
    </row>
    <row r="149" ht="14.25" customHeight="1">
      <c r="U149" s="49"/>
    </row>
    <row r="150" ht="14.25" customHeight="1">
      <c r="U150" s="49"/>
    </row>
    <row r="151" ht="14.25" customHeight="1">
      <c r="U151" s="49"/>
    </row>
    <row r="152" ht="14.25" customHeight="1">
      <c r="U152" s="49"/>
    </row>
    <row r="153" ht="14.25" customHeight="1">
      <c r="U153" s="49"/>
    </row>
    <row r="154" ht="14.25" customHeight="1">
      <c r="U154" s="49"/>
    </row>
    <row r="155" ht="14.25" customHeight="1">
      <c r="U155" s="49"/>
    </row>
    <row r="156" ht="14.25" customHeight="1">
      <c r="U156" s="49"/>
    </row>
    <row r="157" ht="14.25" customHeight="1">
      <c r="U157" s="49"/>
    </row>
    <row r="158" ht="14.25" customHeight="1">
      <c r="U158" s="49"/>
    </row>
    <row r="159" ht="14.25" customHeight="1">
      <c r="U159" s="49"/>
    </row>
    <row r="160" ht="14.25" customHeight="1">
      <c r="U160" s="49"/>
    </row>
    <row r="161" ht="14.25" customHeight="1">
      <c r="U161" s="49"/>
    </row>
    <row r="162" ht="14.25" customHeight="1">
      <c r="U162" s="49"/>
    </row>
    <row r="163" ht="14.25" customHeight="1">
      <c r="U163" s="49"/>
    </row>
    <row r="164" ht="14.25" customHeight="1">
      <c r="U164" s="49"/>
    </row>
    <row r="165" ht="14.25" customHeight="1">
      <c r="U165" s="49"/>
    </row>
    <row r="166" ht="14.25" customHeight="1">
      <c r="U166" s="49"/>
    </row>
    <row r="167" ht="14.25" customHeight="1">
      <c r="U167" s="49"/>
    </row>
    <row r="168" ht="14.25" customHeight="1">
      <c r="U168" s="49"/>
      <c r="V168" s="8"/>
    </row>
    <row r="169" ht="14.25" customHeight="1">
      <c r="U169" s="48"/>
      <c r="V169" s="8"/>
    </row>
    <row r="170" ht="14.25" customHeight="1">
      <c r="U170" s="49"/>
    </row>
    <row r="171" ht="14.25" customHeight="1">
      <c r="U171" s="49"/>
    </row>
    <row r="172" ht="14.25" customHeight="1">
      <c r="U172" s="49"/>
    </row>
    <row r="173" ht="14.25" customHeight="1">
      <c r="U173" s="49"/>
      <c r="W173" s="8"/>
    </row>
    <row r="174" ht="14.25" customHeight="1">
      <c r="U174" s="49"/>
      <c r="W174" s="8"/>
    </row>
    <row r="175" ht="14.25" customHeight="1">
      <c r="U175" s="49"/>
      <c r="V175" s="8"/>
    </row>
    <row r="176" ht="14.25" customHeight="1">
      <c r="U176" s="48"/>
      <c r="V176" s="21">
        <f t="shared" ref="V176:V192" si="5">(U176-U177)^2</f>
        <v>0</v>
      </c>
    </row>
    <row r="177" ht="14.25" customHeight="1">
      <c r="U177" s="48"/>
      <c r="V177" s="21">
        <f t="shared" si="5"/>
        <v>0</v>
      </c>
    </row>
    <row r="178" ht="14.25" customHeight="1">
      <c r="U178" s="48"/>
      <c r="V178" s="21">
        <f t="shared" si="5"/>
        <v>0</v>
      </c>
    </row>
    <row r="179" ht="14.25" customHeight="1">
      <c r="U179" s="48"/>
      <c r="V179" s="21">
        <f t="shared" si="5"/>
        <v>0</v>
      </c>
    </row>
    <row r="180" ht="14.25" customHeight="1">
      <c r="U180" s="48"/>
      <c r="V180" s="21">
        <f t="shared" si="5"/>
        <v>0</v>
      </c>
      <c r="W180" s="8"/>
    </row>
    <row r="181" ht="14.25" customHeight="1">
      <c r="U181" s="48"/>
      <c r="V181" s="21">
        <f t="shared" si="5"/>
        <v>0</v>
      </c>
    </row>
    <row r="182" ht="14.25" customHeight="1">
      <c r="U182" s="48"/>
      <c r="V182" s="21">
        <f t="shared" si="5"/>
        <v>0</v>
      </c>
    </row>
    <row r="183" ht="14.25" customHeight="1">
      <c r="U183" s="48"/>
      <c r="V183" s="21">
        <f t="shared" si="5"/>
        <v>0</v>
      </c>
    </row>
    <row r="184" ht="14.25" customHeight="1">
      <c r="U184" s="48"/>
      <c r="V184" s="21">
        <f t="shared" si="5"/>
        <v>0</v>
      </c>
    </row>
    <row r="185" ht="14.25" customHeight="1">
      <c r="U185" s="48"/>
      <c r="V185" s="21">
        <f t="shared" si="5"/>
        <v>0</v>
      </c>
    </row>
    <row r="186" ht="14.25" customHeight="1">
      <c r="U186" s="48"/>
      <c r="V186" s="21">
        <f t="shared" si="5"/>
        <v>0</v>
      </c>
    </row>
    <row r="187" ht="14.25" customHeight="1">
      <c r="U187" s="48"/>
      <c r="V187" s="21">
        <f t="shared" si="5"/>
        <v>0</v>
      </c>
    </row>
    <row r="188" ht="14.25" customHeight="1">
      <c r="U188" s="48"/>
      <c r="V188" s="21">
        <f t="shared" si="5"/>
        <v>0</v>
      </c>
    </row>
    <row r="189" ht="14.25" customHeight="1">
      <c r="U189" s="48"/>
      <c r="V189" s="21">
        <f t="shared" si="5"/>
        <v>0</v>
      </c>
    </row>
    <row r="190" ht="14.25" customHeight="1">
      <c r="U190" s="48"/>
      <c r="V190" s="21">
        <f t="shared" si="5"/>
        <v>0</v>
      </c>
    </row>
    <row r="191" ht="14.25" customHeight="1">
      <c r="U191" s="48"/>
      <c r="V191" s="21">
        <f t="shared" si="5"/>
        <v>0</v>
      </c>
    </row>
    <row r="192" ht="14.25" customHeight="1">
      <c r="U192" s="48"/>
      <c r="V192" s="21">
        <f t="shared" si="5"/>
        <v>0</v>
      </c>
    </row>
    <row r="193" ht="14.25" customHeight="1">
      <c r="U193" s="48"/>
    </row>
    <row r="194" ht="14.25" customHeight="1">
      <c r="U194" s="48"/>
    </row>
    <row r="195" ht="14.25" customHeight="1">
      <c r="U195" s="48"/>
    </row>
    <row r="196" ht="14.25" customHeight="1">
      <c r="U196" s="48"/>
    </row>
    <row r="197" ht="14.25" customHeight="1">
      <c r="U197" s="48"/>
    </row>
    <row r="198" ht="14.25" customHeight="1">
      <c r="U198" s="48"/>
    </row>
    <row r="199" ht="14.25" customHeight="1">
      <c r="U199" s="48"/>
    </row>
    <row r="200" ht="14.25" customHeight="1">
      <c r="U200" s="48"/>
    </row>
    <row r="201" ht="14.25" customHeight="1">
      <c r="U201" s="48"/>
    </row>
    <row r="202" ht="14.25" customHeight="1">
      <c r="U202" s="48"/>
    </row>
    <row r="203" ht="14.25" customHeight="1">
      <c r="U203" s="48"/>
    </row>
    <row r="204" ht="14.25" customHeight="1">
      <c r="U204" s="48"/>
    </row>
    <row r="205" ht="14.25" customHeight="1">
      <c r="U205" s="48"/>
    </row>
    <row r="206" ht="14.25" customHeight="1">
      <c r="U206" s="48"/>
    </row>
    <row r="207" ht="14.25" customHeight="1">
      <c r="U207" s="48"/>
    </row>
    <row r="208" ht="14.25" customHeight="1">
      <c r="U208" s="48"/>
    </row>
    <row r="209" ht="14.25" customHeight="1">
      <c r="U209" s="48"/>
    </row>
    <row r="210" ht="14.25" customHeight="1">
      <c r="U210" s="48"/>
    </row>
    <row r="211" ht="14.25" customHeight="1">
      <c r="U211" s="48"/>
    </row>
    <row r="212" ht="14.25" customHeight="1">
      <c r="U212" s="48"/>
    </row>
    <row r="213" ht="14.25" customHeight="1">
      <c r="U213" s="48"/>
    </row>
    <row r="214" ht="14.25" customHeight="1">
      <c r="U214" s="48"/>
    </row>
    <row r="215" ht="14.25" customHeight="1">
      <c r="U215" s="48"/>
    </row>
    <row r="216" ht="14.25" customHeight="1">
      <c r="U216" s="48"/>
    </row>
    <row r="217" ht="14.25" customHeight="1">
      <c r="U217" s="48"/>
    </row>
    <row r="218" ht="14.25" customHeight="1">
      <c r="U218" s="48"/>
    </row>
    <row r="219" ht="14.25" customHeight="1">
      <c r="U219" s="48"/>
    </row>
    <row r="220" ht="14.25" customHeight="1">
      <c r="U220" s="48"/>
    </row>
    <row r="221" ht="14.25" customHeight="1">
      <c r="U221" s="48"/>
    </row>
    <row r="222" ht="14.25" customHeight="1">
      <c r="U222" s="48"/>
    </row>
    <row r="223" ht="14.25" customHeight="1">
      <c r="U223" s="48"/>
    </row>
    <row r="224" ht="14.25" customHeight="1">
      <c r="U224" s="48"/>
    </row>
    <row r="225" ht="14.25" customHeight="1">
      <c r="U225" s="48"/>
    </row>
    <row r="226" ht="14.25" customHeight="1">
      <c r="U226" s="48"/>
    </row>
    <row r="227" ht="14.25" customHeight="1">
      <c r="U227" s="48"/>
    </row>
    <row r="228" ht="14.25" customHeight="1">
      <c r="U228" s="48"/>
    </row>
    <row r="229" ht="14.25" customHeight="1">
      <c r="U229" s="48"/>
    </row>
    <row r="230" ht="14.25" customHeight="1">
      <c r="U230" s="48"/>
    </row>
    <row r="231" ht="14.25" customHeight="1">
      <c r="U231" s="48"/>
    </row>
    <row r="232" ht="14.25" customHeight="1">
      <c r="U232" s="48"/>
    </row>
    <row r="233" ht="14.25" customHeight="1">
      <c r="U233" s="48"/>
    </row>
    <row r="234" ht="14.25" customHeight="1">
      <c r="U234" s="48"/>
    </row>
    <row r="235" ht="14.25" customHeight="1">
      <c r="U235" s="48"/>
    </row>
    <row r="236" ht="14.25" customHeight="1">
      <c r="U236" s="48"/>
    </row>
    <row r="237" ht="14.25" customHeight="1">
      <c r="U237" s="48"/>
    </row>
    <row r="238" ht="14.25" customHeight="1">
      <c r="U238" s="48"/>
    </row>
    <row r="239" ht="14.25" customHeight="1">
      <c r="U239" s="48"/>
    </row>
    <row r="240" ht="14.25" customHeight="1">
      <c r="U240" s="48"/>
    </row>
    <row r="241" ht="14.25" customHeight="1">
      <c r="U241" s="48"/>
    </row>
    <row r="242" ht="14.25" customHeight="1">
      <c r="U242" s="48"/>
    </row>
    <row r="243" ht="14.25" customHeight="1">
      <c r="U243" s="48"/>
    </row>
    <row r="244" ht="14.25" customHeight="1">
      <c r="U244" s="48"/>
    </row>
    <row r="245" ht="14.25" customHeight="1">
      <c r="U245" s="48"/>
    </row>
    <row r="246" ht="14.25" customHeight="1">
      <c r="U246" s="48"/>
    </row>
    <row r="247" ht="14.25" customHeight="1">
      <c r="U247" s="48"/>
    </row>
    <row r="248" ht="14.25" customHeight="1">
      <c r="U248" s="48"/>
    </row>
    <row r="249" ht="14.25" customHeight="1">
      <c r="U249" s="48"/>
    </row>
    <row r="250" ht="14.25" customHeight="1">
      <c r="U250" s="48"/>
    </row>
    <row r="251" ht="14.25" customHeight="1">
      <c r="U251" s="48"/>
    </row>
    <row r="252" ht="14.25" customHeight="1">
      <c r="U252" s="48"/>
    </row>
    <row r="253" ht="14.25" customHeight="1">
      <c r="U253" s="48"/>
    </row>
    <row r="254" ht="14.25" customHeight="1">
      <c r="U254" s="48"/>
    </row>
    <row r="255" ht="14.25" customHeight="1">
      <c r="U255" s="48"/>
    </row>
    <row r="256" ht="14.25" customHeight="1">
      <c r="U256" s="48"/>
    </row>
    <row r="257" ht="14.25" customHeight="1">
      <c r="U257" s="48"/>
    </row>
    <row r="258" ht="14.25" customHeight="1">
      <c r="U258" s="48"/>
    </row>
    <row r="259" ht="14.25" customHeight="1">
      <c r="U259" s="48"/>
    </row>
    <row r="260" ht="14.25" customHeight="1">
      <c r="U260" s="48"/>
    </row>
    <row r="261" ht="14.25" customHeight="1">
      <c r="U261" s="48"/>
    </row>
    <row r="262" ht="14.25" customHeight="1">
      <c r="U262" s="48"/>
    </row>
    <row r="263" ht="14.25" customHeight="1">
      <c r="U263" s="48"/>
    </row>
    <row r="264" ht="14.25" customHeight="1">
      <c r="U264" s="48"/>
    </row>
    <row r="265" ht="14.25" customHeight="1">
      <c r="U265" s="48"/>
    </row>
    <row r="266" ht="14.25" customHeight="1">
      <c r="U266" s="48"/>
    </row>
    <row r="267" ht="14.25" customHeight="1">
      <c r="U267" s="48"/>
    </row>
    <row r="268" ht="14.25" customHeight="1">
      <c r="U268" s="48"/>
    </row>
    <row r="269" ht="14.25" customHeight="1">
      <c r="U269" s="48"/>
    </row>
    <row r="270" ht="14.25" customHeight="1">
      <c r="U270" s="48"/>
    </row>
    <row r="271" ht="14.25" customHeight="1">
      <c r="U271" s="48"/>
    </row>
    <row r="272" ht="14.25" customHeight="1">
      <c r="U272" s="48"/>
    </row>
    <row r="273" ht="14.25" customHeight="1">
      <c r="U273" s="48"/>
    </row>
    <row r="274" ht="14.25" customHeight="1">
      <c r="U274" s="48"/>
    </row>
    <row r="275" ht="14.25" customHeight="1">
      <c r="U275" s="48"/>
    </row>
    <row r="276" ht="14.25" customHeight="1">
      <c r="U276" s="48"/>
    </row>
    <row r="277" ht="14.25" customHeight="1">
      <c r="U277" s="48"/>
    </row>
    <row r="278" ht="14.25" customHeight="1">
      <c r="U278" s="48"/>
    </row>
    <row r="279" ht="14.25" customHeight="1">
      <c r="U279" s="48"/>
    </row>
    <row r="280" ht="14.25" customHeight="1">
      <c r="U280" s="48"/>
    </row>
    <row r="281" ht="14.25" customHeight="1">
      <c r="U281" s="48"/>
    </row>
    <row r="282" ht="14.25" customHeight="1">
      <c r="U282" s="48"/>
    </row>
    <row r="283" ht="14.25" customHeight="1">
      <c r="U283" s="48"/>
    </row>
    <row r="284" ht="14.25" customHeight="1">
      <c r="U284" s="48"/>
    </row>
    <row r="285" ht="14.25" customHeight="1">
      <c r="U285" s="48"/>
    </row>
    <row r="286" ht="14.25" customHeight="1">
      <c r="U286" s="48"/>
    </row>
    <row r="287" ht="14.25" customHeight="1">
      <c r="U287" s="48"/>
    </row>
    <row r="288" ht="14.25" customHeight="1">
      <c r="U288" s="48"/>
    </row>
    <row r="289" ht="14.25" customHeight="1">
      <c r="U289" s="48"/>
    </row>
    <row r="290" ht="14.25" customHeight="1">
      <c r="U290" s="48"/>
    </row>
    <row r="291" ht="14.25" customHeight="1">
      <c r="U291" s="48"/>
    </row>
    <row r="292" ht="14.25" customHeight="1">
      <c r="U292" s="48"/>
    </row>
    <row r="293" ht="14.25" customHeight="1">
      <c r="U293" s="48"/>
    </row>
    <row r="294" ht="14.25" customHeight="1">
      <c r="U294" s="48"/>
    </row>
    <row r="295" ht="14.25" customHeight="1">
      <c r="U295" s="48"/>
    </row>
    <row r="296" ht="14.25" customHeight="1">
      <c r="U296" s="48"/>
    </row>
    <row r="297" ht="14.25" customHeight="1">
      <c r="U297" s="48"/>
    </row>
    <row r="298" ht="14.25" customHeight="1">
      <c r="U298" s="48"/>
    </row>
    <row r="299" ht="14.25" customHeight="1">
      <c r="U299" s="48"/>
    </row>
    <row r="300" ht="14.25" customHeight="1">
      <c r="U300" s="48"/>
    </row>
    <row r="301" ht="14.25" customHeight="1">
      <c r="U301" s="48"/>
    </row>
    <row r="302" ht="14.25" customHeight="1">
      <c r="U302" s="48"/>
    </row>
    <row r="303" ht="14.25" customHeight="1">
      <c r="U303" s="48"/>
    </row>
    <row r="304" ht="14.25" customHeight="1">
      <c r="U304" s="48"/>
    </row>
    <row r="305" ht="14.25" customHeight="1">
      <c r="U305" s="48"/>
    </row>
    <row r="306" ht="14.25" customHeight="1">
      <c r="U306" s="48"/>
    </row>
    <row r="307" ht="14.25" customHeight="1">
      <c r="U307" s="48"/>
    </row>
    <row r="308" ht="14.25" customHeight="1">
      <c r="U308" s="48"/>
    </row>
    <row r="309" ht="14.25" customHeight="1">
      <c r="U309" s="48"/>
    </row>
    <row r="310" ht="14.25" customHeight="1">
      <c r="U310" s="48"/>
    </row>
    <row r="311" ht="14.25" customHeight="1">
      <c r="U311" s="48"/>
    </row>
    <row r="312" ht="14.25" customHeight="1">
      <c r="U312" s="48"/>
    </row>
    <row r="313" ht="14.25" customHeight="1">
      <c r="U313" s="48"/>
    </row>
    <row r="314" ht="14.25" customHeight="1">
      <c r="U314" s="48"/>
    </row>
    <row r="315" ht="14.25" customHeight="1">
      <c r="U315" s="48"/>
    </row>
    <row r="316" ht="14.25" customHeight="1">
      <c r="U316" s="48"/>
    </row>
    <row r="317" ht="14.25" customHeight="1">
      <c r="U317" s="48"/>
    </row>
    <row r="318" ht="14.25" customHeight="1">
      <c r="U318" s="48"/>
    </row>
    <row r="319" ht="14.25" customHeight="1">
      <c r="U319" s="48"/>
    </row>
    <row r="320" ht="14.25" customHeight="1">
      <c r="U320" s="48"/>
    </row>
    <row r="321" ht="14.25" customHeight="1">
      <c r="U321" s="48"/>
    </row>
    <row r="322" ht="14.25" customHeight="1">
      <c r="U322" s="48"/>
    </row>
    <row r="323" ht="14.25" customHeight="1">
      <c r="U323" s="48"/>
    </row>
    <row r="324" ht="14.25" customHeight="1">
      <c r="U324" s="48"/>
    </row>
    <row r="325" ht="14.25" customHeight="1">
      <c r="U325" s="48"/>
    </row>
    <row r="326" ht="14.25" customHeight="1">
      <c r="U326" s="48"/>
    </row>
    <row r="327" ht="14.25" customHeight="1">
      <c r="U327" s="48"/>
    </row>
    <row r="328" ht="14.25" customHeight="1">
      <c r="U328" s="48"/>
    </row>
    <row r="329" ht="14.25" customHeight="1">
      <c r="U329" s="48"/>
    </row>
    <row r="330" ht="14.25" customHeight="1">
      <c r="U330" s="48"/>
    </row>
    <row r="331" ht="14.25" customHeight="1">
      <c r="U331" s="48"/>
    </row>
    <row r="332" ht="14.25" customHeight="1">
      <c r="U332" s="48"/>
    </row>
    <row r="333" ht="14.25" customHeight="1">
      <c r="U333" s="48"/>
    </row>
    <row r="334" ht="14.25" customHeight="1">
      <c r="U334" s="48"/>
    </row>
    <row r="335" ht="14.25" customHeight="1">
      <c r="U335" s="48"/>
    </row>
    <row r="336" ht="14.25" customHeight="1">
      <c r="U336" s="48"/>
    </row>
    <row r="337" ht="14.25" customHeight="1">
      <c r="U337" s="48"/>
    </row>
    <row r="338" ht="14.25" customHeight="1">
      <c r="U338" s="48"/>
    </row>
    <row r="339" ht="14.25" customHeight="1">
      <c r="U339" s="48"/>
    </row>
    <row r="340" ht="14.25" customHeight="1">
      <c r="U340" s="48"/>
    </row>
    <row r="341" ht="14.25" customHeight="1">
      <c r="U341" s="48"/>
    </row>
    <row r="342" ht="14.25" customHeight="1">
      <c r="U342" s="48"/>
    </row>
    <row r="343" ht="14.25" customHeight="1">
      <c r="U343" s="48"/>
    </row>
    <row r="344" ht="14.25" customHeight="1">
      <c r="U344" s="48"/>
    </row>
    <row r="345" ht="14.25" customHeight="1">
      <c r="U345" s="48"/>
    </row>
    <row r="346" ht="14.25" customHeight="1">
      <c r="U346" s="48"/>
    </row>
    <row r="347" ht="14.25" customHeight="1">
      <c r="U347" s="48"/>
    </row>
    <row r="348" ht="14.25" customHeight="1">
      <c r="U348" s="48"/>
    </row>
    <row r="349" ht="14.25" customHeight="1">
      <c r="U349" s="48"/>
    </row>
    <row r="350" ht="14.25" customHeight="1">
      <c r="U350" s="48"/>
    </row>
    <row r="351" ht="14.25" customHeight="1">
      <c r="U351" s="48"/>
    </row>
    <row r="352" ht="14.25" customHeight="1">
      <c r="U352" s="48"/>
    </row>
    <row r="353" ht="14.25" customHeight="1">
      <c r="U353" s="48"/>
    </row>
    <row r="354" ht="14.25" customHeight="1">
      <c r="U354" s="48"/>
    </row>
    <row r="355" ht="14.25" customHeight="1">
      <c r="U355" s="48"/>
    </row>
    <row r="356" ht="14.25" customHeight="1">
      <c r="U356" s="48"/>
    </row>
    <row r="357" ht="14.25" customHeight="1">
      <c r="U357" s="48"/>
    </row>
    <row r="358" ht="14.25" customHeight="1">
      <c r="U358" s="48"/>
    </row>
    <row r="359" ht="14.25" customHeight="1">
      <c r="U359" s="48"/>
    </row>
    <row r="360" ht="14.25" customHeight="1">
      <c r="U360" s="48"/>
    </row>
    <row r="361" ht="14.25" customHeight="1">
      <c r="U361" s="48"/>
    </row>
    <row r="362" ht="14.25" customHeight="1">
      <c r="U362" s="48"/>
    </row>
    <row r="363" ht="14.25" customHeight="1">
      <c r="U363" s="48"/>
    </row>
    <row r="364" ht="14.25" customHeight="1">
      <c r="U364" s="48"/>
    </row>
    <row r="365" ht="14.25" customHeight="1">
      <c r="U365" s="48"/>
    </row>
    <row r="366" ht="14.25" customHeight="1">
      <c r="U366" s="48"/>
    </row>
    <row r="367" ht="14.25" customHeight="1">
      <c r="U367" s="48"/>
    </row>
    <row r="368" ht="14.25" customHeight="1">
      <c r="U368" s="48"/>
    </row>
    <row r="369" ht="14.25" customHeight="1">
      <c r="U369" s="48"/>
    </row>
    <row r="370" ht="14.25" customHeight="1">
      <c r="U370" s="48"/>
    </row>
    <row r="371" ht="14.25" customHeight="1">
      <c r="U371" s="48"/>
    </row>
    <row r="372" ht="14.25" customHeight="1">
      <c r="U372" s="48"/>
    </row>
    <row r="373" ht="14.25" customHeight="1">
      <c r="U373" s="48"/>
    </row>
    <row r="374" ht="14.25" customHeight="1">
      <c r="U374" s="48"/>
    </row>
    <row r="375" ht="14.25" customHeight="1">
      <c r="U375" s="48"/>
    </row>
    <row r="376" ht="14.25" customHeight="1">
      <c r="U376" s="48"/>
    </row>
    <row r="377" ht="14.25" customHeight="1">
      <c r="U377" s="48"/>
    </row>
    <row r="378" ht="14.25" customHeight="1">
      <c r="U378" s="48"/>
    </row>
    <row r="379" ht="14.25" customHeight="1">
      <c r="U379" s="48"/>
    </row>
    <row r="380" ht="14.25" customHeight="1">
      <c r="U380" s="48"/>
    </row>
    <row r="381" ht="14.25" customHeight="1">
      <c r="U381" s="48"/>
    </row>
    <row r="382" ht="14.25" customHeight="1">
      <c r="U382" s="48"/>
    </row>
    <row r="383" ht="14.25" customHeight="1">
      <c r="U383" s="48"/>
    </row>
    <row r="384" ht="14.25" customHeight="1">
      <c r="U384" s="48"/>
    </row>
    <row r="385" ht="14.25" customHeight="1">
      <c r="U385" s="48"/>
    </row>
    <row r="386" ht="14.25" customHeight="1">
      <c r="U386" s="48"/>
    </row>
    <row r="387" ht="14.25" customHeight="1">
      <c r="U387" s="48"/>
    </row>
    <row r="388" ht="14.25" customHeight="1">
      <c r="U388" s="48"/>
    </row>
    <row r="389" ht="14.25" customHeight="1">
      <c r="U389" s="48"/>
    </row>
    <row r="390" ht="14.25" customHeight="1">
      <c r="U390" s="48"/>
    </row>
    <row r="391" ht="14.25" customHeight="1">
      <c r="U391" s="48"/>
    </row>
    <row r="392" ht="14.25" customHeight="1">
      <c r="U392" s="48"/>
    </row>
    <row r="393" ht="14.25" customHeight="1">
      <c r="U393" s="48"/>
    </row>
    <row r="394" ht="14.25" customHeight="1">
      <c r="U394" s="48"/>
    </row>
    <row r="395" ht="14.25" customHeight="1">
      <c r="U395" s="48"/>
    </row>
    <row r="396" ht="14.25" customHeight="1">
      <c r="U396" s="48"/>
    </row>
    <row r="397" ht="14.25" customHeight="1">
      <c r="U397" s="48"/>
    </row>
    <row r="398" ht="14.25" customHeight="1">
      <c r="U398" s="48"/>
    </row>
    <row r="399" ht="14.25" customHeight="1">
      <c r="U399" s="48"/>
    </row>
    <row r="400" ht="14.25" customHeight="1">
      <c r="U400" s="48"/>
    </row>
    <row r="401" ht="14.25" customHeight="1">
      <c r="U401" s="48"/>
    </row>
    <row r="402" ht="14.25" customHeight="1">
      <c r="U402" s="48"/>
    </row>
    <row r="403" ht="14.25" customHeight="1">
      <c r="U403" s="48"/>
    </row>
    <row r="404" ht="14.25" customHeight="1">
      <c r="U404" s="48"/>
    </row>
    <row r="405" ht="14.25" customHeight="1">
      <c r="U405" s="48"/>
    </row>
    <row r="406" ht="14.25" customHeight="1">
      <c r="U406" s="48"/>
    </row>
    <row r="407" ht="14.25" customHeight="1">
      <c r="U407" s="48"/>
    </row>
    <row r="408" ht="14.25" customHeight="1">
      <c r="U408" s="48"/>
    </row>
    <row r="409" ht="14.25" customHeight="1">
      <c r="U409" s="48"/>
    </row>
    <row r="410" ht="14.25" customHeight="1">
      <c r="U410" s="48"/>
    </row>
    <row r="411" ht="14.25" customHeight="1">
      <c r="U411" s="48"/>
    </row>
    <row r="412" ht="14.25" customHeight="1">
      <c r="U412" s="48"/>
    </row>
    <row r="413" ht="14.25" customHeight="1">
      <c r="U413" s="48"/>
    </row>
    <row r="414" ht="14.25" customHeight="1">
      <c r="U414" s="48"/>
    </row>
    <row r="415" ht="14.25" customHeight="1">
      <c r="U415" s="48"/>
    </row>
    <row r="416" ht="14.25" customHeight="1">
      <c r="U416" s="48"/>
    </row>
    <row r="417" ht="14.25" customHeight="1">
      <c r="U417" s="48"/>
    </row>
    <row r="418" ht="14.25" customHeight="1">
      <c r="U418" s="48"/>
    </row>
    <row r="419" ht="14.25" customHeight="1">
      <c r="U419" s="48"/>
    </row>
    <row r="420" ht="14.25" customHeight="1">
      <c r="U420" s="48"/>
    </row>
    <row r="421" ht="14.25" customHeight="1">
      <c r="U421" s="48"/>
    </row>
    <row r="422" ht="14.25" customHeight="1">
      <c r="U422" s="48"/>
    </row>
    <row r="423" ht="14.25" customHeight="1">
      <c r="U423" s="48"/>
    </row>
    <row r="424" ht="14.25" customHeight="1">
      <c r="U424" s="48"/>
    </row>
    <row r="425" ht="14.25" customHeight="1">
      <c r="U425" s="48"/>
    </row>
    <row r="426" ht="14.25" customHeight="1">
      <c r="U426" s="48"/>
    </row>
    <row r="427" ht="14.25" customHeight="1">
      <c r="U427" s="48"/>
    </row>
    <row r="428" ht="14.25" customHeight="1">
      <c r="U428" s="48"/>
    </row>
    <row r="429" ht="14.25" customHeight="1">
      <c r="U429" s="48"/>
    </row>
    <row r="430" ht="14.25" customHeight="1">
      <c r="U430" s="48"/>
    </row>
    <row r="431" ht="14.25" customHeight="1">
      <c r="U431" s="48"/>
    </row>
    <row r="432" ht="14.25" customHeight="1">
      <c r="U432" s="48"/>
    </row>
    <row r="433" ht="14.25" customHeight="1">
      <c r="U433" s="48"/>
    </row>
    <row r="434" ht="14.25" customHeight="1">
      <c r="U434" s="48"/>
    </row>
    <row r="435" ht="14.25" customHeight="1">
      <c r="U435" s="48"/>
    </row>
    <row r="436" ht="14.25" customHeight="1">
      <c r="U436" s="48"/>
    </row>
    <row r="437" ht="14.25" customHeight="1">
      <c r="U437" s="48"/>
    </row>
    <row r="438" ht="14.25" customHeight="1">
      <c r="U438" s="48"/>
    </row>
    <row r="439" ht="14.25" customHeight="1">
      <c r="U439" s="48"/>
    </row>
    <row r="440" ht="14.25" customHeight="1">
      <c r="U440" s="48"/>
    </row>
    <row r="441" ht="14.25" customHeight="1">
      <c r="U441" s="48"/>
    </row>
    <row r="442" ht="14.25" customHeight="1">
      <c r="U442" s="48"/>
    </row>
    <row r="443" ht="14.25" customHeight="1">
      <c r="U443" s="48"/>
    </row>
    <row r="444" ht="14.25" customHeight="1">
      <c r="U444" s="48"/>
    </row>
    <row r="445" ht="14.25" customHeight="1">
      <c r="U445" s="48"/>
    </row>
    <row r="446" ht="14.25" customHeight="1">
      <c r="U446" s="48"/>
    </row>
    <row r="447" ht="14.25" customHeight="1">
      <c r="U447" s="48"/>
    </row>
    <row r="448" ht="14.25" customHeight="1">
      <c r="U448" s="48"/>
    </row>
    <row r="449" ht="14.25" customHeight="1">
      <c r="U449" s="48"/>
    </row>
    <row r="450" ht="14.25" customHeight="1">
      <c r="U450" s="48"/>
    </row>
    <row r="451" ht="14.25" customHeight="1">
      <c r="U451" s="48"/>
    </row>
    <row r="452" ht="14.25" customHeight="1">
      <c r="U452" s="48"/>
    </row>
    <row r="453" ht="14.25" customHeight="1">
      <c r="U453" s="48"/>
    </row>
    <row r="454" ht="14.25" customHeight="1">
      <c r="U454" s="48"/>
    </row>
    <row r="455" ht="14.25" customHeight="1">
      <c r="U455" s="48"/>
    </row>
    <row r="456" ht="14.25" customHeight="1">
      <c r="U456" s="48"/>
    </row>
    <row r="457" ht="14.25" customHeight="1">
      <c r="U457" s="48"/>
    </row>
    <row r="458" ht="14.25" customHeight="1">
      <c r="U458" s="48"/>
    </row>
    <row r="459" ht="14.25" customHeight="1">
      <c r="U459" s="48"/>
    </row>
    <row r="460" ht="14.25" customHeight="1">
      <c r="U460" s="48"/>
    </row>
    <row r="461" ht="14.25" customHeight="1">
      <c r="U461" s="48"/>
    </row>
    <row r="462" ht="14.25" customHeight="1">
      <c r="U462" s="48"/>
    </row>
    <row r="463" ht="14.25" customHeight="1">
      <c r="U463" s="48"/>
    </row>
    <row r="464" ht="14.25" customHeight="1">
      <c r="U464" s="48"/>
    </row>
    <row r="465" ht="14.25" customHeight="1">
      <c r="U465" s="48"/>
    </row>
    <row r="466" ht="14.25" customHeight="1">
      <c r="U466" s="48"/>
    </row>
    <row r="467" ht="14.25" customHeight="1">
      <c r="U467" s="48"/>
    </row>
    <row r="468" ht="14.25" customHeight="1">
      <c r="U468" s="48"/>
    </row>
    <row r="469" ht="14.25" customHeight="1">
      <c r="U469" s="48"/>
    </row>
    <row r="470" ht="14.25" customHeight="1">
      <c r="U470" s="48"/>
    </row>
    <row r="471" ht="14.25" customHeight="1">
      <c r="U471" s="48"/>
    </row>
    <row r="472" ht="14.25" customHeight="1">
      <c r="U472" s="48"/>
    </row>
    <row r="473" ht="14.25" customHeight="1">
      <c r="U473" s="48"/>
    </row>
    <row r="474" ht="14.25" customHeight="1">
      <c r="U474" s="48"/>
    </row>
    <row r="475" ht="14.25" customHeight="1">
      <c r="U475" s="48"/>
    </row>
    <row r="476" ht="14.25" customHeight="1">
      <c r="U476" s="48"/>
    </row>
    <row r="477" ht="14.25" customHeight="1">
      <c r="U477" s="48"/>
    </row>
    <row r="478" ht="14.25" customHeight="1">
      <c r="U478" s="48"/>
    </row>
    <row r="479" ht="14.25" customHeight="1">
      <c r="U479" s="48"/>
    </row>
    <row r="480" ht="14.25" customHeight="1">
      <c r="U480" s="48"/>
    </row>
    <row r="481" ht="14.25" customHeight="1">
      <c r="U481" s="48"/>
    </row>
    <row r="482" ht="14.25" customHeight="1">
      <c r="U482" s="48"/>
    </row>
    <row r="483" ht="14.25" customHeight="1">
      <c r="U483" s="48"/>
    </row>
    <row r="484" ht="14.25" customHeight="1">
      <c r="U484" s="48"/>
    </row>
    <row r="485" ht="14.25" customHeight="1">
      <c r="U485" s="48"/>
    </row>
    <row r="486" ht="14.25" customHeight="1">
      <c r="U486" s="48"/>
    </row>
    <row r="487" ht="14.25" customHeight="1">
      <c r="U487" s="48"/>
    </row>
    <row r="488" ht="14.25" customHeight="1">
      <c r="U488" s="48"/>
    </row>
    <row r="489" ht="14.25" customHeight="1">
      <c r="U489" s="48"/>
    </row>
    <row r="490" ht="14.25" customHeight="1">
      <c r="U490" s="48"/>
    </row>
    <row r="491" ht="14.25" customHeight="1">
      <c r="U491" s="48"/>
    </row>
    <row r="492" ht="14.25" customHeight="1">
      <c r="U492" s="48"/>
    </row>
    <row r="493" ht="14.25" customHeight="1">
      <c r="U493" s="48"/>
    </row>
    <row r="494" ht="14.25" customHeight="1">
      <c r="U494" s="48"/>
    </row>
    <row r="495" ht="14.25" customHeight="1">
      <c r="U495" s="48"/>
    </row>
    <row r="496" ht="14.25" customHeight="1">
      <c r="U496" s="48"/>
    </row>
    <row r="497" ht="14.25" customHeight="1">
      <c r="U497" s="48"/>
    </row>
    <row r="498" ht="14.25" customHeight="1">
      <c r="U498" s="48"/>
    </row>
    <row r="499" ht="14.25" customHeight="1">
      <c r="U499" s="48"/>
    </row>
    <row r="500" ht="14.25" customHeight="1">
      <c r="U500" s="48"/>
    </row>
    <row r="501" ht="14.25" customHeight="1">
      <c r="U501" s="48"/>
    </row>
    <row r="502" ht="14.25" customHeight="1">
      <c r="U502" s="48"/>
    </row>
    <row r="503" ht="14.25" customHeight="1">
      <c r="U503" s="48"/>
    </row>
    <row r="504" ht="14.25" customHeight="1">
      <c r="U504" s="48"/>
    </row>
    <row r="505" ht="14.25" customHeight="1">
      <c r="U505" s="48"/>
    </row>
    <row r="506" ht="14.25" customHeight="1">
      <c r="U506" s="48"/>
    </row>
    <row r="507" ht="14.25" customHeight="1">
      <c r="U507" s="48"/>
    </row>
    <row r="508" ht="14.25" customHeight="1">
      <c r="U508" s="48"/>
    </row>
    <row r="509" ht="14.25" customHeight="1">
      <c r="U509" s="48"/>
    </row>
    <row r="510" ht="14.25" customHeight="1">
      <c r="U510" s="48"/>
    </row>
    <row r="511" ht="14.25" customHeight="1">
      <c r="U511" s="48"/>
    </row>
    <row r="512" ht="14.25" customHeight="1">
      <c r="U512" s="48"/>
    </row>
    <row r="513" ht="14.25" customHeight="1">
      <c r="U513" s="48"/>
    </row>
    <row r="514" ht="14.25" customHeight="1">
      <c r="U514" s="48"/>
    </row>
    <row r="515" ht="14.25" customHeight="1">
      <c r="U515" s="48"/>
    </row>
    <row r="516" ht="14.25" customHeight="1">
      <c r="U516" s="48"/>
    </row>
    <row r="517" ht="14.25" customHeight="1">
      <c r="U517" s="48"/>
    </row>
    <row r="518" ht="14.25" customHeight="1">
      <c r="U518" s="48"/>
    </row>
    <row r="519" ht="14.25" customHeight="1">
      <c r="U519" s="48"/>
    </row>
    <row r="520" ht="14.25" customHeight="1">
      <c r="U520" s="48"/>
    </row>
    <row r="521" ht="14.25" customHeight="1">
      <c r="U521" s="48"/>
    </row>
    <row r="522" ht="14.25" customHeight="1">
      <c r="U522" s="48"/>
    </row>
    <row r="523" ht="14.25" customHeight="1">
      <c r="U523" s="48"/>
    </row>
    <row r="524" ht="14.25" customHeight="1">
      <c r="U524" s="48"/>
    </row>
    <row r="525" ht="14.25" customHeight="1">
      <c r="U525" s="48"/>
    </row>
    <row r="526" ht="14.25" customHeight="1">
      <c r="U526" s="48"/>
    </row>
    <row r="527" ht="14.25" customHeight="1">
      <c r="U527" s="48"/>
    </row>
    <row r="528" ht="14.25" customHeight="1">
      <c r="U528" s="48"/>
    </row>
    <row r="529" ht="14.25" customHeight="1">
      <c r="U529" s="48"/>
    </row>
    <row r="530" ht="14.25" customHeight="1">
      <c r="U530" s="48"/>
    </row>
    <row r="531" ht="14.25" customHeight="1">
      <c r="U531" s="48"/>
    </row>
    <row r="532" ht="14.25" customHeight="1">
      <c r="U532" s="48"/>
    </row>
    <row r="533" ht="14.25" customHeight="1">
      <c r="U533" s="48"/>
    </row>
    <row r="534" ht="14.25" customHeight="1">
      <c r="U534" s="48"/>
    </row>
    <row r="535" ht="14.25" customHeight="1">
      <c r="U535" s="48"/>
    </row>
    <row r="536" ht="14.25" customHeight="1">
      <c r="U536" s="48"/>
    </row>
    <row r="537" ht="14.25" customHeight="1">
      <c r="U537" s="48"/>
    </row>
    <row r="538" ht="14.25" customHeight="1">
      <c r="U538" s="48"/>
    </row>
    <row r="539" ht="14.25" customHeight="1">
      <c r="U539" s="48"/>
    </row>
    <row r="540" ht="14.25" customHeight="1">
      <c r="U540" s="48"/>
    </row>
    <row r="541" ht="14.25" customHeight="1">
      <c r="U541" s="48"/>
    </row>
    <row r="542" ht="14.25" customHeight="1">
      <c r="U542" s="48"/>
    </row>
    <row r="543" ht="14.25" customHeight="1">
      <c r="U543" s="48"/>
    </row>
    <row r="544" ht="14.25" customHeight="1">
      <c r="U544" s="48"/>
    </row>
    <row r="545" ht="14.25" customHeight="1">
      <c r="U545" s="48"/>
    </row>
    <row r="546" ht="14.25" customHeight="1">
      <c r="U546" s="48"/>
    </row>
    <row r="547" ht="14.25" customHeight="1">
      <c r="U547" s="48"/>
    </row>
    <row r="548" ht="14.25" customHeight="1">
      <c r="U548" s="48"/>
    </row>
    <row r="549" ht="14.25" customHeight="1">
      <c r="U549" s="48"/>
    </row>
    <row r="550" ht="14.25" customHeight="1">
      <c r="U550" s="48"/>
    </row>
    <row r="551" ht="14.25" customHeight="1">
      <c r="U551" s="48"/>
    </row>
    <row r="552" ht="14.25" customHeight="1">
      <c r="U552" s="48"/>
    </row>
    <row r="553" ht="14.25" customHeight="1">
      <c r="U553" s="48"/>
    </row>
    <row r="554" ht="14.25" customHeight="1">
      <c r="U554" s="48"/>
    </row>
    <row r="555" ht="14.25" customHeight="1">
      <c r="U555" s="48"/>
    </row>
    <row r="556" ht="14.25" customHeight="1">
      <c r="U556" s="48"/>
    </row>
    <row r="557" ht="14.25" customHeight="1">
      <c r="U557" s="48"/>
    </row>
    <row r="558" ht="14.25" customHeight="1">
      <c r="U558" s="48"/>
    </row>
    <row r="559" ht="14.25" customHeight="1">
      <c r="U559" s="48"/>
    </row>
    <row r="560" ht="14.25" customHeight="1">
      <c r="U560" s="48"/>
    </row>
    <row r="561" ht="14.25" customHeight="1">
      <c r="U561" s="48"/>
    </row>
    <row r="562" ht="14.25" customHeight="1">
      <c r="U562" s="48"/>
    </row>
    <row r="563" ht="14.25" customHeight="1">
      <c r="U563" s="48"/>
    </row>
    <row r="564" ht="14.25" customHeight="1">
      <c r="U564" s="48"/>
    </row>
    <row r="565" ht="14.25" customHeight="1">
      <c r="U565" s="48"/>
    </row>
    <row r="566" ht="14.25" customHeight="1">
      <c r="U566" s="48"/>
    </row>
    <row r="567" ht="14.25" customHeight="1">
      <c r="U567" s="48"/>
    </row>
    <row r="568" ht="14.25" customHeight="1">
      <c r="U568" s="48"/>
    </row>
    <row r="569" ht="14.25" customHeight="1">
      <c r="U569" s="48"/>
    </row>
    <row r="570" ht="14.25" customHeight="1">
      <c r="U570" s="48"/>
    </row>
    <row r="571" ht="14.25" customHeight="1">
      <c r="U571" s="48"/>
    </row>
    <row r="572" ht="14.25" customHeight="1">
      <c r="U572" s="48"/>
    </row>
    <row r="573" ht="14.25" customHeight="1">
      <c r="U573" s="48"/>
    </row>
    <row r="574" ht="14.25" customHeight="1">
      <c r="U574" s="48"/>
    </row>
    <row r="575" ht="14.25" customHeight="1">
      <c r="U575" s="48"/>
    </row>
    <row r="576" ht="14.25" customHeight="1">
      <c r="U576" s="48"/>
    </row>
    <row r="577" ht="14.25" customHeight="1">
      <c r="U577" s="48"/>
    </row>
    <row r="578" ht="14.25" customHeight="1">
      <c r="U578" s="48"/>
    </row>
    <row r="579" ht="14.25" customHeight="1">
      <c r="U579" s="48"/>
    </row>
    <row r="580" ht="14.25" customHeight="1">
      <c r="U580" s="48"/>
    </row>
    <row r="581" ht="14.25" customHeight="1">
      <c r="U581" s="48"/>
    </row>
    <row r="582" ht="14.25" customHeight="1">
      <c r="U582" s="48"/>
    </row>
    <row r="583" ht="14.25" customHeight="1">
      <c r="U583" s="48"/>
    </row>
    <row r="584" ht="14.25" customHeight="1">
      <c r="U584" s="48"/>
    </row>
    <row r="585" ht="14.25" customHeight="1">
      <c r="U585" s="48"/>
    </row>
    <row r="586" ht="14.25" customHeight="1">
      <c r="U586" s="48"/>
    </row>
    <row r="587" ht="14.25" customHeight="1">
      <c r="U587" s="48"/>
    </row>
    <row r="588" ht="14.25" customHeight="1">
      <c r="U588" s="48"/>
    </row>
    <row r="589" ht="14.25" customHeight="1">
      <c r="U589" s="48"/>
    </row>
    <row r="590" ht="14.25" customHeight="1">
      <c r="U590" s="48"/>
    </row>
    <row r="591" ht="14.25" customHeight="1">
      <c r="U591" s="48"/>
    </row>
    <row r="592" ht="14.25" customHeight="1">
      <c r="U592" s="48"/>
    </row>
    <row r="593" ht="14.25" customHeight="1">
      <c r="U593" s="48"/>
    </row>
    <row r="594" ht="14.25" customHeight="1">
      <c r="U594" s="48"/>
    </row>
    <row r="595" ht="14.25" customHeight="1">
      <c r="U595" s="48"/>
    </row>
    <row r="596" ht="14.25" customHeight="1">
      <c r="U596" s="48"/>
    </row>
    <row r="597" ht="14.25" customHeight="1">
      <c r="U597" s="48"/>
    </row>
    <row r="598" ht="14.25" customHeight="1">
      <c r="U598" s="48"/>
    </row>
    <row r="599" ht="14.25" customHeight="1">
      <c r="U599" s="48"/>
    </row>
    <row r="600" ht="14.25" customHeight="1">
      <c r="U600" s="48"/>
    </row>
    <row r="601" ht="14.25" customHeight="1">
      <c r="U601" s="48"/>
    </row>
    <row r="602" ht="14.25" customHeight="1">
      <c r="U602" s="48"/>
    </row>
    <row r="603" ht="14.25" customHeight="1">
      <c r="U603" s="48"/>
    </row>
    <row r="604" ht="14.25" customHeight="1">
      <c r="U604" s="48"/>
    </row>
    <row r="605" ht="14.25" customHeight="1">
      <c r="U605" s="48"/>
    </row>
    <row r="606" ht="14.25" customHeight="1">
      <c r="U606" s="48"/>
    </row>
    <row r="607" ht="14.25" customHeight="1">
      <c r="U607" s="48"/>
    </row>
    <row r="608" ht="14.25" customHeight="1">
      <c r="U608" s="48"/>
    </row>
    <row r="609" ht="14.25" customHeight="1">
      <c r="U609" s="48"/>
    </row>
    <row r="610" ht="14.25" customHeight="1">
      <c r="U610" s="48"/>
    </row>
    <row r="611" ht="14.25" customHeight="1">
      <c r="U611" s="48"/>
    </row>
    <row r="612" ht="14.25" customHeight="1">
      <c r="U612" s="48"/>
    </row>
    <row r="613" ht="14.25" customHeight="1">
      <c r="U613" s="48"/>
    </row>
    <row r="614" ht="14.25" customHeight="1">
      <c r="U614" s="48"/>
    </row>
    <row r="615" ht="14.25" customHeight="1">
      <c r="U615" s="48"/>
    </row>
    <row r="616" ht="14.25" customHeight="1">
      <c r="U616" s="48"/>
    </row>
    <row r="617" ht="14.25" customHeight="1">
      <c r="U617" s="48"/>
    </row>
    <row r="618" ht="14.25" customHeight="1">
      <c r="U618" s="48"/>
    </row>
    <row r="619" ht="14.25" customHeight="1">
      <c r="U619" s="48"/>
    </row>
    <row r="620" ht="14.25" customHeight="1">
      <c r="U620" s="48"/>
    </row>
    <row r="621" ht="14.25" customHeight="1">
      <c r="U621" s="48"/>
    </row>
    <row r="622" ht="14.25" customHeight="1">
      <c r="U622" s="48"/>
    </row>
    <row r="623" ht="14.25" customHeight="1">
      <c r="U623" s="48"/>
    </row>
    <row r="624" ht="14.25" customHeight="1">
      <c r="U624" s="48"/>
    </row>
    <row r="625" ht="14.25" customHeight="1">
      <c r="U625" s="48"/>
    </row>
    <row r="626" ht="14.25" customHeight="1">
      <c r="U626" s="48"/>
    </row>
    <row r="627" ht="14.25" customHeight="1">
      <c r="U627" s="48"/>
    </row>
    <row r="628" ht="14.25" customHeight="1">
      <c r="U628" s="48"/>
    </row>
    <row r="629" ht="14.25" customHeight="1">
      <c r="U629" s="48"/>
    </row>
    <row r="630" ht="14.25" customHeight="1">
      <c r="U630" s="48"/>
    </row>
    <row r="631" ht="14.25" customHeight="1">
      <c r="U631" s="48"/>
    </row>
    <row r="632" ht="14.25" customHeight="1">
      <c r="U632" s="48"/>
    </row>
    <row r="633" ht="14.25" customHeight="1">
      <c r="U633" s="48"/>
    </row>
    <row r="634" ht="14.25" customHeight="1">
      <c r="U634" s="48"/>
    </row>
    <row r="635" ht="14.25" customHeight="1">
      <c r="U635" s="48"/>
    </row>
    <row r="636" ht="14.25" customHeight="1">
      <c r="U636" s="48"/>
    </row>
    <row r="637" ht="14.25" customHeight="1">
      <c r="U637" s="48"/>
    </row>
    <row r="638" ht="14.25" customHeight="1">
      <c r="U638" s="48"/>
    </row>
    <row r="639" ht="14.25" customHeight="1">
      <c r="U639" s="48"/>
    </row>
    <row r="640" ht="14.25" customHeight="1">
      <c r="U640" s="48"/>
    </row>
    <row r="641" ht="14.25" customHeight="1">
      <c r="U641" s="48"/>
    </row>
    <row r="642" ht="14.25" customHeight="1">
      <c r="U642" s="48"/>
    </row>
    <row r="643" ht="14.25" customHeight="1">
      <c r="U643" s="48"/>
    </row>
    <row r="644" ht="14.25" customHeight="1">
      <c r="U644" s="48"/>
    </row>
    <row r="645" ht="14.25" customHeight="1">
      <c r="U645" s="48"/>
    </row>
    <row r="646" ht="14.25" customHeight="1">
      <c r="U646" s="48"/>
    </row>
    <row r="647" ht="14.25" customHeight="1">
      <c r="U647" s="48"/>
    </row>
    <row r="648" ht="14.25" customHeight="1">
      <c r="U648" s="48"/>
    </row>
    <row r="649" ht="14.25" customHeight="1">
      <c r="U649" s="48"/>
    </row>
    <row r="650" ht="14.25" customHeight="1">
      <c r="U650" s="48"/>
    </row>
    <row r="651" ht="14.25" customHeight="1">
      <c r="U651" s="48"/>
    </row>
    <row r="652" ht="14.25" customHeight="1">
      <c r="U652" s="48"/>
    </row>
    <row r="653" ht="14.25" customHeight="1">
      <c r="U653" s="48"/>
    </row>
    <row r="654" ht="14.25" customHeight="1">
      <c r="U654" s="48"/>
    </row>
    <row r="655" ht="14.25" customHeight="1">
      <c r="U655" s="48"/>
    </row>
    <row r="656" ht="14.25" customHeight="1">
      <c r="U656" s="48"/>
    </row>
    <row r="657" ht="14.25" customHeight="1">
      <c r="U657" s="48"/>
    </row>
    <row r="658" ht="14.25" customHeight="1">
      <c r="U658" s="48"/>
    </row>
    <row r="659" ht="14.25" customHeight="1">
      <c r="U659" s="48"/>
    </row>
    <row r="660" ht="14.25" customHeight="1">
      <c r="U660" s="48"/>
    </row>
    <row r="661" ht="14.25" customHeight="1">
      <c r="U661" s="48"/>
    </row>
    <row r="662" ht="14.25" customHeight="1">
      <c r="U662" s="48"/>
    </row>
    <row r="663" ht="14.25" customHeight="1">
      <c r="U663" s="48"/>
    </row>
    <row r="664" ht="14.25" customHeight="1">
      <c r="U664" s="48"/>
    </row>
    <row r="665" ht="14.25" customHeight="1">
      <c r="U665" s="48"/>
    </row>
    <row r="666" ht="14.25" customHeight="1">
      <c r="U666" s="48"/>
    </row>
    <row r="667" ht="14.25" customHeight="1">
      <c r="U667" s="48"/>
    </row>
    <row r="668" ht="14.25" customHeight="1">
      <c r="U668" s="48"/>
    </row>
    <row r="669" ht="14.25" customHeight="1">
      <c r="U669" s="48"/>
    </row>
    <row r="670" ht="14.25" customHeight="1">
      <c r="U670" s="48"/>
    </row>
    <row r="671" ht="14.25" customHeight="1">
      <c r="U671" s="48"/>
    </row>
    <row r="672" ht="14.25" customHeight="1">
      <c r="U672" s="48"/>
    </row>
    <row r="673" ht="14.25" customHeight="1">
      <c r="U673" s="48"/>
    </row>
    <row r="674" ht="14.25" customHeight="1">
      <c r="U674" s="48"/>
    </row>
    <row r="675" ht="14.25" customHeight="1">
      <c r="U675" s="48"/>
    </row>
    <row r="676" ht="14.25" customHeight="1">
      <c r="U676" s="48"/>
    </row>
    <row r="677" ht="14.25" customHeight="1">
      <c r="U677" s="48"/>
    </row>
    <row r="678" ht="14.25" customHeight="1">
      <c r="U678" s="48"/>
    </row>
    <row r="679" ht="14.25" customHeight="1">
      <c r="U679" s="48"/>
    </row>
    <row r="680" ht="14.25" customHeight="1">
      <c r="U680" s="48"/>
    </row>
    <row r="681" ht="14.25" customHeight="1">
      <c r="U681" s="48"/>
    </row>
    <row r="682" ht="14.25" customHeight="1">
      <c r="U682" s="48"/>
    </row>
    <row r="683" ht="14.25" customHeight="1">
      <c r="U683" s="48"/>
    </row>
    <row r="684" ht="14.25" customHeight="1">
      <c r="U684" s="48"/>
    </row>
    <row r="685" ht="14.25" customHeight="1">
      <c r="U685" s="48"/>
    </row>
    <row r="686" ht="14.25" customHeight="1">
      <c r="U686" s="48"/>
    </row>
    <row r="687" ht="14.25" customHeight="1">
      <c r="U687" s="48"/>
    </row>
    <row r="688" ht="14.25" customHeight="1">
      <c r="U688" s="48"/>
    </row>
    <row r="689" ht="14.25" customHeight="1">
      <c r="U689" s="48"/>
    </row>
    <row r="690" ht="14.25" customHeight="1">
      <c r="U690" s="48"/>
    </row>
    <row r="691" ht="14.25" customHeight="1">
      <c r="U691" s="48"/>
    </row>
    <row r="692" ht="14.25" customHeight="1">
      <c r="U692" s="48"/>
    </row>
    <row r="693" ht="14.25" customHeight="1">
      <c r="U693" s="48"/>
    </row>
    <row r="694" ht="14.25" customHeight="1">
      <c r="U694" s="48"/>
    </row>
    <row r="695" ht="14.25" customHeight="1">
      <c r="U695" s="48"/>
    </row>
    <row r="696" ht="14.25" customHeight="1">
      <c r="U696" s="48"/>
    </row>
    <row r="697" ht="14.25" customHeight="1">
      <c r="U697" s="48"/>
    </row>
    <row r="698" ht="14.25" customHeight="1">
      <c r="U698" s="48"/>
    </row>
    <row r="699" ht="14.25" customHeight="1">
      <c r="U699" s="48"/>
    </row>
    <row r="700" ht="14.25" customHeight="1">
      <c r="U700" s="48"/>
    </row>
    <row r="701" ht="14.25" customHeight="1">
      <c r="U701" s="48"/>
    </row>
    <row r="702" ht="14.25" customHeight="1">
      <c r="U702" s="48"/>
    </row>
    <row r="703" ht="14.25" customHeight="1">
      <c r="U703" s="48"/>
    </row>
    <row r="704" ht="14.25" customHeight="1">
      <c r="U704" s="48"/>
    </row>
    <row r="705" ht="14.25" customHeight="1">
      <c r="U705" s="48"/>
    </row>
    <row r="706" ht="14.25" customHeight="1">
      <c r="U706" s="48"/>
    </row>
    <row r="707" ht="14.25" customHeight="1">
      <c r="U707" s="48"/>
    </row>
    <row r="708" ht="14.25" customHeight="1">
      <c r="U708" s="48"/>
    </row>
    <row r="709" ht="14.25" customHeight="1">
      <c r="U709" s="48"/>
    </row>
    <row r="710" ht="14.25" customHeight="1">
      <c r="U710" s="48"/>
    </row>
    <row r="711" ht="14.25" customHeight="1">
      <c r="U711" s="48"/>
    </row>
    <row r="712" ht="14.25" customHeight="1">
      <c r="U712" s="48"/>
    </row>
    <row r="713" ht="14.25" customHeight="1">
      <c r="U713" s="48"/>
    </row>
    <row r="714" ht="14.25" customHeight="1">
      <c r="U714" s="48"/>
    </row>
    <row r="715" ht="14.25" customHeight="1">
      <c r="U715" s="48"/>
    </row>
    <row r="716" ht="14.25" customHeight="1">
      <c r="U716" s="48"/>
    </row>
    <row r="717" ht="14.25" customHeight="1">
      <c r="U717" s="48"/>
    </row>
    <row r="718" ht="14.25" customHeight="1">
      <c r="U718" s="48"/>
    </row>
    <row r="719" ht="14.25" customHeight="1">
      <c r="U719" s="48"/>
    </row>
    <row r="720" ht="14.25" customHeight="1">
      <c r="U720" s="48"/>
    </row>
    <row r="721" ht="14.25" customHeight="1">
      <c r="U721" s="48"/>
    </row>
    <row r="722" ht="14.25" customHeight="1">
      <c r="U722" s="48"/>
    </row>
    <row r="723" ht="14.25" customHeight="1">
      <c r="U723" s="48"/>
    </row>
    <row r="724" ht="14.25" customHeight="1">
      <c r="U724" s="48"/>
    </row>
    <row r="725" ht="14.25" customHeight="1">
      <c r="U725" s="48"/>
    </row>
    <row r="726" ht="14.25" customHeight="1">
      <c r="U726" s="48"/>
    </row>
    <row r="727" ht="14.25" customHeight="1">
      <c r="U727" s="48"/>
    </row>
    <row r="728" ht="14.25" customHeight="1">
      <c r="U728" s="48"/>
    </row>
    <row r="729" ht="14.25" customHeight="1">
      <c r="U729" s="48"/>
    </row>
    <row r="730" ht="14.25" customHeight="1">
      <c r="U730" s="48"/>
    </row>
    <row r="731" ht="14.25" customHeight="1">
      <c r="U731" s="48"/>
    </row>
    <row r="732" ht="14.25" customHeight="1">
      <c r="U732" s="48"/>
    </row>
    <row r="733" ht="14.25" customHeight="1">
      <c r="U733" s="48"/>
    </row>
    <row r="734" ht="14.25" customHeight="1">
      <c r="U734" s="48"/>
    </row>
    <row r="735" ht="14.25" customHeight="1">
      <c r="U735" s="48"/>
    </row>
    <row r="736" ht="14.25" customHeight="1">
      <c r="U736" s="48"/>
    </row>
    <row r="737" ht="14.25" customHeight="1">
      <c r="U737" s="48"/>
    </row>
    <row r="738" ht="14.25" customHeight="1">
      <c r="U738" s="48"/>
    </row>
    <row r="739" ht="14.25" customHeight="1">
      <c r="U739" s="48"/>
    </row>
    <row r="740" ht="14.25" customHeight="1">
      <c r="U740" s="48"/>
    </row>
    <row r="741" ht="14.25" customHeight="1">
      <c r="U741" s="48"/>
    </row>
    <row r="742" ht="14.25" customHeight="1">
      <c r="U742" s="48"/>
    </row>
    <row r="743" ht="14.25" customHeight="1">
      <c r="U743" s="48"/>
    </row>
    <row r="744" ht="14.25" customHeight="1">
      <c r="U744" s="48"/>
    </row>
    <row r="745" ht="14.25" customHeight="1">
      <c r="U745" s="48"/>
    </row>
    <row r="746" ht="14.25" customHeight="1">
      <c r="U746" s="48"/>
    </row>
    <row r="747" ht="14.25" customHeight="1">
      <c r="U747" s="48"/>
    </row>
    <row r="748" ht="14.25" customHeight="1">
      <c r="U748" s="48"/>
    </row>
    <row r="749" ht="14.25" customHeight="1">
      <c r="U749" s="48"/>
    </row>
    <row r="750" ht="14.25" customHeight="1">
      <c r="U750" s="48"/>
    </row>
    <row r="751" ht="14.25" customHeight="1">
      <c r="U751" s="48"/>
    </row>
    <row r="752" ht="14.25" customHeight="1">
      <c r="U752" s="48"/>
    </row>
    <row r="753" ht="14.25" customHeight="1">
      <c r="U753" s="48"/>
    </row>
    <row r="754" ht="14.25" customHeight="1">
      <c r="U754" s="48"/>
    </row>
    <row r="755" ht="14.25" customHeight="1">
      <c r="U755" s="48"/>
    </row>
    <row r="756" ht="14.25" customHeight="1">
      <c r="U756" s="48"/>
    </row>
    <row r="757" ht="14.25" customHeight="1">
      <c r="U757" s="48"/>
    </row>
    <row r="758" ht="14.25" customHeight="1">
      <c r="U758" s="48"/>
    </row>
    <row r="759" ht="14.25" customHeight="1">
      <c r="U759" s="48"/>
    </row>
    <row r="760" ht="14.25" customHeight="1">
      <c r="U760" s="48"/>
    </row>
    <row r="761" ht="14.25" customHeight="1">
      <c r="U761" s="48"/>
    </row>
    <row r="762" ht="14.25" customHeight="1">
      <c r="U762" s="48"/>
    </row>
    <row r="763" ht="14.25" customHeight="1">
      <c r="U763" s="48"/>
    </row>
    <row r="764" ht="14.25" customHeight="1">
      <c r="U764" s="48"/>
    </row>
    <row r="765" ht="14.25" customHeight="1">
      <c r="U765" s="48"/>
    </row>
    <row r="766" ht="14.25" customHeight="1">
      <c r="U766" s="48"/>
    </row>
    <row r="767" ht="14.25" customHeight="1">
      <c r="U767" s="48"/>
    </row>
    <row r="768" ht="14.25" customHeight="1">
      <c r="U768" s="48"/>
    </row>
    <row r="769" ht="14.25" customHeight="1">
      <c r="U769" s="48"/>
    </row>
    <row r="770" ht="14.25" customHeight="1">
      <c r="U770" s="48"/>
    </row>
    <row r="771" ht="14.25" customHeight="1">
      <c r="U771" s="48"/>
    </row>
    <row r="772" ht="14.25" customHeight="1">
      <c r="U772" s="48"/>
    </row>
    <row r="773" ht="14.25" customHeight="1">
      <c r="U773" s="48"/>
    </row>
    <row r="774" ht="14.25" customHeight="1">
      <c r="U774" s="48"/>
    </row>
    <row r="775" ht="14.25" customHeight="1">
      <c r="U775" s="48"/>
    </row>
    <row r="776" ht="14.25" customHeight="1">
      <c r="U776" s="48"/>
    </row>
    <row r="777" ht="14.25" customHeight="1">
      <c r="U777" s="48"/>
    </row>
    <row r="778" ht="14.25" customHeight="1">
      <c r="U778" s="48"/>
    </row>
    <row r="779" ht="14.25" customHeight="1">
      <c r="U779" s="48"/>
    </row>
    <row r="780" ht="14.25" customHeight="1">
      <c r="U780" s="48"/>
    </row>
    <row r="781" ht="14.25" customHeight="1">
      <c r="U781" s="48"/>
    </row>
    <row r="782" ht="14.25" customHeight="1">
      <c r="U782" s="48"/>
    </row>
    <row r="783" ht="14.25" customHeight="1">
      <c r="U783" s="48"/>
    </row>
    <row r="784" ht="14.25" customHeight="1">
      <c r="U784" s="48"/>
    </row>
    <row r="785" ht="14.25" customHeight="1">
      <c r="U785" s="48"/>
    </row>
    <row r="786" ht="14.25" customHeight="1">
      <c r="U786" s="48"/>
    </row>
    <row r="787" ht="14.25" customHeight="1">
      <c r="U787" s="48"/>
    </row>
    <row r="788" ht="14.25" customHeight="1">
      <c r="U788" s="48"/>
    </row>
    <row r="789" ht="14.25" customHeight="1">
      <c r="U789" s="48"/>
    </row>
    <row r="790" ht="14.25" customHeight="1">
      <c r="U790" s="48"/>
    </row>
    <row r="791" ht="14.25" customHeight="1">
      <c r="U791" s="48"/>
    </row>
    <row r="792" ht="14.25" customHeight="1">
      <c r="U792" s="48"/>
    </row>
    <row r="793" ht="14.25" customHeight="1">
      <c r="U793" s="48"/>
    </row>
    <row r="794" ht="14.25" customHeight="1">
      <c r="U794" s="48"/>
    </row>
    <row r="795" ht="14.25" customHeight="1">
      <c r="U795" s="48"/>
    </row>
    <row r="796" ht="14.25" customHeight="1">
      <c r="U796" s="48"/>
    </row>
    <row r="797" ht="14.25" customHeight="1">
      <c r="U797" s="48"/>
    </row>
    <row r="798" ht="14.25" customHeight="1">
      <c r="U798" s="48"/>
    </row>
    <row r="799" ht="14.25" customHeight="1">
      <c r="U799" s="48"/>
    </row>
    <row r="800" ht="14.25" customHeight="1">
      <c r="U800" s="48"/>
    </row>
    <row r="801" ht="14.25" customHeight="1">
      <c r="U801" s="48"/>
    </row>
    <row r="802" ht="14.25" customHeight="1">
      <c r="U802" s="48"/>
    </row>
    <row r="803" ht="14.25" customHeight="1">
      <c r="U803" s="48"/>
    </row>
    <row r="804" ht="14.25" customHeight="1">
      <c r="U804" s="48"/>
    </row>
    <row r="805" ht="14.25" customHeight="1">
      <c r="U805" s="48"/>
    </row>
    <row r="806" ht="14.25" customHeight="1">
      <c r="U806" s="48"/>
    </row>
    <row r="807" ht="14.25" customHeight="1">
      <c r="U807" s="48"/>
    </row>
    <row r="808" ht="14.25" customHeight="1">
      <c r="U808" s="48"/>
    </row>
    <row r="809" ht="14.25" customHeight="1">
      <c r="U809" s="48"/>
    </row>
    <row r="810" ht="14.25" customHeight="1">
      <c r="U810" s="48"/>
    </row>
    <row r="811" ht="14.25" customHeight="1">
      <c r="U811" s="48"/>
    </row>
    <row r="812" ht="14.25" customHeight="1">
      <c r="U812" s="48"/>
    </row>
    <row r="813" ht="14.25" customHeight="1">
      <c r="U813" s="48"/>
    </row>
    <row r="814" ht="14.25" customHeight="1">
      <c r="U814" s="48"/>
    </row>
    <row r="815" ht="14.25" customHeight="1">
      <c r="U815" s="48"/>
    </row>
    <row r="816" ht="14.25" customHeight="1">
      <c r="U816" s="48"/>
    </row>
    <row r="817" ht="14.25" customHeight="1">
      <c r="U817" s="48"/>
    </row>
    <row r="818" ht="14.25" customHeight="1">
      <c r="U818" s="48"/>
    </row>
    <row r="819" ht="14.25" customHeight="1">
      <c r="U819" s="48"/>
    </row>
    <row r="820" ht="14.25" customHeight="1">
      <c r="U820" s="48"/>
    </row>
    <row r="821" ht="14.25" customHeight="1">
      <c r="U821" s="48"/>
    </row>
    <row r="822" ht="14.25" customHeight="1">
      <c r="U822" s="48"/>
    </row>
    <row r="823" ht="14.25" customHeight="1">
      <c r="U823" s="48"/>
    </row>
    <row r="824" ht="14.25" customHeight="1">
      <c r="U824" s="48"/>
    </row>
    <row r="825" ht="14.25" customHeight="1">
      <c r="U825" s="48"/>
    </row>
    <row r="826" ht="14.25" customHeight="1">
      <c r="U826" s="48"/>
    </row>
    <row r="827" ht="14.25" customHeight="1">
      <c r="U827" s="48"/>
    </row>
    <row r="828" ht="14.25" customHeight="1">
      <c r="U828" s="48"/>
    </row>
    <row r="829" ht="14.25" customHeight="1">
      <c r="U829" s="48"/>
    </row>
    <row r="830" ht="14.25" customHeight="1">
      <c r="U830" s="48"/>
    </row>
    <row r="831" ht="14.25" customHeight="1">
      <c r="U831" s="48"/>
    </row>
    <row r="832" ht="14.25" customHeight="1">
      <c r="U832" s="48"/>
    </row>
    <row r="833" ht="14.25" customHeight="1">
      <c r="U833" s="48"/>
    </row>
    <row r="834" ht="14.25" customHeight="1">
      <c r="U834" s="48"/>
    </row>
    <row r="835" ht="14.25" customHeight="1">
      <c r="U835" s="48"/>
    </row>
    <row r="836" ht="14.25" customHeight="1">
      <c r="U836" s="48"/>
    </row>
    <row r="837" ht="14.25" customHeight="1">
      <c r="U837" s="48"/>
    </row>
    <row r="838" ht="14.25" customHeight="1">
      <c r="U838" s="48"/>
    </row>
    <row r="839" ht="14.25" customHeight="1">
      <c r="U839" s="48"/>
    </row>
    <row r="840" ht="14.25" customHeight="1">
      <c r="U840" s="48"/>
    </row>
    <row r="841" ht="14.25" customHeight="1">
      <c r="U841" s="48"/>
    </row>
    <row r="842" ht="14.25" customHeight="1">
      <c r="U842" s="48"/>
    </row>
    <row r="843" ht="14.25" customHeight="1">
      <c r="U843" s="48"/>
    </row>
    <row r="844" ht="14.25" customHeight="1">
      <c r="U844" s="48"/>
    </row>
    <row r="845" ht="14.25" customHeight="1">
      <c r="U845" s="48"/>
    </row>
    <row r="846" ht="14.25" customHeight="1">
      <c r="U846" s="48"/>
    </row>
    <row r="847" ht="14.25" customHeight="1">
      <c r="U847" s="48"/>
    </row>
    <row r="848" ht="14.25" customHeight="1">
      <c r="U848" s="48"/>
    </row>
    <row r="849" ht="14.25" customHeight="1">
      <c r="U849" s="48"/>
    </row>
    <row r="850" ht="14.25" customHeight="1">
      <c r="U850" s="48"/>
    </row>
    <row r="851" ht="14.25" customHeight="1">
      <c r="U851" s="48"/>
    </row>
    <row r="852" ht="14.25" customHeight="1">
      <c r="U852" s="48"/>
    </row>
    <row r="853" ht="14.25" customHeight="1">
      <c r="U853" s="48"/>
    </row>
    <row r="854" ht="14.25" customHeight="1">
      <c r="U854" s="48"/>
    </row>
    <row r="855" ht="14.25" customHeight="1">
      <c r="U855" s="48"/>
    </row>
    <row r="856" ht="14.25" customHeight="1">
      <c r="U856" s="48"/>
    </row>
    <row r="857" ht="14.25" customHeight="1">
      <c r="U857" s="48"/>
    </row>
    <row r="858" ht="14.25" customHeight="1">
      <c r="U858" s="48"/>
    </row>
    <row r="859" ht="14.25" customHeight="1">
      <c r="U859" s="48"/>
    </row>
    <row r="860" ht="14.25" customHeight="1">
      <c r="U860" s="48"/>
    </row>
    <row r="861" ht="14.25" customHeight="1">
      <c r="U861" s="48"/>
    </row>
    <row r="862" ht="14.25" customHeight="1">
      <c r="U862" s="48"/>
    </row>
    <row r="863" ht="14.25" customHeight="1">
      <c r="U863" s="48"/>
    </row>
    <row r="864" ht="14.25" customHeight="1">
      <c r="U864" s="48"/>
    </row>
    <row r="865" ht="14.25" customHeight="1">
      <c r="U865" s="48"/>
    </row>
    <row r="866" ht="14.25" customHeight="1">
      <c r="U866" s="48"/>
    </row>
    <row r="867" ht="14.25" customHeight="1">
      <c r="U867" s="48"/>
    </row>
    <row r="868" ht="14.25" customHeight="1">
      <c r="U868" s="48"/>
    </row>
    <row r="869" ht="14.25" customHeight="1">
      <c r="U869" s="48"/>
    </row>
    <row r="870" ht="14.25" customHeight="1">
      <c r="U870" s="48"/>
    </row>
    <row r="871" ht="14.25" customHeight="1">
      <c r="U871" s="48"/>
    </row>
    <row r="872" ht="14.25" customHeight="1">
      <c r="U872" s="48"/>
    </row>
    <row r="873" ht="14.25" customHeight="1">
      <c r="U873" s="48"/>
    </row>
    <row r="874" ht="14.25" customHeight="1">
      <c r="U874" s="48"/>
    </row>
    <row r="875" ht="14.25" customHeight="1">
      <c r="U875" s="48"/>
    </row>
    <row r="876" ht="14.25" customHeight="1">
      <c r="U876" s="48"/>
    </row>
    <row r="877" ht="14.25" customHeight="1">
      <c r="U877" s="48"/>
    </row>
    <row r="878" ht="14.25" customHeight="1">
      <c r="U878" s="48"/>
    </row>
    <row r="879" ht="14.25" customHeight="1">
      <c r="U879" s="48"/>
    </row>
    <row r="880" ht="14.25" customHeight="1">
      <c r="U880" s="48"/>
    </row>
    <row r="881" ht="14.25" customHeight="1">
      <c r="U881" s="48"/>
    </row>
    <row r="882" ht="14.25" customHeight="1">
      <c r="U882" s="48"/>
    </row>
    <row r="883" ht="14.25" customHeight="1">
      <c r="U883" s="48"/>
    </row>
    <row r="884" ht="14.25" customHeight="1">
      <c r="U884" s="48"/>
    </row>
    <row r="885" ht="14.25" customHeight="1">
      <c r="U885" s="48"/>
    </row>
    <row r="886" ht="14.25" customHeight="1">
      <c r="U886" s="48"/>
    </row>
    <row r="887" ht="14.25" customHeight="1">
      <c r="U887" s="48"/>
    </row>
    <row r="888" ht="14.25" customHeight="1">
      <c r="U888" s="48"/>
    </row>
    <row r="889" ht="14.25" customHeight="1">
      <c r="U889" s="48"/>
    </row>
    <row r="890" ht="14.25" customHeight="1">
      <c r="U890" s="48"/>
    </row>
    <row r="891" ht="14.25" customHeight="1">
      <c r="U891" s="48"/>
    </row>
    <row r="892" ht="14.25" customHeight="1">
      <c r="U892" s="48"/>
    </row>
    <row r="893" ht="14.25" customHeight="1">
      <c r="U893" s="48"/>
    </row>
    <row r="894" ht="14.25" customHeight="1">
      <c r="U894" s="48"/>
    </row>
    <row r="895" ht="14.25" customHeight="1">
      <c r="U895" s="48"/>
    </row>
    <row r="896" ht="14.25" customHeight="1">
      <c r="U896" s="48"/>
    </row>
    <row r="897" ht="14.25" customHeight="1">
      <c r="U897" s="48"/>
    </row>
    <row r="898" ht="14.25" customHeight="1">
      <c r="U898" s="48"/>
    </row>
    <row r="899" ht="14.25" customHeight="1">
      <c r="U899" s="48"/>
    </row>
    <row r="900" ht="14.25" customHeight="1">
      <c r="U900" s="48"/>
    </row>
    <row r="901" ht="14.25" customHeight="1">
      <c r="U901" s="48"/>
    </row>
    <row r="902" ht="14.25" customHeight="1">
      <c r="U902" s="48"/>
    </row>
    <row r="903" ht="14.25" customHeight="1">
      <c r="U903" s="48"/>
    </row>
    <row r="904" ht="14.25" customHeight="1">
      <c r="U904" s="48"/>
    </row>
    <row r="905" ht="14.25" customHeight="1">
      <c r="U905" s="48"/>
    </row>
    <row r="906" ht="14.25" customHeight="1">
      <c r="U906" s="48"/>
    </row>
    <row r="907" ht="14.25" customHeight="1">
      <c r="U907" s="48"/>
    </row>
    <row r="908" ht="14.25" customHeight="1">
      <c r="U908" s="48"/>
    </row>
    <row r="909" ht="14.25" customHeight="1">
      <c r="U909" s="48"/>
    </row>
    <row r="910" ht="14.25" customHeight="1">
      <c r="U910" s="48"/>
    </row>
    <row r="911" ht="14.25" customHeight="1">
      <c r="U911" s="48"/>
    </row>
    <row r="912" ht="14.25" customHeight="1">
      <c r="U912" s="48"/>
    </row>
    <row r="913" ht="14.25" customHeight="1">
      <c r="U913" s="48"/>
    </row>
    <row r="914" ht="14.25" customHeight="1">
      <c r="U914" s="48"/>
    </row>
    <row r="915" ht="14.25" customHeight="1">
      <c r="U915" s="48"/>
    </row>
    <row r="916" ht="14.25" customHeight="1">
      <c r="U916" s="48"/>
    </row>
    <row r="917" ht="14.25" customHeight="1">
      <c r="U917" s="48"/>
    </row>
    <row r="918" ht="14.25" customHeight="1">
      <c r="U918" s="48"/>
    </row>
    <row r="919" ht="14.25" customHeight="1">
      <c r="U919" s="48"/>
    </row>
    <row r="920" ht="14.25" customHeight="1">
      <c r="U920" s="48"/>
    </row>
    <row r="921" ht="14.25" customHeight="1">
      <c r="U921" s="48"/>
    </row>
    <row r="922" ht="14.25" customHeight="1">
      <c r="U922" s="48"/>
    </row>
    <row r="923" ht="14.25" customHeight="1">
      <c r="U923" s="48"/>
    </row>
    <row r="924" ht="14.25" customHeight="1">
      <c r="U924" s="48"/>
    </row>
    <row r="925" ht="14.25" customHeight="1">
      <c r="U925" s="48"/>
    </row>
    <row r="926" ht="14.25" customHeight="1">
      <c r="U926" s="48"/>
    </row>
    <row r="927" ht="14.25" customHeight="1">
      <c r="U927" s="48"/>
    </row>
    <row r="928" ht="14.25" customHeight="1">
      <c r="U928" s="48"/>
    </row>
    <row r="929" ht="14.25" customHeight="1">
      <c r="U929" s="48"/>
    </row>
    <row r="930" ht="14.25" customHeight="1">
      <c r="U930" s="48"/>
    </row>
    <row r="931" ht="14.25" customHeight="1">
      <c r="U931" s="48"/>
    </row>
    <row r="932" ht="14.25" customHeight="1">
      <c r="U932" s="48"/>
    </row>
    <row r="933" ht="14.25" customHeight="1">
      <c r="U933" s="48"/>
    </row>
    <row r="934" ht="14.25" customHeight="1">
      <c r="U934" s="48"/>
    </row>
    <row r="935" ht="14.25" customHeight="1">
      <c r="U935" s="48"/>
    </row>
    <row r="936" ht="14.25" customHeight="1">
      <c r="U936" s="48"/>
    </row>
    <row r="937" ht="14.25" customHeight="1">
      <c r="U937" s="48"/>
    </row>
    <row r="938" ht="14.25" customHeight="1">
      <c r="U938" s="48"/>
    </row>
    <row r="939" ht="14.25" customHeight="1">
      <c r="U939" s="48"/>
    </row>
    <row r="940" ht="14.25" customHeight="1">
      <c r="U940" s="48"/>
    </row>
    <row r="941" ht="14.25" customHeight="1">
      <c r="U941" s="48"/>
    </row>
    <row r="942" ht="14.25" customHeight="1">
      <c r="U942" s="48"/>
    </row>
    <row r="943" ht="14.25" customHeight="1">
      <c r="U943" s="48"/>
    </row>
    <row r="944" ht="14.25" customHeight="1">
      <c r="U944" s="48"/>
    </row>
    <row r="945" ht="14.25" customHeight="1">
      <c r="U945" s="48"/>
    </row>
    <row r="946" ht="14.25" customHeight="1">
      <c r="U946" s="48"/>
    </row>
    <row r="947" ht="14.25" customHeight="1">
      <c r="U947" s="48"/>
    </row>
    <row r="948" ht="14.25" customHeight="1">
      <c r="U948" s="48"/>
    </row>
    <row r="949" ht="14.25" customHeight="1">
      <c r="U949" s="48"/>
    </row>
    <row r="950" ht="14.25" customHeight="1">
      <c r="U950" s="48"/>
    </row>
    <row r="951" ht="14.25" customHeight="1">
      <c r="U951" s="48"/>
    </row>
    <row r="952" ht="14.25" customHeight="1">
      <c r="U952" s="48"/>
    </row>
    <row r="953" ht="14.25" customHeight="1">
      <c r="U953" s="48"/>
    </row>
    <row r="954" ht="14.25" customHeight="1">
      <c r="U954" s="48"/>
    </row>
    <row r="955" ht="14.25" customHeight="1">
      <c r="U955" s="48"/>
    </row>
    <row r="956" ht="14.25" customHeight="1">
      <c r="U956" s="48"/>
    </row>
    <row r="957" ht="14.25" customHeight="1">
      <c r="U957" s="48"/>
    </row>
    <row r="958" ht="14.25" customHeight="1">
      <c r="U958" s="48"/>
    </row>
    <row r="959" ht="14.25" customHeight="1">
      <c r="U959" s="48"/>
    </row>
    <row r="960" ht="14.25" customHeight="1">
      <c r="U960" s="48"/>
    </row>
    <row r="961" ht="14.25" customHeight="1">
      <c r="U961" s="48"/>
    </row>
    <row r="962" ht="14.25" customHeight="1">
      <c r="U962" s="48"/>
    </row>
    <row r="963" ht="14.25" customHeight="1">
      <c r="U963" s="48"/>
    </row>
    <row r="964" ht="14.25" customHeight="1">
      <c r="U964" s="48"/>
    </row>
    <row r="965" ht="14.25" customHeight="1">
      <c r="U965" s="48"/>
    </row>
    <row r="966" ht="14.25" customHeight="1"/>
    <row r="967" ht="14.25" customHeight="1"/>
    <row r="968" ht="14.25" customHeight="1"/>
    <row r="969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6.63"/>
    <col customWidth="1" min="20" max="20" width="8.75"/>
    <col customWidth="1" min="21" max="21" width="6.63"/>
    <col customWidth="1" min="22" max="23" width="8.0"/>
    <col customWidth="1" min="24" max="36" width="6.63"/>
  </cols>
  <sheetData>
    <row r="1" ht="14.25" customHeight="1">
      <c r="U1" s="48"/>
    </row>
    <row r="2" ht="14.25" customHeight="1">
      <c r="A2" s="36" t="s">
        <v>33</v>
      </c>
      <c r="B2" s="36" t="s">
        <v>34</v>
      </c>
      <c r="C2" s="36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39</v>
      </c>
      <c r="P2" s="36" t="s">
        <v>47</v>
      </c>
      <c r="Q2" s="36" t="s">
        <v>48</v>
      </c>
      <c r="R2" s="36" t="s">
        <v>49</v>
      </c>
      <c r="S2" s="36" t="s">
        <v>50</v>
      </c>
      <c r="T2" s="36" t="s">
        <v>51</v>
      </c>
      <c r="U2" s="48"/>
    </row>
    <row r="3" ht="14.25" customHeight="1">
      <c r="A3" s="36" t="s">
        <v>53</v>
      </c>
      <c r="B3" s="36" t="s">
        <v>54</v>
      </c>
      <c r="C3" s="36" t="s">
        <v>55</v>
      </c>
      <c r="D3" s="36" t="s">
        <v>55</v>
      </c>
      <c r="E3" s="36" t="s">
        <v>56</v>
      </c>
      <c r="F3" s="36" t="s">
        <v>38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  <c r="O3" s="36" t="s">
        <v>57</v>
      </c>
      <c r="P3" s="36" t="s">
        <v>65</v>
      </c>
      <c r="Q3" s="36" t="s">
        <v>48</v>
      </c>
      <c r="R3" s="36" t="s">
        <v>66</v>
      </c>
      <c r="S3" s="36" t="s">
        <v>67</v>
      </c>
      <c r="T3" s="36" t="s">
        <v>68</v>
      </c>
      <c r="U3" s="48"/>
    </row>
    <row r="4" ht="14.25" customHeight="1">
      <c r="A4" s="36" t="s">
        <v>69</v>
      </c>
      <c r="B4" s="36" t="s">
        <v>70</v>
      </c>
      <c r="C4" s="36" t="s">
        <v>71</v>
      </c>
      <c r="D4" s="36" t="s">
        <v>72</v>
      </c>
      <c r="E4" s="36" t="s">
        <v>72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77</v>
      </c>
      <c r="L4" s="36" t="s">
        <v>76</v>
      </c>
      <c r="M4" s="36" t="s">
        <v>78</v>
      </c>
      <c r="N4" s="36" t="s">
        <v>78</v>
      </c>
      <c r="O4" s="36" t="s">
        <v>73</v>
      </c>
      <c r="P4" s="36" t="s">
        <v>76</v>
      </c>
      <c r="R4" s="36" t="s">
        <v>79</v>
      </c>
      <c r="S4" s="36" t="s">
        <v>79</v>
      </c>
      <c r="T4" s="36" t="s">
        <v>79</v>
      </c>
      <c r="U4" s="24" t="s">
        <v>92</v>
      </c>
      <c r="V4" s="8" t="s">
        <v>85</v>
      </c>
      <c r="W4" s="8" t="s">
        <v>93</v>
      </c>
    </row>
    <row r="5" ht="14.25" customHeight="1">
      <c r="A5" s="36" t="s">
        <v>87</v>
      </c>
      <c r="U5" s="48"/>
    </row>
    <row r="6" ht="14.25" customHeight="1">
      <c r="A6" s="38">
        <v>0.08611111111111111</v>
      </c>
      <c r="B6" s="36">
        <v>0.0</v>
      </c>
      <c r="C6" s="36">
        <v>9.2</v>
      </c>
      <c r="D6" s="36">
        <v>369.0</v>
      </c>
      <c r="E6" s="36">
        <v>339.0</v>
      </c>
      <c r="F6" s="36">
        <v>0.92</v>
      </c>
      <c r="G6" s="36">
        <v>22.0</v>
      </c>
      <c r="H6" s="36">
        <v>0.44</v>
      </c>
      <c r="I6" s="36">
        <v>9.4</v>
      </c>
      <c r="J6" s="36">
        <v>89.6</v>
      </c>
      <c r="K6" s="36">
        <v>77.0</v>
      </c>
      <c r="L6" s="36">
        <v>63.4</v>
      </c>
      <c r="M6" s="36">
        <v>101.0</v>
      </c>
      <c r="N6" s="36">
        <v>42.0</v>
      </c>
      <c r="O6" s="36">
        <v>22.0</v>
      </c>
      <c r="P6" s="36" t="s">
        <v>102</v>
      </c>
      <c r="Q6" s="36">
        <v>0.27</v>
      </c>
      <c r="R6" s="36">
        <v>0.74</v>
      </c>
      <c r="S6" s="36">
        <v>2.04</v>
      </c>
      <c r="T6" s="36">
        <v>2.78</v>
      </c>
      <c r="U6" s="49">
        <f t="shared" ref="U6:U210" si="1">T6*1000</f>
        <v>2780</v>
      </c>
      <c r="V6" s="21">
        <f t="shared" ref="V6:V120" si="2">(U6-U7)^2</f>
        <v>2500</v>
      </c>
      <c r="W6" s="21">
        <f>SQRT(AVERAGE(V6:V151))</f>
        <v>174.8299667</v>
      </c>
    </row>
    <row r="7" ht="14.25" customHeight="1">
      <c r="A7" s="38">
        <v>0.08819444444444445</v>
      </c>
      <c r="B7" s="36">
        <v>0.0</v>
      </c>
      <c r="C7" s="36">
        <v>9.1</v>
      </c>
      <c r="D7" s="36">
        <v>365.0</v>
      </c>
      <c r="E7" s="36">
        <v>337.0</v>
      </c>
      <c r="F7" s="36">
        <v>0.92</v>
      </c>
      <c r="G7" s="36">
        <v>21.0</v>
      </c>
      <c r="H7" s="36">
        <v>0.45</v>
      </c>
      <c r="I7" s="36">
        <v>9.4</v>
      </c>
      <c r="J7" s="36">
        <v>89.6</v>
      </c>
      <c r="K7" s="36">
        <v>78.0</v>
      </c>
      <c r="L7" s="36">
        <v>62.8</v>
      </c>
      <c r="M7" s="36">
        <v>101.0</v>
      </c>
      <c r="N7" s="36">
        <v>42.0</v>
      </c>
      <c r="O7" s="36">
        <v>21.0</v>
      </c>
      <c r="P7" s="36" t="s">
        <v>102</v>
      </c>
      <c r="Q7" s="36">
        <v>0.27</v>
      </c>
      <c r="R7" s="36">
        <v>0.77</v>
      </c>
      <c r="S7" s="36">
        <v>2.06</v>
      </c>
      <c r="T7" s="36">
        <v>2.83</v>
      </c>
      <c r="U7" s="49">
        <f t="shared" si="1"/>
        <v>2830</v>
      </c>
      <c r="V7" s="21">
        <f t="shared" si="2"/>
        <v>10000</v>
      </c>
    </row>
    <row r="8" ht="14.25" customHeight="1">
      <c r="A8" s="38">
        <v>0.09027777777777778</v>
      </c>
      <c r="B8" s="36">
        <v>0.0</v>
      </c>
      <c r="C8" s="36">
        <v>9.7</v>
      </c>
      <c r="D8" s="36">
        <v>389.0</v>
      </c>
      <c r="E8" s="36">
        <v>359.0</v>
      </c>
      <c r="F8" s="36">
        <v>0.92</v>
      </c>
      <c r="G8" s="36">
        <v>20.0</v>
      </c>
      <c r="H8" s="36">
        <v>0.49</v>
      </c>
      <c r="I8" s="36">
        <v>10.0</v>
      </c>
      <c r="J8" s="36">
        <v>89.0</v>
      </c>
      <c r="K8" s="36">
        <v>79.0</v>
      </c>
      <c r="L8" s="36">
        <v>62.5</v>
      </c>
      <c r="M8" s="36">
        <v>102.0</v>
      </c>
      <c r="N8" s="36">
        <v>41.0</v>
      </c>
      <c r="O8" s="36">
        <v>20.0</v>
      </c>
      <c r="P8" s="36" t="s">
        <v>102</v>
      </c>
      <c r="Q8" s="36">
        <v>0.28</v>
      </c>
      <c r="R8" s="36">
        <v>0.82</v>
      </c>
      <c r="S8" s="36">
        <v>2.11</v>
      </c>
      <c r="T8" s="36">
        <v>2.93</v>
      </c>
      <c r="U8" s="49">
        <f t="shared" si="1"/>
        <v>2930</v>
      </c>
      <c r="V8" s="21">
        <f t="shared" si="2"/>
        <v>1600</v>
      </c>
    </row>
    <row r="9" ht="14.25" customHeight="1">
      <c r="A9" s="38">
        <v>0.09166666666666666</v>
      </c>
      <c r="B9" s="36">
        <v>1.0</v>
      </c>
      <c r="C9" s="36">
        <v>9.9</v>
      </c>
      <c r="D9" s="36">
        <v>395.0</v>
      </c>
      <c r="E9" s="36">
        <v>364.0</v>
      </c>
      <c r="F9" s="36">
        <v>0.92</v>
      </c>
      <c r="G9" s="36">
        <v>20.0</v>
      </c>
      <c r="H9" s="36">
        <v>0.5</v>
      </c>
      <c r="I9" s="36">
        <v>10.1</v>
      </c>
      <c r="J9" s="36">
        <v>88.8</v>
      </c>
      <c r="K9" s="36">
        <v>81.0</v>
      </c>
      <c r="L9" s="36">
        <v>61.4</v>
      </c>
      <c r="M9" s="36">
        <v>102.0</v>
      </c>
      <c r="N9" s="36">
        <v>41.0</v>
      </c>
      <c r="O9" s="36">
        <v>20.0</v>
      </c>
      <c r="P9" s="36" t="s">
        <v>102</v>
      </c>
      <c r="Q9" s="36">
        <v>0.29</v>
      </c>
      <c r="R9" s="36">
        <v>0.87</v>
      </c>
      <c r="S9" s="36">
        <v>2.11</v>
      </c>
      <c r="T9" s="36">
        <v>2.97</v>
      </c>
      <c r="U9" s="49">
        <f t="shared" si="1"/>
        <v>2970</v>
      </c>
      <c r="V9" s="21">
        <f t="shared" si="2"/>
        <v>48400</v>
      </c>
    </row>
    <row r="10" ht="14.25" customHeight="1">
      <c r="A10" s="38">
        <v>0.09375</v>
      </c>
      <c r="B10" s="36">
        <v>1.0</v>
      </c>
      <c r="C10" s="36">
        <v>10.1</v>
      </c>
      <c r="D10" s="36">
        <v>404.0</v>
      </c>
      <c r="E10" s="36">
        <v>380.0</v>
      </c>
      <c r="F10" s="36">
        <v>0.94</v>
      </c>
      <c r="G10" s="36">
        <v>22.0</v>
      </c>
      <c r="H10" s="36">
        <v>0.5</v>
      </c>
      <c r="I10" s="36">
        <v>10.8</v>
      </c>
      <c r="J10" s="36">
        <v>88.1</v>
      </c>
      <c r="K10" s="36">
        <v>83.0</v>
      </c>
      <c r="L10" s="36">
        <v>60.6</v>
      </c>
      <c r="M10" s="36">
        <v>104.0</v>
      </c>
      <c r="N10" s="36">
        <v>41.0</v>
      </c>
      <c r="O10" s="36">
        <v>22.0</v>
      </c>
      <c r="P10" s="36" t="s">
        <v>102</v>
      </c>
      <c r="Q10" s="36">
        <v>0.3</v>
      </c>
      <c r="R10" s="36">
        <v>0.84</v>
      </c>
      <c r="S10" s="36">
        <v>1.92</v>
      </c>
      <c r="T10" s="36">
        <v>2.75</v>
      </c>
      <c r="U10" s="49">
        <f t="shared" si="1"/>
        <v>2750</v>
      </c>
      <c r="V10" s="21">
        <f t="shared" si="2"/>
        <v>4900</v>
      </c>
    </row>
    <row r="11" ht="14.25" customHeight="1">
      <c r="A11" s="38">
        <v>0.09513888888888888</v>
      </c>
      <c r="B11" s="36">
        <v>2.0</v>
      </c>
      <c r="C11" s="36">
        <v>10.4</v>
      </c>
      <c r="D11" s="36">
        <v>415.0</v>
      </c>
      <c r="E11" s="36">
        <v>393.0</v>
      </c>
      <c r="F11" s="36">
        <v>0.95</v>
      </c>
      <c r="G11" s="36">
        <v>22.0</v>
      </c>
      <c r="H11" s="36">
        <v>0.5</v>
      </c>
      <c r="I11" s="36">
        <v>11.3</v>
      </c>
      <c r="J11" s="36">
        <v>87.6</v>
      </c>
      <c r="K11" s="36">
        <v>84.0</v>
      </c>
      <c r="L11" s="36">
        <v>60.0</v>
      </c>
      <c r="M11" s="36">
        <v>105.0</v>
      </c>
      <c r="N11" s="36">
        <v>40.0</v>
      </c>
      <c r="O11" s="36">
        <v>22.0</v>
      </c>
      <c r="P11" s="36" t="s">
        <v>102</v>
      </c>
      <c r="Q11" s="36">
        <v>0.3</v>
      </c>
      <c r="R11" s="36">
        <v>0.8</v>
      </c>
      <c r="S11" s="36">
        <v>1.88</v>
      </c>
      <c r="T11" s="36">
        <v>2.68</v>
      </c>
      <c r="U11" s="49">
        <f t="shared" si="1"/>
        <v>2680</v>
      </c>
      <c r="V11" s="21">
        <f t="shared" si="2"/>
        <v>0</v>
      </c>
    </row>
    <row r="12" ht="14.25" customHeight="1">
      <c r="A12" s="38">
        <v>0.09722222222222222</v>
      </c>
      <c r="B12" s="36">
        <v>3.0</v>
      </c>
      <c r="C12" s="36">
        <v>10.0</v>
      </c>
      <c r="D12" s="36">
        <v>402.0</v>
      </c>
      <c r="E12" s="36">
        <v>386.0</v>
      </c>
      <c r="F12" s="36">
        <v>0.96</v>
      </c>
      <c r="G12" s="36">
        <v>22.0</v>
      </c>
      <c r="H12" s="36">
        <v>0.5</v>
      </c>
      <c r="I12" s="36">
        <v>11.2</v>
      </c>
      <c r="J12" s="36">
        <v>87.7</v>
      </c>
      <c r="K12" s="36">
        <v>85.0</v>
      </c>
      <c r="L12" s="36">
        <v>59.7</v>
      </c>
      <c r="M12" s="36">
        <v>105.0</v>
      </c>
      <c r="N12" s="36">
        <v>40.0</v>
      </c>
      <c r="O12" s="36">
        <v>22.0</v>
      </c>
      <c r="P12" s="36" t="s">
        <v>102</v>
      </c>
      <c r="Q12" s="36">
        <v>0.28</v>
      </c>
      <c r="R12" s="36">
        <v>0.75</v>
      </c>
      <c r="S12" s="36">
        <v>1.93</v>
      </c>
      <c r="T12" s="36">
        <v>2.68</v>
      </c>
      <c r="U12" s="49">
        <f t="shared" si="1"/>
        <v>2680</v>
      </c>
      <c r="V12" s="21">
        <f t="shared" si="2"/>
        <v>100</v>
      </c>
    </row>
    <row r="13" ht="14.25" customHeight="1">
      <c r="A13" s="38">
        <v>0.09861111111111111</v>
      </c>
      <c r="B13" s="36">
        <v>4.0</v>
      </c>
      <c r="C13" s="36">
        <v>10.3</v>
      </c>
      <c r="D13" s="36">
        <v>414.0</v>
      </c>
      <c r="E13" s="36">
        <v>394.0</v>
      </c>
      <c r="F13" s="36">
        <v>0.95</v>
      </c>
      <c r="G13" s="36">
        <v>22.0</v>
      </c>
      <c r="H13" s="36">
        <v>0.5</v>
      </c>
      <c r="I13" s="36">
        <v>11.3</v>
      </c>
      <c r="J13" s="36">
        <v>87.5</v>
      </c>
      <c r="K13" s="36">
        <v>86.0</v>
      </c>
      <c r="L13" s="36">
        <v>58.9</v>
      </c>
      <c r="M13" s="36">
        <v>104.0</v>
      </c>
      <c r="N13" s="36">
        <v>41.0</v>
      </c>
      <c r="O13" s="36">
        <v>22.0</v>
      </c>
      <c r="P13" s="36" t="s">
        <v>102</v>
      </c>
      <c r="Q13" s="36">
        <v>0.28</v>
      </c>
      <c r="R13" s="36">
        <v>0.74</v>
      </c>
      <c r="S13" s="36">
        <v>1.92</v>
      </c>
      <c r="T13" s="36">
        <v>2.67</v>
      </c>
      <c r="U13" s="49">
        <f t="shared" si="1"/>
        <v>2670</v>
      </c>
      <c r="V13" s="21">
        <f t="shared" si="2"/>
        <v>12100</v>
      </c>
    </row>
    <row r="14" ht="14.25" customHeight="1">
      <c r="A14" s="38">
        <v>0.10069444444444445</v>
      </c>
      <c r="B14" s="36">
        <v>5.0</v>
      </c>
      <c r="C14" s="36">
        <v>10.4</v>
      </c>
      <c r="D14" s="36">
        <v>417.0</v>
      </c>
      <c r="E14" s="36">
        <v>398.0</v>
      </c>
      <c r="F14" s="36">
        <v>0.95</v>
      </c>
      <c r="G14" s="36">
        <v>23.0</v>
      </c>
      <c r="H14" s="36">
        <v>0.49</v>
      </c>
      <c r="I14" s="36">
        <v>11.5</v>
      </c>
      <c r="J14" s="36">
        <v>87.3</v>
      </c>
      <c r="K14" s="36">
        <v>89.0</v>
      </c>
      <c r="L14" s="36">
        <v>57.6</v>
      </c>
      <c r="M14" s="36">
        <v>104.0</v>
      </c>
      <c r="N14" s="36">
        <v>41.0</v>
      </c>
      <c r="O14" s="36">
        <v>23.0</v>
      </c>
      <c r="P14" s="36" t="s">
        <v>102</v>
      </c>
      <c r="Q14" s="36">
        <v>0.27</v>
      </c>
      <c r="R14" s="36">
        <v>0.69</v>
      </c>
      <c r="S14" s="36">
        <v>1.87</v>
      </c>
      <c r="T14" s="36">
        <v>2.56</v>
      </c>
      <c r="U14" s="49">
        <f t="shared" si="1"/>
        <v>2560</v>
      </c>
      <c r="V14" s="21">
        <f t="shared" si="2"/>
        <v>8100</v>
      </c>
    </row>
    <row r="15" ht="14.25" customHeight="1">
      <c r="A15" s="38">
        <v>0.10208333333333333</v>
      </c>
      <c r="B15" s="36">
        <v>6.0</v>
      </c>
      <c r="C15" s="36">
        <v>10.4</v>
      </c>
      <c r="D15" s="36">
        <v>415.0</v>
      </c>
      <c r="E15" s="36">
        <v>390.0</v>
      </c>
      <c r="F15" s="36">
        <v>0.94</v>
      </c>
      <c r="G15" s="36">
        <v>24.0</v>
      </c>
      <c r="H15" s="36">
        <v>0.47</v>
      </c>
      <c r="I15" s="36">
        <v>11.4</v>
      </c>
      <c r="J15" s="36">
        <v>87.4</v>
      </c>
      <c r="K15" s="36">
        <v>94.0</v>
      </c>
      <c r="L15" s="36">
        <v>55.1</v>
      </c>
      <c r="M15" s="36">
        <v>103.0</v>
      </c>
      <c r="N15" s="36">
        <v>41.0</v>
      </c>
      <c r="O15" s="36">
        <v>24.0</v>
      </c>
      <c r="P15" s="36" t="s">
        <v>102</v>
      </c>
      <c r="Q15" s="36">
        <v>0.27</v>
      </c>
      <c r="R15" s="36">
        <v>0.67</v>
      </c>
      <c r="S15" s="36">
        <v>1.8</v>
      </c>
      <c r="T15" s="36">
        <v>2.47</v>
      </c>
      <c r="U15" s="49">
        <f t="shared" si="1"/>
        <v>2470</v>
      </c>
      <c r="V15" s="21">
        <f t="shared" si="2"/>
        <v>100</v>
      </c>
    </row>
    <row r="16" ht="14.25" customHeight="1">
      <c r="A16" s="38">
        <v>0.10347222222222222</v>
      </c>
      <c r="B16" s="36">
        <v>6.0</v>
      </c>
      <c r="C16" s="36">
        <v>10.4</v>
      </c>
      <c r="D16" s="36">
        <v>418.0</v>
      </c>
      <c r="E16" s="36">
        <v>394.0</v>
      </c>
      <c r="F16" s="36">
        <v>0.94</v>
      </c>
      <c r="G16" s="36">
        <v>24.0</v>
      </c>
      <c r="H16" s="36">
        <v>0.47</v>
      </c>
      <c r="I16" s="36">
        <v>11.4</v>
      </c>
      <c r="J16" s="36">
        <v>87.4</v>
      </c>
      <c r="K16" s="36">
        <v>95.0</v>
      </c>
      <c r="L16" s="36">
        <v>55.0</v>
      </c>
      <c r="M16" s="36">
        <v>103.0</v>
      </c>
      <c r="N16" s="36">
        <v>41.0</v>
      </c>
      <c r="O16" s="36">
        <v>24.0</v>
      </c>
      <c r="P16" s="36" t="s">
        <v>102</v>
      </c>
      <c r="Q16" s="36">
        <v>0.27</v>
      </c>
      <c r="R16" s="36">
        <v>0.65</v>
      </c>
      <c r="S16" s="36">
        <v>1.81</v>
      </c>
      <c r="T16" s="36">
        <v>2.46</v>
      </c>
      <c r="U16" s="49">
        <f t="shared" si="1"/>
        <v>2460</v>
      </c>
      <c r="V16" s="21">
        <f t="shared" si="2"/>
        <v>16900</v>
      </c>
    </row>
    <row r="17" ht="14.25" customHeight="1">
      <c r="A17" s="38">
        <v>0.10486111111111111</v>
      </c>
      <c r="B17" s="36">
        <v>7.0</v>
      </c>
      <c r="C17" s="36">
        <v>11.1</v>
      </c>
      <c r="D17" s="36">
        <v>444.0</v>
      </c>
      <c r="E17" s="36">
        <v>413.0</v>
      </c>
      <c r="F17" s="36">
        <v>0.93</v>
      </c>
      <c r="G17" s="36">
        <v>26.0</v>
      </c>
      <c r="H17" s="36">
        <v>0.46</v>
      </c>
      <c r="I17" s="36">
        <v>11.9</v>
      </c>
      <c r="J17" s="36">
        <v>86.9</v>
      </c>
      <c r="K17" s="36">
        <v>93.0</v>
      </c>
      <c r="L17" s="36">
        <v>55.6</v>
      </c>
      <c r="M17" s="36">
        <v>103.0</v>
      </c>
      <c r="N17" s="36">
        <v>41.0</v>
      </c>
      <c r="O17" s="36">
        <v>26.0</v>
      </c>
      <c r="P17" s="36" t="s">
        <v>102</v>
      </c>
      <c r="Q17" s="36">
        <v>0.29</v>
      </c>
      <c r="R17" s="36">
        <v>0.68</v>
      </c>
      <c r="S17" s="36">
        <v>1.66</v>
      </c>
      <c r="T17" s="36">
        <v>2.33</v>
      </c>
      <c r="U17" s="49">
        <f t="shared" si="1"/>
        <v>2330</v>
      </c>
      <c r="V17" s="21">
        <f t="shared" si="2"/>
        <v>3600</v>
      </c>
    </row>
    <row r="18" ht="14.25" customHeight="1">
      <c r="A18" s="38">
        <v>0.10625</v>
      </c>
      <c r="B18" s="36">
        <v>8.0</v>
      </c>
      <c r="C18" s="36">
        <v>11.8</v>
      </c>
      <c r="D18" s="36">
        <v>471.0</v>
      </c>
      <c r="E18" s="36">
        <v>433.0</v>
      </c>
      <c r="F18" s="36">
        <v>0.92</v>
      </c>
      <c r="G18" s="36">
        <v>26.0</v>
      </c>
      <c r="H18" s="36">
        <v>0.47</v>
      </c>
      <c r="I18" s="36">
        <v>12.4</v>
      </c>
      <c r="J18" s="36">
        <v>86.3</v>
      </c>
      <c r="K18" s="36">
        <v>94.0</v>
      </c>
      <c r="L18" s="36">
        <v>55.2</v>
      </c>
      <c r="M18" s="36">
        <v>102.0</v>
      </c>
      <c r="N18" s="36">
        <v>41.0</v>
      </c>
      <c r="O18" s="36">
        <v>26.0</v>
      </c>
      <c r="P18" s="36" t="s">
        <v>102</v>
      </c>
      <c r="Q18" s="36">
        <v>0.32</v>
      </c>
      <c r="R18" s="36">
        <v>0.72</v>
      </c>
      <c r="S18" s="36">
        <v>1.55</v>
      </c>
      <c r="T18" s="36">
        <v>2.27</v>
      </c>
      <c r="U18" s="49">
        <f t="shared" si="1"/>
        <v>2270</v>
      </c>
      <c r="V18" s="21">
        <f t="shared" si="2"/>
        <v>0</v>
      </c>
    </row>
    <row r="19" ht="14.25" customHeight="1">
      <c r="A19" s="38">
        <v>0.10833333333333334</v>
      </c>
      <c r="B19" s="36">
        <v>8.0</v>
      </c>
      <c r="C19" s="36">
        <v>11.8</v>
      </c>
      <c r="D19" s="36">
        <v>471.0</v>
      </c>
      <c r="E19" s="36">
        <v>433.0</v>
      </c>
      <c r="F19" s="36">
        <v>0.92</v>
      </c>
      <c r="G19" s="36">
        <v>26.0</v>
      </c>
      <c r="H19" s="36">
        <v>0.47</v>
      </c>
      <c r="I19" s="36">
        <v>12.4</v>
      </c>
      <c r="J19" s="36">
        <v>86.3</v>
      </c>
      <c r="K19" s="36">
        <v>94.0</v>
      </c>
      <c r="L19" s="36">
        <v>55.2</v>
      </c>
      <c r="M19" s="36">
        <v>102.0</v>
      </c>
      <c r="N19" s="36">
        <v>41.0</v>
      </c>
      <c r="O19" s="36">
        <v>26.0</v>
      </c>
      <c r="P19" s="36" t="s">
        <v>102</v>
      </c>
      <c r="Q19" s="36">
        <v>0.32</v>
      </c>
      <c r="R19" s="36">
        <v>0.72</v>
      </c>
      <c r="S19" s="36">
        <v>1.55</v>
      </c>
      <c r="T19" s="36">
        <v>2.27</v>
      </c>
      <c r="U19" s="49">
        <f t="shared" si="1"/>
        <v>2270</v>
      </c>
      <c r="V19" s="21">
        <f t="shared" si="2"/>
        <v>16900</v>
      </c>
    </row>
    <row r="20" ht="14.25" customHeight="1">
      <c r="A20" s="38">
        <v>0.11041666666666666</v>
      </c>
      <c r="B20" s="36">
        <v>9.0</v>
      </c>
      <c r="C20" s="36">
        <v>11.3</v>
      </c>
      <c r="D20" s="36">
        <v>453.0</v>
      </c>
      <c r="E20" s="36">
        <v>421.0</v>
      </c>
      <c r="F20" s="36">
        <v>0.93</v>
      </c>
      <c r="G20" s="36">
        <v>25.0</v>
      </c>
      <c r="H20" s="36">
        <v>0.49</v>
      </c>
      <c r="I20" s="36">
        <v>12.1</v>
      </c>
      <c r="J20" s="36">
        <v>86.6</v>
      </c>
      <c r="K20" s="36">
        <v>93.0</v>
      </c>
      <c r="L20" s="36">
        <v>55.7</v>
      </c>
      <c r="M20" s="36">
        <v>103.0</v>
      </c>
      <c r="N20" s="36">
        <v>41.0</v>
      </c>
      <c r="O20" s="36">
        <v>25.0</v>
      </c>
      <c r="P20" s="36" t="s">
        <v>102</v>
      </c>
      <c r="Q20" s="36">
        <v>0.32</v>
      </c>
      <c r="R20" s="36">
        <v>0.76</v>
      </c>
      <c r="S20" s="36">
        <v>1.64</v>
      </c>
      <c r="T20" s="36">
        <v>2.4</v>
      </c>
      <c r="U20" s="49">
        <f t="shared" si="1"/>
        <v>2400</v>
      </c>
      <c r="V20" s="21">
        <f t="shared" si="2"/>
        <v>10000</v>
      </c>
    </row>
    <row r="21" ht="14.25" customHeight="1">
      <c r="A21" s="38">
        <v>0.1125</v>
      </c>
      <c r="B21" s="36">
        <v>10.0</v>
      </c>
      <c r="C21" s="36">
        <v>11.6</v>
      </c>
      <c r="D21" s="36">
        <v>462.0</v>
      </c>
      <c r="E21" s="36">
        <v>437.0</v>
      </c>
      <c r="F21" s="36">
        <v>0.95</v>
      </c>
      <c r="G21" s="36">
        <v>24.0</v>
      </c>
      <c r="H21" s="36">
        <v>0.52</v>
      </c>
      <c r="I21" s="36">
        <v>12.5</v>
      </c>
      <c r="J21" s="36">
        <v>86.2</v>
      </c>
      <c r="K21" s="36">
        <v>92.0</v>
      </c>
      <c r="L21" s="36">
        <v>56.1</v>
      </c>
      <c r="M21" s="36">
        <v>104.0</v>
      </c>
      <c r="N21" s="36">
        <v>41.0</v>
      </c>
      <c r="O21" s="36">
        <v>24.0</v>
      </c>
      <c r="P21" s="36" t="s">
        <v>102</v>
      </c>
      <c r="Q21" s="36">
        <v>0.33</v>
      </c>
      <c r="R21" s="36">
        <v>0.83</v>
      </c>
      <c r="S21" s="36">
        <v>1.68</v>
      </c>
      <c r="T21" s="36">
        <v>2.5</v>
      </c>
      <c r="U21" s="49">
        <f t="shared" si="1"/>
        <v>2500</v>
      </c>
      <c r="V21" s="21">
        <f t="shared" si="2"/>
        <v>1600</v>
      </c>
    </row>
    <row r="22" ht="14.25" customHeight="1">
      <c r="A22" s="38">
        <v>0.11388888888888889</v>
      </c>
      <c r="B22" s="36">
        <v>11.0</v>
      </c>
      <c r="C22" s="36">
        <v>11.5</v>
      </c>
      <c r="D22" s="36">
        <v>462.0</v>
      </c>
      <c r="E22" s="36">
        <v>443.0</v>
      </c>
      <c r="F22" s="36">
        <v>0.96</v>
      </c>
      <c r="G22" s="36">
        <v>24.0</v>
      </c>
      <c r="H22" s="36">
        <v>0.53</v>
      </c>
      <c r="I22" s="36">
        <v>12.6</v>
      </c>
      <c r="J22" s="36">
        <v>86.2</v>
      </c>
      <c r="K22" s="36">
        <v>92.0</v>
      </c>
      <c r="L22" s="36">
        <v>56.1</v>
      </c>
      <c r="M22" s="36">
        <v>104.0</v>
      </c>
      <c r="N22" s="36">
        <v>41.0</v>
      </c>
      <c r="O22" s="36">
        <v>24.0</v>
      </c>
      <c r="P22" s="36" t="s">
        <v>102</v>
      </c>
      <c r="Q22" s="36">
        <v>0.31</v>
      </c>
      <c r="R22" s="36">
        <v>0.79</v>
      </c>
      <c r="S22" s="36">
        <v>1.75</v>
      </c>
      <c r="T22" s="36">
        <v>2.54</v>
      </c>
      <c r="U22" s="49">
        <f t="shared" si="1"/>
        <v>2540</v>
      </c>
      <c r="V22" s="21">
        <f t="shared" si="2"/>
        <v>6400</v>
      </c>
    </row>
    <row r="23" ht="14.25" customHeight="1">
      <c r="A23" s="38">
        <v>0.11597222222222223</v>
      </c>
      <c r="B23" s="36">
        <v>12.0</v>
      </c>
      <c r="C23" s="36">
        <v>10.9</v>
      </c>
      <c r="D23" s="36">
        <v>438.0</v>
      </c>
      <c r="E23" s="36">
        <v>422.0</v>
      </c>
      <c r="F23" s="36">
        <v>0.96</v>
      </c>
      <c r="G23" s="36">
        <v>23.0</v>
      </c>
      <c r="H23" s="36">
        <v>0.52</v>
      </c>
      <c r="I23" s="36">
        <v>12.0</v>
      </c>
      <c r="J23" s="36">
        <v>86.8</v>
      </c>
      <c r="K23" s="36">
        <v>89.0</v>
      </c>
      <c r="L23" s="36">
        <v>57.6</v>
      </c>
      <c r="M23" s="36">
        <v>104.0</v>
      </c>
      <c r="N23" s="36">
        <v>41.0</v>
      </c>
      <c r="O23" s="36">
        <v>23.0</v>
      </c>
      <c r="P23" s="36" t="s">
        <v>102</v>
      </c>
      <c r="Q23" s="36">
        <v>0.29</v>
      </c>
      <c r="R23" s="36">
        <v>0.77</v>
      </c>
      <c r="S23" s="36">
        <v>1.85</v>
      </c>
      <c r="T23" s="36">
        <v>2.62</v>
      </c>
      <c r="U23" s="49">
        <f t="shared" si="1"/>
        <v>2620</v>
      </c>
      <c r="V23" s="21">
        <f t="shared" si="2"/>
        <v>396900</v>
      </c>
    </row>
    <row r="24" ht="14.25" customHeight="1">
      <c r="A24" s="38">
        <v>0.11944444444444445</v>
      </c>
      <c r="B24" s="36">
        <v>14.0</v>
      </c>
      <c r="C24" s="36">
        <v>10.4</v>
      </c>
      <c r="D24" s="36">
        <v>416.0</v>
      </c>
      <c r="E24" s="36">
        <v>407.0</v>
      </c>
      <c r="F24" s="36">
        <v>0.98</v>
      </c>
      <c r="G24" s="36">
        <v>18.0</v>
      </c>
      <c r="H24" s="36">
        <v>0.61</v>
      </c>
      <c r="I24" s="36">
        <v>11.2</v>
      </c>
      <c r="J24" s="36">
        <v>87.6</v>
      </c>
      <c r="K24" s="36">
        <v>88.0</v>
      </c>
      <c r="L24" s="36">
        <v>58.3</v>
      </c>
      <c r="M24" s="36">
        <v>104.0</v>
      </c>
      <c r="N24" s="36">
        <v>41.0</v>
      </c>
      <c r="O24" s="36">
        <v>18.0</v>
      </c>
      <c r="P24" s="36" t="s">
        <v>102</v>
      </c>
      <c r="Q24" s="36">
        <v>0.31</v>
      </c>
      <c r="R24" s="36">
        <v>1.0</v>
      </c>
      <c r="S24" s="36">
        <v>2.25</v>
      </c>
      <c r="T24" s="36">
        <v>3.25</v>
      </c>
      <c r="U24" s="49">
        <f t="shared" si="1"/>
        <v>3250</v>
      </c>
      <c r="V24" s="21">
        <f t="shared" si="2"/>
        <v>8100</v>
      </c>
    </row>
    <row r="25" ht="14.25" customHeight="1">
      <c r="A25" s="38">
        <v>0.12361111111111112</v>
      </c>
      <c r="B25" s="36">
        <v>16.0</v>
      </c>
      <c r="C25" s="36">
        <v>9.9</v>
      </c>
      <c r="D25" s="36">
        <v>396.0</v>
      </c>
      <c r="E25" s="36">
        <v>385.0</v>
      </c>
      <c r="F25" s="36">
        <v>0.97</v>
      </c>
      <c r="G25" s="36">
        <v>19.0</v>
      </c>
      <c r="H25" s="36">
        <v>0.57</v>
      </c>
      <c r="I25" s="36">
        <v>10.8</v>
      </c>
      <c r="J25" s="36">
        <v>88.1</v>
      </c>
      <c r="K25" s="36">
        <v>85.0</v>
      </c>
      <c r="L25" s="36">
        <v>59.4</v>
      </c>
      <c r="M25" s="36">
        <v>104.0</v>
      </c>
      <c r="N25" s="36">
        <v>41.0</v>
      </c>
      <c r="O25" s="36">
        <v>19.0</v>
      </c>
      <c r="P25" s="36" t="s">
        <v>102</v>
      </c>
      <c r="Q25" s="36">
        <v>0.3</v>
      </c>
      <c r="R25" s="36">
        <v>0.94</v>
      </c>
      <c r="S25" s="36">
        <v>2.22</v>
      </c>
      <c r="T25" s="36">
        <v>3.16</v>
      </c>
      <c r="U25" s="49">
        <f t="shared" si="1"/>
        <v>3160</v>
      </c>
      <c r="V25" s="21">
        <f t="shared" si="2"/>
        <v>22500</v>
      </c>
    </row>
    <row r="26" ht="14.25" customHeight="1">
      <c r="A26" s="38">
        <v>0.12569444444444444</v>
      </c>
      <c r="B26" s="36">
        <v>17.0</v>
      </c>
      <c r="C26" s="36">
        <v>10.5</v>
      </c>
      <c r="D26" s="36">
        <v>420.0</v>
      </c>
      <c r="E26" s="36">
        <v>397.0</v>
      </c>
      <c r="F26" s="36">
        <v>0.95</v>
      </c>
      <c r="G26" s="36">
        <v>18.0</v>
      </c>
      <c r="H26" s="36">
        <v>0.59</v>
      </c>
      <c r="I26" s="36">
        <v>10.8</v>
      </c>
      <c r="J26" s="36">
        <v>88.2</v>
      </c>
      <c r="K26" s="36">
        <v>83.0</v>
      </c>
      <c r="L26" s="36">
        <v>60.3</v>
      </c>
      <c r="M26" s="36">
        <v>102.0</v>
      </c>
      <c r="N26" s="36">
        <v>42.0</v>
      </c>
      <c r="O26" s="36">
        <v>18.0</v>
      </c>
      <c r="P26" s="36" t="s">
        <v>102</v>
      </c>
      <c r="Q26" s="36">
        <v>0.28</v>
      </c>
      <c r="R26" s="36">
        <v>0.94</v>
      </c>
      <c r="S26" s="36">
        <v>2.37</v>
      </c>
      <c r="T26" s="36">
        <v>3.31</v>
      </c>
      <c r="U26" s="49">
        <f t="shared" si="1"/>
        <v>3310</v>
      </c>
      <c r="V26" s="21">
        <f t="shared" si="2"/>
        <v>100</v>
      </c>
    </row>
    <row r="27" ht="14.25" customHeight="1">
      <c r="A27" s="38">
        <v>0.12777777777777777</v>
      </c>
      <c r="B27" s="36">
        <v>18.0</v>
      </c>
      <c r="C27" s="36">
        <v>10.9</v>
      </c>
      <c r="D27" s="36">
        <v>437.0</v>
      </c>
      <c r="E27" s="36">
        <v>416.0</v>
      </c>
      <c r="F27" s="36">
        <v>0.95</v>
      </c>
      <c r="G27" s="36">
        <v>18.0</v>
      </c>
      <c r="H27" s="36">
        <v>0.62</v>
      </c>
      <c r="I27" s="36">
        <v>11.2</v>
      </c>
      <c r="J27" s="36">
        <v>87.7</v>
      </c>
      <c r="K27" s="36">
        <v>83.0</v>
      </c>
      <c r="L27" s="36">
        <v>60.6</v>
      </c>
      <c r="M27" s="36">
        <v>102.0</v>
      </c>
      <c r="N27" s="36">
        <v>42.0</v>
      </c>
      <c r="O27" s="36">
        <v>18.0</v>
      </c>
      <c r="P27" s="36" t="s">
        <v>102</v>
      </c>
      <c r="Q27" s="36">
        <v>0.3</v>
      </c>
      <c r="R27" s="36">
        <v>0.98</v>
      </c>
      <c r="S27" s="36">
        <v>2.32</v>
      </c>
      <c r="T27" s="36">
        <v>3.3</v>
      </c>
      <c r="U27" s="49">
        <f t="shared" si="1"/>
        <v>3300</v>
      </c>
      <c r="V27" s="21">
        <f t="shared" si="2"/>
        <v>6400</v>
      </c>
    </row>
    <row r="28" ht="14.25" customHeight="1">
      <c r="A28" s="38">
        <v>0.12916666666666668</v>
      </c>
      <c r="B28" s="36">
        <v>19.0</v>
      </c>
      <c r="C28" s="36">
        <v>10.6</v>
      </c>
      <c r="D28" s="36">
        <v>423.0</v>
      </c>
      <c r="E28" s="36">
        <v>394.0</v>
      </c>
      <c r="F28" s="36">
        <v>0.93</v>
      </c>
      <c r="G28" s="36">
        <v>19.0</v>
      </c>
      <c r="H28" s="36">
        <v>0.57</v>
      </c>
      <c r="I28" s="36">
        <v>10.6</v>
      </c>
      <c r="J28" s="36">
        <v>88.3</v>
      </c>
      <c r="K28" s="36">
        <v>82.0</v>
      </c>
      <c r="L28" s="36">
        <v>60.8</v>
      </c>
      <c r="M28" s="36">
        <v>101.0</v>
      </c>
      <c r="N28" s="36">
        <v>42.0</v>
      </c>
      <c r="O28" s="36">
        <v>19.0</v>
      </c>
      <c r="P28" s="36" t="s">
        <v>102</v>
      </c>
      <c r="Q28" s="36">
        <v>0.3</v>
      </c>
      <c r="R28" s="36">
        <v>0.95</v>
      </c>
      <c r="S28" s="36">
        <v>2.27</v>
      </c>
      <c r="T28" s="36">
        <v>3.22</v>
      </c>
      <c r="U28" s="49">
        <f t="shared" si="1"/>
        <v>3220</v>
      </c>
      <c r="V28" s="21">
        <f t="shared" si="2"/>
        <v>400</v>
      </c>
    </row>
    <row r="29" ht="14.25" customHeight="1">
      <c r="A29" s="38">
        <v>0.13125</v>
      </c>
      <c r="B29" s="36">
        <v>19.0</v>
      </c>
      <c r="C29" s="36">
        <v>11.0</v>
      </c>
      <c r="D29" s="36">
        <v>442.0</v>
      </c>
      <c r="E29" s="36">
        <v>402.0</v>
      </c>
      <c r="F29" s="36">
        <v>0.91</v>
      </c>
      <c r="G29" s="36">
        <v>19.0</v>
      </c>
      <c r="H29" s="36">
        <v>0.57</v>
      </c>
      <c r="I29" s="36">
        <v>10.7</v>
      </c>
      <c r="J29" s="36">
        <v>88.2</v>
      </c>
      <c r="K29" s="36">
        <v>85.0</v>
      </c>
      <c r="L29" s="36">
        <v>59.4</v>
      </c>
      <c r="M29" s="36">
        <v>100.0</v>
      </c>
      <c r="N29" s="36">
        <v>42.0</v>
      </c>
      <c r="O29" s="36">
        <v>19.0</v>
      </c>
      <c r="P29" s="36" t="s">
        <v>102</v>
      </c>
      <c r="Q29" s="36">
        <v>0.31</v>
      </c>
      <c r="R29" s="36">
        <v>0.99</v>
      </c>
      <c r="S29" s="36">
        <v>2.21</v>
      </c>
      <c r="T29" s="36">
        <v>3.2</v>
      </c>
      <c r="U29" s="49">
        <f t="shared" si="1"/>
        <v>3200</v>
      </c>
      <c r="V29" s="21">
        <f t="shared" si="2"/>
        <v>1600</v>
      </c>
    </row>
    <row r="30" ht="14.25" customHeight="1">
      <c r="A30" s="38">
        <v>0.13333333333333333</v>
      </c>
      <c r="B30" s="36">
        <v>20.0</v>
      </c>
      <c r="C30" s="36">
        <v>11.8</v>
      </c>
      <c r="D30" s="36">
        <v>473.0</v>
      </c>
      <c r="E30" s="36">
        <v>426.0</v>
      </c>
      <c r="F30" s="36">
        <v>0.9</v>
      </c>
      <c r="G30" s="36">
        <v>19.0</v>
      </c>
      <c r="H30" s="36">
        <v>0.61</v>
      </c>
      <c r="I30" s="36">
        <v>11.2</v>
      </c>
      <c r="J30" s="36">
        <v>87.6</v>
      </c>
      <c r="K30" s="36">
        <v>85.0</v>
      </c>
      <c r="L30" s="36">
        <v>59.5</v>
      </c>
      <c r="M30" s="36">
        <v>100.0</v>
      </c>
      <c r="N30" s="36">
        <v>42.0</v>
      </c>
      <c r="O30" s="36">
        <v>19.0</v>
      </c>
      <c r="P30" s="36" t="s">
        <v>102</v>
      </c>
      <c r="Q30" s="36">
        <v>0.33</v>
      </c>
      <c r="R30" s="36">
        <v>1.06</v>
      </c>
      <c r="S30" s="36">
        <v>2.18</v>
      </c>
      <c r="T30" s="36">
        <v>3.24</v>
      </c>
      <c r="U30" s="49">
        <f t="shared" si="1"/>
        <v>3240</v>
      </c>
      <c r="V30" s="21">
        <f t="shared" si="2"/>
        <v>336400</v>
      </c>
    </row>
    <row r="31" ht="14.25" customHeight="1">
      <c r="A31" s="38">
        <v>0.13472222222222222</v>
      </c>
      <c r="B31" s="36">
        <v>21.0</v>
      </c>
      <c r="C31" s="36">
        <v>11.8</v>
      </c>
      <c r="D31" s="36">
        <v>473.0</v>
      </c>
      <c r="E31" s="36">
        <v>416.0</v>
      </c>
      <c r="F31" s="36">
        <v>0.88</v>
      </c>
      <c r="G31" s="36">
        <v>23.0</v>
      </c>
      <c r="H31" s="36">
        <v>0.5</v>
      </c>
      <c r="I31" s="36">
        <v>11.2</v>
      </c>
      <c r="J31" s="36">
        <v>87.7</v>
      </c>
      <c r="K31" s="36">
        <v>87.0</v>
      </c>
      <c r="L31" s="36">
        <v>58.5</v>
      </c>
      <c r="M31" s="36">
        <v>100.0</v>
      </c>
      <c r="N31" s="36">
        <v>42.0</v>
      </c>
      <c r="O31" s="36">
        <v>23.0</v>
      </c>
      <c r="P31" s="36" t="s">
        <v>102</v>
      </c>
      <c r="Q31" s="36">
        <v>0.31</v>
      </c>
      <c r="R31" s="36">
        <v>0.83</v>
      </c>
      <c r="S31" s="36">
        <v>1.83</v>
      </c>
      <c r="T31" s="36">
        <v>2.66</v>
      </c>
      <c r="U31" s="49">
        <f t="shared" si="1"/>
        <v>2660</v>
      </c>
      <c r="V31" s="21">
        <f t="shared" si="2"/>
        <v>14400</v>
      </c>
    </row>
    <row r="32" ht="14.25" customHeight="1">
      <c r="A32" s="38">
        <v>0.13541666666666666</v>
      </c>
      <c r="B32" s="36">
        <v>22.0</v>
      </c>
      <c r="C32" s="36">
        <v>12.4</v>
      </c>
      <c r="D32" s="36">
        <v>498.0</v>
      </c>
      <c r="E32" s="36">
        <v>434.0</v>
      </c>
      <c r="F32" s="36">
        <v>0.87</v>
      </c>
      <c r="G32" s="36">
        <v>24.0</v>
      </c>
      <c r="H32" s="36">
        <v>0.49</v>
      </c>
      <c r="I32" s="36">
        <v>11.7</v>
      </c>
      <c r="J32" s="36">
        <v>87.1</v>
      </c>
      <c r="K32" s="36">
        <v>85.0</v>
      </c>
      <c r="L32" s="36">
        <v>59.3</v>
      </c>
      <c r="M32" s="36">
        <v>100.0</v>
      </c>
      <c r="N32" s="36">
        <v>42.0</v>
      </c>
      <c r="O32" s="36">
        <v>24.0</v>
      </c>
      <c r="P32" s="36" t="s">
        <v>102</v>
      </c>
      <c r="Q32" s="36">
        <v>0.29</v>
      </c>
      <c r="R32" s="36">
        <v>0.74</v>
      </c>
      <c r="S32" s="36">
        <v>1.8</v>
      </c>
      <c r="T32" s="36">
        <v>2.54</v>
      </c>
      <c r="U32" s="49">
        <f t="shared" si="1"/>
        <v>2540</v>
      </c>
      <c r="V32" s="21">
        <f t="shared" si="2"/>
        <v>90000</v>
      </c>
    </row>
    <row r="33" ht="14.25" customHeight="1">
      <c r="A33" s="38">
        <v>0.13680555555555557</v>
      </c>
      <c r="B33" s="36">
        <v>22.0</v>
      </c>
      <c r="C33" s="36">
        <v>12.7</v>
      </c>
      <c r="D33" s="36">
        <v>509.0</v>
      </c>
      <c r="E33" s="36">
        <v>451.0</v>
      </c>
      <c r="F33" s="36">
        <v>0.89</v>
      </c>
      <c r="G33" s="36">
        <v>27.0</v>
      </c>
      <c r="H33" s="36">
        <v>0.46</v>
      </c>
      <c r="I33" s="36">
        <v>12.4</v>
      </c>
      <c r="J33" s="36">
        <v>86.3</v>
      </c>
      <c r="K33" s="36">
        <v>85.0</v>
      </c>
      <c r="L33" s="36">
        <v>59.3</v>
      </c>
      <c r="M33" s="36">
        <v>102.0</v>
      </c>
      <c r="N33" s="36">
        <v>41.0</v>
      </c>
      <c r="O33" s="36">
        <v>27.0</v>
      </c>
      <c r="P33" s="36" t="s">
        <v>102</v>
      </c>
      <c r="Q33" s="36">
        <v>0.31</v>
      </c>
      <c r="R33" s="36">
        <v>0.69</v>
      </c>
      <c r="S33" s="36">
        <v>1.55</v>
      </c>
      <c r="T33" s="36">
        <v>2.24</v>
      </c>
      <c r="U33" s="49">
        <f t="shared" si="1"/>
        <v>2240</v>
      </c>
      <c r="V33" s="21">
        <f t="shared" si="2"/>
        <v>12100</v>
      </c>
    </row>
    <row r="34" ht="14.25" customHeight="1">
      <c r="A34" s="38">
        <v>0.13819444444444445</v>
      </c>
      <c r="B34" s="36">
        <v>23.0</v>
      </c>
      <c r="C34" s="36">
        <v>12.8</v>
      </c>
      <c r="D34" s="36">
        <v>512.0</v>
      </c>
      <c r="E34" s="36">
        <v>465.0</v>
      </c>
      <c r="F34" s="36">
        <v>0.91</v>
      </c>
      <c r="G34" s="36">
        <v>28.0</v>
      </c>
      <c r="H34" s="36">
        <v>0.47</v>
      </c>
      <c r="I34" s="36">
        <v>13.1</v>
      </c>
      <c r="J34" s="36">
        <v>85.6</v>
      </c>
      <c r="K34" s="36">
        <v>84.0</v>
      </c>
      <c r="L34" s="36">
        <v>60.1</v>
      </c>
      <c r="M34" s="36">
        <v>103.0</v>
      </c>
      <c r="N34" s="36">
        <v>40.0</v>
      </c>
      <c r="O34" s="36">
        <v>28.0</v>
      </c>
      <c r="P34" s="36" t="s">
        <v>102</v>
      </c>
      <c r="Q34" s="36">
        <v>0.32</v>
      </c>
      <c r="R34" s="36">
        <v>0.68</v>
      </c>
      <c r="S34" s="36">
        <v>1.45</v>
      </c>
      <c r="T34" s="36">
        <v>2.13</v>
      </c>
      <c r="U34" s="49">
        <f t="shared" si="1"/>
        <v>2130</v>
      </c>
      <c r="V34" s="21">
        <f t="shared" si="2"/>
        <v>72900</v>
      </c>
    </row>
    <row r="35" ht="14.25" customHeight="1">
      <c r="A35" s="38">
        <v>0.1388888888888889</v>
      </c>
      <c r="B35" s="36">
        <v>23.0</v>
      </c>
      <c r="C35" s="36">
        <v>13.4</v>
      </c>
      <c r="D35" s="36">
        <v>536.0</v>
      </c>
      <c r="E35" s="36">
        <v>494.0</v>
      </c>
      <c r="F35" s="36">
        <v>0.92</v>
      </c>
      <c r="G35" s="36">
        <v>32.0</v>
      </c>
      <c r="H35" s="36">
        <v>0.44</v>
      </c>
      <c r="I35" s="36">
        <v>14.1</v>
      </c>
      <c r="J35" s="36">
        <v>84.5</v>
      </c>
      <c r="K35" s="36">
        <v>84.0</v>
      </c>
      <c r="L35" s="36">
        <v>60.1</v>
      </c>
      <c r="M35" s="36">
        <v>105.0</v>
      </c>
      <c r="N35" s="36">
        <v>40.0</v>
      </c>
      <c r="O35" s="36">
        <v>32.0</v>
      </c>
      <c r="P35" s="36" t="s">
        <v>102</v>
      </c>
      <c r="Q35" s="36">
        <v>0.32</v>
      </c>
      <c r="R35" s="36">
        <v>0.59</v>
      </c>
      <c r="S35" s="36">
        <v>1.27</v>
      </c>
      <c r="T35" s="36">
        <v>1.86</v>
      </c>
      <c r="U35" s="49">
        <f t="shared" si="1"/>
        <v>1860</v>
      </c>
      <c r="V35" s="21">
        <f t="shared" si="2"/>
        <v>28900</v>
      </c>
    </row>
    <row r="36" ht="14.25" customHeight="1">
      <c r="A36" s="38">
        <v>0.14027777777777778</v>
      </c>
      <c r="B36" s="36">
        <v>24.0</v>
      </c>
      <c r="C36" s="36">
        <v>13.1</v>
      </c>
      <c r="D36" s="36">
        <v>522.0</v>
      </c>
      <c r="E36" s="36">
        <v>505.0</v>
      </c>
      <c r="F36" s="36">
        <v>0.97</v>
      </c>
      <c r="G36" s="36">
        <v>36.0</v>
      </c>
      <c r="H36" s="36">
        <v>0.42</v>
      </c>
      <c r="I36" s="36">
        <v>15.0</v>
      </c>
      <c r="J36" s="36">
        <v>83.4</v>
      </c>
      <c r="K36" s="36">
        <v>82.0</v>
      </c>
      <c r="L36" s="36">
        <v>61.0</v>
      </c>
      <c r="M36" s="36">
        <v>107.0</v>
      </c>
      <c r="N36" s="36">
        <v>39.0</v>
      </c>
      <c r="O36" s="36">
        <v>36.0</v>
      </c>
      <c r="P36" s="36" t="s">
        <v>102</v>
      </c>
      <c r="Q36" s="36">
        <v>0.32</v>
      </c>
      <c r="R36" s="36">
        <v>0.54</v>
      </c>
      <c r="S36" s="36">
        <v>1.15</v>
      </c>
      <c r="T36" s="36">
        <v>1.69</v>
      </c>
      <c r="U36" s="49">
        <f t="shared" si="1"/>
        <v>1690</v>
      </c>
      <c r="V36" s="21">
        <f t="shared" si="2"/>
        <v>0</v>
      </c>
    </row>
    <row r="37" ht="14.25" customHeight="1">
      <c r="A37" s="38">
        <v>0.14166666666666666</v>
      </c>
      <c r="B37" s="36">
        <v>25.0</v>
      </c>
      <c r="C37" s="36">
        <v>13.1</v>
      </c>
      <c r="D37" s="36">
        <v>524.0</v>
      </c>
      <c r="E37" s="36">
        <v>505.0</v>
      </c>
      <c r="F37" s="36">
        <v>0.96</v>
      </c>
      <c r="G37" s="36">
        <v>36.0</v>
      </c>
      <c r="H37" s="36">
        <v>0.42</v>
      </c>
      <c r="I37" s="36">
        <v>15.0</v>
      </c>
      <c r="J37" s="36">
        <v>83.4</v>
      </c>
      <c r="K37" s="36">
        <v>83.0</v>
      </c>
      <c r="L37" s="36">
        <v>60.4</v>
      </c>
      <c r="M37" s="36">
        <v>107.0</v>
      </c>
      <c r="N37" s="36">
        <v>39.0</v>
      </c>
      <c r="O37" s="36">
        <v>36.0</v>
      </c>
      <c r="P37" s="36" t="s">
        <v>102</v>
      </c>
      <c r="Q37" s="36">
        <v>0.32</v>
      </c>
      <c r="R37" s="36">
        <v>0.54</v>
      </c>
      <c r="S37" s="36">
        <v>1.15</v>
      </c>
      <c r="T37" s="36">
        <v>1.69</v>
      </c>
      <c r="U37" s="49">
        <f t="shared" si="1"/>
        <v>1690</v>
      </c>
      <c r="V37" s="21">
        <f t="shared" si="2"/>
        <v>0</v>
      </c>
    </row>
    <row r="38" ht="14.25" customHeight="1">
      <c r="A38" s="38">
        <v>0.14375</v>
      </c>
      <c r="B38" s="36">
        <v>25.0</v>
      </c>
      <c r="C38" s="36">
        <v>13.1</v>
      </c>
      <c r="D38" s="36">
        <v>524.0</v>
      </c>
      <c r="E38" s="36">
        <v>505.0</v>
      </c>
      <c r="F38" s="36">
        <v>0.96</v>
      </c>
      <c r="G38" s="36">
        <v>36.0</v>
      </c>
      <c r="H38" s="36">
        <v>0.42</v>
      </c>
      <c r="I38" s="36">
        <v>15.0</v>
      </c>
      <c r="J38" s="36">
        <v>83.4</v>
      </c>
      <c r="K38" s="36">
        <v>81.0</v>
      </c>
      <c r="L38" s="36">
        <v>61.4</v>
      </c>
      <c r="M38" s="36">
        <v>107.0</v>
      </c>
      <c r="N38" s="36">
        <v>39.0</v>
      </c>
      <c r="O38" s="36">
        <v>36.0</v>
      </c>
      <c r="P38" s="36" t="s">
        <v>102</v>
      </c>
      <c r="Q38" s="36">
        <v>0.32</v>
      </c>
      <c r="R38" s="36">
        <v>0.54</v>
      </c>
      <c r="S38" s="36">
        <v>1.15</v>
      </c>
      <c r="T38" s="36">
        <v>1.69</v>
      </c>
      <c r="U38" s="49">
        <f t="shared" si="1"/>
        <v>1690</v>
      </c>
      <c r="V38" s="21">
        <f t="shared" si="2"/>
        <v>19600</v>
      </c>
    </row>
    <row r="39" ht="14.25" customHeight="1">
      <c r="A39" s="38">
        <v>0.1451388888888889</v>
      </c>
      <c r="B39" s="36">
        <v>26.0</v>
      </c>
      <c r="C39" s="36">
        <v>12.5</v>
      </c>
      <c r="D39" s="36">
        <v>499.0</v>
      </c>
      <c r="E39" s="36">
        <v>503.0</v>
      </c>
      <c r="F39" s="36">
        <v>1.01</v>
      </c>
      <c r="G39" s="36">
        <v>33.0</v>
      </c>
      <c r="H39" s="36">
        <v>0.46</v>
      </c>
      <c r="I39" s="36">
        <v>15.1</v>
      </c>
      <c r="J39" s="36">
        <v>83.4</v>
      </c>
      <c r="K39" s="36">
        <v>81.0</v>
      </c>
      <c r="L39" s="36">
        <v>61.2</v>
      </c>
      <c r="M39" s="36">
        <v>109.0</v>
      </c>
      <c r="N39" s="36">
        <v>38.0</v>
      </c>
      <c r="O39" s="36">
        <v>33.0</v>
      </c>
      <c r="P39" s="36" t="s">
        <v>102</v>
      </c>
      <c r="Q39" s="36">
        <v>0.35</v>
      </c>
      <c r="R39" s="36">
        <v>0.63</v>
      </c>
      <c r="S39" s="36">
        <v>1.2</v>
      </c>
      <c r="T39" s="36">
        <v>1.83</v>
      </c>
      <c r="U39" s="49">
        <f t="shared" si="1"/>
        <v>1830</v>
      </c>
      <c r="V39" s="21">
        <f t="shared" si="2"/>
        <v>14400</v>
      </c>
    </row>
    <row r="40" ht="14.25" customHeight="1">
      <c r="A40" s="38">
        <v>0.14652777777777778</v>
      </c>
      <c r="B40" s="36">
        <v>27.0</v>
      </c>
      <c r="C40" s="36">
        <v>11.7</v>
      </c>
      <c r="D40" s="36">
        <v>466.0</v>
      </c>
      <c r="E40" s="36">
        <v>488.0</v>
      </c>
      <c r="F40" s="36">
        <v>1.05</v>
      </c>
      <c r="G40" s="36">
        <v>31.0</v>
      </c>
      <c r="H40" s="36">
        <v>0.48</v>
      </c>
      <c r="I40" s="36">
        <v>14.7</v>
      </c>
      <c r="J40" s="36">
        <v>83.8</v>
      </c>
      <c r="K40" s="36">
        <v>81.0</v>
      </c>
      <c r="L40" s="36">
        <v>61.2</v>
      </c>
      <c r="M40" s="36">
        <v>110.0</v>
      </c>
      <c r="N40" s="36">
        <v>38.0</v>
      </c>
      <c r="O40" s="36">
        <v>31.0</v>
      </c>
      <c r="P40" s="36" t="s">
        <v>102</v>
      </c>
      <c r="Q40" s="36">
        <v>0.36</v>
      </c>
      <c r="R40" s="36">
        <v>0.7</v>
      </c>
      <c r="S40" s="36">
        <v>1.25</v>
      </c>
      <c r="T40" s="36">
        <v>1.95</v>
      </c>
      <c r="U40" s="49">
        <f t="shared" si="1"/>
        <v>1950</v>
      </c>
      <c r="V40" s="21">
        <f t="shared" si="2"/>
        <v>0</v>
      </c>
    </row>
    <row r="41" ht="14.25" customHeight="1">
      <c r="A41" s="38">
        <v>0.14791666666666667</v>
      </c>
      <c r="B41" s="36">
        <v>28.0</v>
      </c>
      <c r="C41" s="36">
        <v>11.6</v>
      </c>
      <c r="D41" s="36">
        <v>463.0</v>
      </c>
      <c r="E41" s="36">
        <v>491.0</v>
      </c>
      <c r="F41" s="36">
        <v>1.06</v>
      </c>
      <c r="G41" s="36">
        <v>31.0</v>
      </c>
      <c r="H41" s="36">
        <v>0.47</v>
      </c>
      <c r="I41" s="36">
        <v>14.6</v>
      </c>
      <c r="J41" s="36">
        <v>83.9</v>
      </c>
      <c r="K41" s="36">
        <v>82.0</v>
      </c>
      <c r="L41" s="36">
        <v>61.1</v>
      </c>
      <c r="M41" s="36">
        <v>110.0</v>
      </c>
      <c r="N41" s="36">
        <v>38.0</v>
      </c>
      <c r="O41" s="36">
        <v>31.0</v>
      </c>
      <c r="P41" s="36" t="s">
        <v>102</v>
      </c>
      <c r="Q41" s="36">
        <v>0.35</v>
      </c>
      <c r="R41" s="36">
        <v>0.69</v>
      </c>
      <c r="S41" s="36">
        <v>1.26</v>
      </c>
      <c r="T41" s="36">
        <v>1.95</v>
      </c>
      <c r="U41" s="49">
        <f t="shared" si="1"/>
        <v>1950</v>
      </c>
      <c r="V41" s="21">
        <f t="shared" si="2"/>
        <v>32400</v>
      </c>
    </row>
    <row r="42" ht="14.25" customHeight="1">
      <c r="A42" s="38">
        <v>0.14930555555555555</v>
      </c>
      <c r="B42" s="36">
        <v>28.0</v>
      </c>
      <c r="C42" s="36">
        <v>11.7</v>
      </c>
      <c r="D42" s="36">
        <v>466.0</v>
      </c>
      <c r="E42" s="36">
        <v>498.0</v>
      </c>
      <c r="F42" s="36">
        <v>1.07</v>
      </c>
      <c r="G42" s="36">
        <v>28.0</v>
      </c>
      <c r="H42" s="36">
        <v>0.52</v>
      </c>
      <c r="I42" s="36">
        <v>14.6</v>
      </c>
      <c r="J42" s="36">
        <v>83.9</v>
      </c>
      <c r="K42" s="36">
        <v>81.0</v>
      </c>
      <c r="L42" s="36">
        <v>61.2</v>
      </c>
      <c r="M42" s="36">
        <v>110.0</v>
      </c>
      <c r="N42" s="36">
        <v>38.0</v>
      </c>
      <c r="O42" s="36">
        <v>28.0</v>
      </c>
      <c r="P42" s="36" t="s">
        <v>102</v>
      </c>
      <c r="Q42" s="36">
        <v>0.36</v>
      </c>
      <c r="R42" s="36">
        <v>0.78</v>
      </c>
      <c r="S42" s="36">
        <v>1.35</v>
      </c>
      <c r="T42" s="36">
        <v>2.13</v>
      </c>
      <c r="U42" s="49">
        <f t="shared" si="1"/>
        <v>2130</v>
      </c>
      <c r="V42" s="21">
        <f t="shared" si="2"/>
        <v>6400</v>
      </c>
    </row>
    <row r="43" ht="14.25" customHeight="1">
      <c r="A43" s="38">
        <v>0.15138888888888888</v>
      </c>
      <c r="B43" s="36">
        <v>29.0</v>
      </c>
      <c r="C43" s="36">
        <v>10.9</v>
      </c>
      <c r="D43" s="36">
        <v>438.0</v>
      </c>
      <c r="E43" s="36">
        <v>469.0</v>
      </c>
      <c r="F43" s="36">
        <v>1.07</v>
      </c>
      <c r="G43" s="36">
        <v>27.0</v>
      </c>
      <c r="H43" s="36">
        <v>0.5</v>
      </c>
      <c r="I43" s="36">
        <v>13.6</v>
      </c>
      <c r="J43" s="36">
        <v>85.1</v>
      </c>
      <c r="K43" s="36">
        <v>81.0</v>
      </c>
      <c r="L43" s="36">
        <v>61.4</v>
      </c>
      <c r="M43" s="36">
        <v>110.0</v>
      </c>
      <c r="N43" s="36">
        <v>39.0</v>
      </c>
      <c r="O43" s="36">
        <v>27.0</v>
      </c>
      <c r="P43" s="36" t="s">
        <v>102</v>
      </c>
      <c r="Q43" s="36">
        <v>0.33</v>
      </c>
      <c r="R43" s="36">
        <v>0.74</v>
      </c>
      <c r="S43" s="36">
        <v>1.47</v>
      </c>
      <c r="T43" s="36">
        <v>2.21</v>
      </c>
      <c r="U43" s="49">
        <f t="shared" si="1"/>
        <v>2210</v>
      </c>
      <c r="V43" s="21">
        <f t="shared" si="2"/>
        <v>4900</v>
      </c>
    </row>
    <row r="44" ht="14.25" customHeight="1">
      <c r="A44" s="38">
        <v>0.1527777777777778</v>
      </c>
      <c r="B44" s="36">
        <v>30.0</v>
      </c>
      <c r="C44" s="36">
        <v>10.5</v>
      </c>
      <c r="D44" s="36">
        <v>421.0</v>
      </c>
      <c r="E44" s="36">
        <v>450.0</v>
      </c>
      <c r="F44" s="36">
        <v>1.07</v>
      </c>
      <c r="G44" s="36">
        <v>28.0</v>
      </c>
      <c r="H44" s="36">
        <v>0.47</v>
      </c>
      <c r="I44" s="36">
        <v>13.1</v>
      </c>
      <c r="J44" s="36">
        <v>85.5</v>
      </c>
      <c r="K44" s="36">
        <v>81.0</v>
      </c>
      <c r="L44" s="36">
        <v>61.3</v>
      </c>
      <c r="M44" s="36">
        <v>110.0</v>
      </c>
      <c r="N44" s="36">
        <v>39.0</v>
      </c>
      <c r="O44" s="36">
        <v>28.0</v>
      </c>
      <c r="P44" s="36" t="s">
        <v>102</v>
      </c>
      <c r="Q44" s="36">
        <v>0.32</v>
      </c>
      <c r="R44" s="36">
        <v>0.68</v>
      </c>
      <c r="S44" s="36">
        <v>1.46</v>
      </c>
      <c r="T44" s="36">
        <v>2.14</v>
      </c>
      <c r="U44" s="49">
        <f t="shared" si="1"/>
        <v>2140</v>
      </c>
      <c r="V44" s="21">
        <f t="shared" si="2"/>
        <v>14400</v>
      </c>
    </row>
    <row r="45" ht="14.25" customHeight="1">
      <c r="A45" s="38">
        <v>0.15416666666666667</v>
      </c>
      <c r="B45" s="36">
        <v>30.0</v>
      </c>
      <c r="C45" s="36">
        <v>10.3</v>
      </c>
      <c r="D45" s="36">
        <v>412.0</v>
      </c>
      <c r="E45" s="36">
        <v>436.0</v>
      </c>
      <c r="F45" s="36">
        <v>1.06</v>
      </c>
      <c r="G45" s="36">
        <v>27.0</v>
      </c>
      <c r="H45" s="36">
        <v>0.48</v>
      </c>
      <c r="I45" s="36">
        <v>12.7</v>
      </c>
      <c r="J45" s="36">
        <v>86.0</v>
      </c>
      <c r="K45" s="36">
        <v>82.0</v>
      </c>
      <c r="L45" s="36">
        <v>60.9</v>
      </c>
      <c r="M45" s="36">
        <v>110.0</v>
      </c>
      <c r="N45" s="36">
        <v>39.0</v>
      </c>
      <c r="O45" s="36">
        <v>27.0</v>
      </c>
      <c r="P45" s="36" t="s">
        <v>102</v>
      </c>
      <c r="Q45" s="36">
        <v>0.31</v>
      </c>
      <c r="R45" s="36">
        <v>0.7</v>
      </c>
      <c r="S45" s="36">
        <v>1.56</v>
      </c>
      <c r="T45" s="36">
        <v>2.26</v>
      </c>
      <c r="U45" s="49">
        <f t="shared" si="1"/>
        <v>2260</v>
      </c>
      <c r="V45" s="21">
        <f t="shared" si="2"/>
        <v>22500</v>
      </c>
    </row>
    <row r="46" ht="14.25" customHeight="1">
      <c r="A46" s="38">
        <v>0.15625</v>
      </c>
      <c r="B46" s="36">
        <v>31.0</v>
      </c>
      <c r="C46" s="36">
        <v>10.3</v>
      </c>
      <c r="D46" s="36">
        <v>413.0</v>
      </c>
      <c r="E46" s="36">
        <v>426.0</v>
      </c>
      <c r="F46" s="36">
        <v>1.03</v>
      </c>
      <c r="G46" s="36">
        <v>25.0</v>
      </c>
      <c r="H46" s="36">
        <v>0.49</v>
      </c>
      <c r="I46" s="36">
        <v>12.2</v>
      </c>
      <c r="J46" s="36">
        <v>86.6</v>
      </c>
      <c r="K46" s="36">
        <v>81.0</v>
      </c>
      <c r="L46" s="36">
        <v>61.4</v>
      </c>
      <c r="M46" s="36">
        <v>108.0</v>
      </c>
      <c r="N46" s="36">
        <v>39.0</v>
      </c>
      <c r="O46" s="36">
        <v>25.0</v>
      </c>
      <c r="P46" s="36" t="s">
        <v>102</v>
      </c>
      <c r="Q46" s="36">
        <v>0.3</v>
      </c>
      <c r="R46" s="36">
        <v>0.72</v>
      </c>
      <c r="S46" s="36">
        <v>1.68</v>
      </c>
      <c r="T46" s="36">
        <v>2.41</v>
      </c>
      <c r="U46" s="49">
        <f t="shared" si="1"/>
        <v>2410</v>
      </c>
      <c r="V46" s="21">
        <f t="shared" si="2"/>
        <v>12100</v>
      </c>
    </row>
    <row r="47" ht="14.25" customHeight="1">
      <c r="A47" s="38">
        <v>0.1625</v>
      </c>
      <c r="B47" s="36">
        <v>34.0</v>
      </c>
      <c r="C47" s="36">
        <v>10.3</v>
      </c>
      <c r="D47" s="36">
        <v>411.0</v>
      </c>
      <c r="E47" s="36">
        <v>404.0</v>
      </c>
      <c r="F47" s="36">
        <v>0.98</v>
      </c>
      <c r="G47" s="36">
        <v>24.0</v>
      </c>
      <c r="H47" s="36">
        <v>0.48</v>
      </c>
      <c r="I47" s="36">
        <v>11.5</v>
      </c>
      <c r="J47" s="36">
        <v>87.3</v>
      </c>
      <c r="K47" s="36">
        <v>81.0</v>
      </c>
      <c r="L47" s="36">
        <v>61.5</v>
      </c>
      <c r="M47" s="36">
        <v>106.0</v>
      </c>
      <c r="N47" s="36">
        <v>40.0</v>
      </c>
      <c r="O47" s="36">
        <v>24.0</v>
      </c>
      <c r="P47" s="36" t="s">
        <v>102</v>
      </c>
      <c r="Q47" s="36">
        <v>0.3</v>
      </c>
      <c r="R47" s="36">
        <v>0.75</v>
      </c>
      <c r="S47" s="36">
        <v>1.77</v>
      </c>
      <c r="T47" s="36">
        <v>2.52</v>
      </c>
      <c r="U47" s="49">
        <f t="shared" si="1"/>
        <v>2520</v>
      </c>
      <c r="V47" s="21">
        <f t="shared" si="2"/>
        <v>57600</v>
      </c>
    </row>
    <row r="48" ht="14.25" customHeight="1">
      <c r="A48" s="38">
        <v>0.16458333333333333</v>
      </c>
      <c r="B48" s="36">
        <v>36.0</v>
      </c>
      <c r="C48" s="36">
        <v>10.4</v>
      </c>
      <c r="D48" s="36">
        <v>417.0</v>
      </c>
      <c r="E48" s="36">
        <v>388.0</v>
      </c>
      <c r="F48" s="36">
        <v>0.93</v>
      </c>
      <c r="G48" s="36">
        <v>22.0</v>
      </c>
      <c r="H48" s="36">
        <v>0.5</v>
      </c>
      <c r="I48" s="36">
        <v>10.8</v>
      </c>
      <c r="J48" s="36">
        <v>88.1</v>
      </c>
      <c r="K48" s="36">
        <v>82.0</v>
      </c>
      <c r="L48" s="36">
        <v>60.9</v>
      </c>
      <c r="M48" s="36">
        <v>103.0</v>
      </c>
      <c r="N48" s="36">
        <v>41.0</v>
      </c>
      <c r="O48" s="36">
        <v>22.0</v>
      </c>
      <c r="P48" s="36" t="s">
        <v>102</v>
      </c>
      <c r="Q48" s="36">
        <v>0.28</v>
      </c>
      <c r="R48" s="36">
        <v>0.77</v>
      </c>
      <c r="S48" s="36">
        <v>1.99</v>
      </c>
      <c r="T48" s="36">
        <v>2.76</v>
      </c>
      <c r="U48" s="49">
        <f t="shared" si="1"/>
        <v>2760</v>
      </c>
      <c r="V48" s="21">
        <f t="shared" si="2"/>
        <v>57600</v>
      </c>
    </row>
    <row r="49" ht="14.25" customHeight="1">
      <c r="A49" s="38">
        <v>0.16666666666666666</v>
      </c>
      <c r="B49" s="36">
        <v>36.0</v>
      </c>
      <c r="C49" s="36">
        <v>10.4</v>
      </c>
      <c r="D49" s="36">
        <v>417.0</v>
      </c>
      <c r="E49" s="36">
        <v>378.0</v>
      </c>
      <c r="F49" s="36">
        <v>0.91</v>
      </c>
      <c r="G49" s="36">
        <v>20.0</v>
      </c>
      <c r="H49" s="36">
        <v>0.52</v>
      </c>
      <c r="I49" s="36">
        <v>10.4</v>
      </c>
      <c r="J49" s="36">
        <v>88.5</v>
      </c>
      <c r="K49" s="36">
        <v>83.0</v>
      </c>
      <c r="L49" s="36">
        <v>60.7</v>
      </c>
      <c r="M49" s="36">
        <v>101.0</v>
      </c>
      <c r="N49" s="36">
        <v>41.0</v>
      </c>
      <c r="O49" s="36">
        <v>20.0</v>
      </c>
      <c r="P49" s="36" t="s">
        <v>102</v>
      </c>
      <c r="Q49" s="36">
        <v>0.29</v>
      </c>
      <c r="R49" s="36">
        <v>0.86</v>
      </c>
      <c r="S49" s="36">
        <v>2.14</v>
      </c>
      <c r="T49" s="36">
        <v>3.0</v>
      </c>
      <c r="U49" s="49">
        <f t="shared" si="1"/>
        <v>3000</v>
      </c>
      <c r="V49" s="21">
        <f t="shared" si="2"/>
        <v>32400</v>
      </c>
    </row>
    <row r="50" ht="14.25" customHeight="1">
      <c r="A50" s="38">
        <v>0.16944444444444445</v>
      </c>
      <c r="B50" s="36">
        <v>38.0</v>
      </c>
      <c r="C50" s="36">
        <v>10.2</v>
      </c>
      <c r="D50" s="36">
        <v>410.0</v>
      </c>
      <c r="E50" s="36">
        <v>364.0</v>
      </c>
      <c r="F50" s="36">
        <v>0.89</v>
      </c>
      <c r="G50" s="36">
        <v>21.0</v>
      </c>
      <c r="H50" s="36">
        <v>0.47</v>
      </c>
      <c r="I50" s="36">
        <v>10.1</v>
      </c>
      <c r="J50" s="36">
        <v>88.9</v>
      </c>
      <c r="K50" s="36">
        <v>84.0</v>
      </c>
      <c r="L50" s="36">
        <v>60.0</v>
      </c>
      <c r="M50" s="36">
        <v>101.0</v>
      </c>
      <c r="N50" s="36">
        <v>41.0</v>
      </c>
      <c r="O50" s="36">
        <v>21.0</v>
      </c>
      <c r="P50" s="36" t="s">
        <v>102</v>
      </c>
      <c r="Q50" s="36">
        <v>0.31</v>
      </c>
      <c r="R50" s="36">
        <v>0.86</v>
      </c>
      <c r="S50" s="36">
        <v>1.96</v>
      </c>
      <c r="T50" s="36">
        <v>2.82</v>
      </c>
      <c r="U50" s="49">
        <f t="shared" si="1"/>
        <v>2820</v>
      </c>
      <c r="V50" s="21">
        <f t="shared" si="2"/>
        <v>0</v>
      </c>
    </row>
    <row r="51" ht="14.25" customHeight="1">
      <c r="A51" s="38">
        <v>0.17083333333333334</v>
      </c>
      <c r="B51" s="36">
        <v>39.0</v>
      </c>
      <c r="C51" s="36">
        <v>10.2</v>
      </c>
      <c r="D51" s="36">
        <v>410.0</v>
      </c>
      <c r="E51" s="36">
        <v>364.0</v>
      </c>
      <c r="F51" s="36">
        <v>0.89</v>
      </c>
      <c r="G51" s="36">
        <v>21.0</v>
      </c>
      <c r="H51" s="36">
        <v>0.47</v>
      </c>
      <c r="I51" s="36">
        <v>10.1</v>
      </c>
      <c r="J51" s="36">
        <v>88.9</v>
      </c>
      <c r="K51" s="36">
        <v>85.0</v>
      </c>
      <c r="L51" s="36">
        <v>59.7</v>
      </c>
      <c r="M51" s="36">
        <v>101.0</v>
      </c>
      <c r="N51" s="36">
        <v>41.0</v>
      </c>
      <c r="O51" s="36">
        <v>21.0</v>
      </c>
      <c r="P51" s="36" t="s">
        <v>102</v>
      </c>
      <c r="Q51" s="36">
        <v>0.31</v>
      </c>
      <c r="R51" s="36">
        <v>0.86</v>
      </c>
      <c r="S51" s="36">
        <v>1.96</v>
      </c>
      <c r="T51" s="36">
        <v>2.82</v>
      </c>
      <c r="U51" s="49">
        <f t="shared" si="1"/>
        <v>2820</v>
      </c>
      <c r="V51" s="21">
        <f t="shared" si="2"/>
        <v>176400</v>
      </c>
    </row>
    <row r="52" ht="14.25" customHeight="1">
      <c r="A52" s="38">
        <v>0.17430555555555555</v>
      </c>
      <c r="B52" s="36">
        <v>40.0</v>
      </c>
      <c r="C52" s="36">
        <v>11.0</v>
      </c>
      <c r="D52" s="36">
        <v>438.0</v>
      </c>
      <c r="E52" s="36">
        <v>380.0</v>
      </c>
      <c r="F52" s="36">
        <v>0.87</v>
      </c>
      <c r="G52" s="36">
        <v>19.0</v>
      </c>
      <c r="H52" s="36">
        <v>0.55</v>
      </c>
      <c r="I52" s="36">
        <v>10.3</v>
      </c>
      <c r="J52" s="36">
        <v>88.7</v>
      </c>
      <c r="K52" s="36">
        <v>85.0</v>
      </c>
      <c r="L52" s="36">
        <v>59.7</v>
      </c>
      <c r="M52" s="36">
        <v>99.0</v>
      </c>
      <c r="N52" s="36">
        <v>42.0</v>
      </c>
      <c r="O52" s="36">
        <v>19.0</v>
      </c>
      <c r="P52" s="36" t="s">
        <v>102</v>
      </c>
      <c r="Q52" s="36">
        <v>0.3</v>
      </c>
      <c r="R52" s="36">
        <v>0.98</v>
      </c>
      <c r="S52" s="36">
        <v>2.25</v>
      </c>
      <c r="T52" s="36">
        <v>3.24</v>
      </c>
      <c r="U52" s="49">
        <f t="shared" si="1"/>
        <v>3240</v>
      </c>
      <c r="V52" s="21">
        <f t="shared" si="2"/>
        <v>10000</v>
      </c>
    </row>
    <row r="53" ht="14.25" customHeight="1">
      <c r="A53" s="38">
        <v>0.17569444444444443</v>
      </c>
      <c r="B53" s="36">
        <v>41.0</v>
      </c>
      <c r="C53" s="36">
        <v>11.0</v>
      </c>
      <c r="D53" s="36">
        <v>441.0</v>
      </c>
      <c r="E53" s="36">
        <v>371.0</v>
      </c>
      <c r="F53" s="36">
        <v>0.84</v>
      </c>
      <c r="G53" s="36">
        <v>19.0</v>
      </c>
      <c r="H53" s="36">
        <v>0.53</v>
      </c>
      <c r="I53" s="36">
        <v>10.1</v>
      </c>
      <c r="J53" s="36">
        <v>88.9</v>
      </c>
      <c r="K53" s="36">
        <v>87.0</v>
      </c>
      <c r="L53" s="36">
        <v>58.7</v>
      </c>
      <c r="M53" s="36">
        <v>99.0</v>
      </c>
      <c r="N53" s="36">
        <v>42.0</v>
      </c>
      <c r="O53" s="36">
        <v>19.0</v>
      </c>
      <c r="P53" s="36" t="s">
        <v>102</v>
      </c>
      <c r="Q53" s="36">
        <v>0.33</v>
      </c>
      <c r="R53" s="36">
        <v>1.05</v>
      </c>
      <c r="S53" s="36">
        <v>2.1</v>
      </c>
      <c r="T53" s="36">
        <v>3.14</v>
      </c>
      <c r="U53" s="49">
        <f t="shared" si="1"/>
        <v>3140</v>
      </c>
      <c r="V53" s="21">
        <f t="shared" si="2"/>
        <v>400</v>
      </c>
    </row>
    <row r="54" ht="14.25" customHeight="1">
      <c r="A54" s="38">
        <v>0.17777777777777778</v>
      </c>
      <c r="B54" s="36">
        <v>42.0</v>
      </c>
      <c r="C54" s="36">
        <v>11.8</v>
      </c>
      <c r="D54" s="36">
        <v>471.0</v>
      </c>
      <c r="E54" s="36">
        <v>403.0</v>
      </c>
      <c r="F54" s="36">
        <v>0.86</v>
      </c>
      <c r="G54" s="36">
        <v>19.0</v>
      </c>
      <c r="H54" s="36">
        <v>0.57</v>
      </c>
      <c r="I54" s="36">
        <v>10.9</v>
      </c>
      <c r="J54" s="36">
        <v>88.0</v>
      </c>
      <c r="K54" s="36">
        <v>87.0</v>
      </c>
      <c r="L54" s="36">
        <v>58.6</v>
      </c>
      <c r="M54" s="36">
        <v>99.0</v>
      </c>
      <c r="N54" s="36">
        <v>42.0</v>
      </c>
      <c r="O54" s="36">
        <v>19.0</v>
      </c>
      <c r="P54" s="36" t="s">
        <v>102</v>
      </c>
      <c r="Q54" s="36">
        <v>0.34</v>
      </c>
      <c r="R54" s="36">
        <v>1.05</v>
      </c>
      <c r="S54" s="36">
        <v>2.07</v>
      </c>
      <c r="T54" s="36">
        <v>3.12</v>
      </c>
      <c r="U54" s="49">
        <f t="shared" si="1"/>
        <v>3120</v>
      </c>
      <c r="V54" s="21">
        <f t="shared" si="2"/>
        <v>400</v>
      </c>
    </row>
    <row r="55" ht="14.25" customHeight="1">
      <c r="A55" s="38">
        <v>0.1798611111111111</v>
      </c>
      <c r="B55" s="36">
        <v>43.0</v>
      </c>
      <c r="C55" s="36">
        <v>11.8</v>
      </c>
      <c r="D55" s="36">
        <v>471.0</v>
      </c>
      <c r="E55" s="36">
        <v>412.0</v>
      </c>
      <c r="F55" s="36">
        <v>0.87</v>
      </c>
      <c r="G55" s="36">
        <v>19.0</v>
      </c>
      <c r="H55" s="36">
        <v>0.58</v>
      </c>
      <c r="I55" s="36">
        <v>11.2</v>
      </c>
      <c r="J55" s="36">
        <v>87.6</v>
      </c>
      <c r="K55" s="36">
        <v>86.0</v>
      </c>
      <c r="L55" s="36">
        <v>59.2</v>
      </c>
      <c r="M55" s="36">
        <v>100.0</v>
      </c>
      <c r="N55" s="36">
        <v>41.0</v>
      </c>
      <c r="O55" s="36">
        <v>19.0</v>
      </c>
      <c r="P55" s="36" t="s">
        <v>102</v>
      </c>
      <c r="Q55" s="36">
        <v>0.35</v>
      </c>
      <c r="R55" s="36">
        <v>1.09</v>
      </c>
      <c r="S55" s="36">
        <v>2.01</v>
      </c>
      <c r="T55" s="36">
        <v>3.1</v>
      </c>
      <c r="U55" s="49">
        <f t="shared" si="1"/>
        <v>3100</v>
      </c>
      <c r="V55" s="21">
        <f t="shared" si="2"/>
        <v>2500</v>
      </c>
    </row>
    <row r="56" ht="14.25" customHeight="1">
      <c r="A56" s="38">
        <v>0.18263888888888888</v>
      </c>
      <c r="B56" s="36">
        <v>44.0</v>
      </c>
      <c r="C56" s="36">
        <v>12.8</v>
      </c>
      <c r="D56" s="36">
        <v>513.0</v>
      </c>
      <c r="E56" s="36">
        <v>441.0</v>
      </c>
      <c r="F56" s="36">
        <v>0.86</v>
      </c>
      <c r="G56" s="36">
        <v>19.0</v>
      </c>
      <c r="H56" s="36">
        <v>0.62</v>
      </c>
      <c r="I56" s="36">
        <v>11.8</v>
      </c>
      <c r="J56" s="36">
        <v>87.0</v>
      </c>
      <c r="K56" s="36">
        <v>85.0</v>
      </c>
      <c r="L56" s="36">
        <v>59.3</v>
      </c>
      <c r="M56" s="36">
        <v>99.0</v>
      </c>
      <c r="N56" s="36">
        <v>42.0</v>
      </c>
      <c r="O56" s="36">
        <v>19.0</v>
      </c>
      <c r="P56" s="36" t="s">
        <v>102</v>
      </c>
      <c r="Q56" s="36">
        <v>0.35</v>
      </c>
      <c r="R56" s="36">
        <v>1.11</v>
      </c>
      <c r="S56" s="36">
        <v>2.04</v>
      </c>
      <c r="T56" s="36">
        <v>3.15</v>
      </c>
      <c r="U56" s="49">
        <f t="shared" si="1"/>
        <v>3150</v>
      </c>
      <c r="V56" s="21">
        <f t="shared" si="2"/>
        <v>400</v>
      </c>
    </row>
    <row r="57" ht="14.25" customHeight="1">
      <c r="A57" s="38">
        <v>0.1840277777777778</v>
      </c>
      <c r="B57" s="36">
        <v>45.0</v>
      </c>
      <c r="C57" s="36">
        <v>13.0</v>
      </c>
      <c r="D57" s="36">
        <v>520.0</v>
      </c>
      <c r="E57" s="36">
        <v>453.0</v>
      </c>
      <c r="F57" s="36">
        <v>0.87</v>
      </c>
      <c r="G57" s="36">
        <v>19.0</v>
      </c>
      <c r="H57" s="36">
        <v>0.63</v>
      </c>
      <c r="I57" s="36">
        <v>12.2</v>
      </c>
      <c r="J57" s="36">
        <v>86.6</v>
      </c>
      <c r="K57" s="36">
        <v>84.0</v>
      </c>
      <c r="L57" s="36">
        <v>59.8</v>
      </c>
      <c r="M57" s="36">
        <v>100.0</v>
      </c>
      <c r="N57" s="36">
        <v>42.0</v>
      </c>
      <c r="O57" s="36">
        <v>19.0</v>
      </c>
      <c r="P57" s="36" t="s">
        <v>102</v>
      </c>
      <c r="Q57" s="36">
        <v>0.34</v>
      </c>
      <c r="R57" s="36">
        <v>1.08</v>
      </c>
      <c r="S57" s="36">
        <v>2.05</v>
      </c>
      <c r="T57" s="36">
        <v>3.13</v>
      </c>
      <c r="U57" s="49">
        <f t="shared" si="1"/>
        <v>3130</v>
      </c>
      <c r="V57" s="21">
        <f t="shared" si="2"/>
        <v>14400</v>
      </c>
    </row>
    <row r="58" ht="14.25" customHeight="1">
      <c r="A58" s="38">
        <v>0.18611111111111112</v>
      </c>
      <c r="B58" s="36">
        <v>46.0</v>
      </c>
      <c r="C58" s="36">
        <v>12.3</v>
      </c>
      <c r="D58" s="36">
        <v>492.0</v>
      </c>
      <c r="E58" s="36">
        <v>447.0</v>
      </c>
      <c r="F58" s="36">
        <v>0.91</v>
      </c>
      <c r="G58" s="36">
        <v>20.0</v>
      </c>
      <c r="H58" s="36">
        <v>0.61</v>
      </c>
      <c r="I58" s="36">
        <v>12.2</v>
      </c>
      <c r="J58" s="36">
        <v>86.5</v>
      </c>
      <c r="K58" s="36">
        <v>85.0</v>
      </c>
      <c r="L58" s="36">
        <v>59.6</v>
      </c>
      <c r="M58" s="36">
        <v>102.0</v>
      </c>
      <c r="N58" s="36">
        <v>41.0</v>
      </c>
      <c r="O58" s="36">
        <v>20.0</v>
      </c>
      <c r="P58" s="36" t="s">
        <v>102</v>
      </c>
      <c r="Q58" s="36">
        <v>0.35</v>
      </c>
      <c r="R58" s="36">
        <v>1.06</v>
      </c>
      <c r="S58" s="36">
        <v>1.95</v>
      </c>
      <c r="T58" s="36">
        <v>3.01</v>
      </c>
      <c r="U58" s="49">
        <f t="shared" si="1"/>
        <v>3010</v>
      </c>
      <c r="V58" s="21">
        <f t="shared" si="2"/>
        <v>211600</v>
      </c>
    </row>
    <row r="59" ht="14.25" customHeight="1">
      <c r="A59" s="38">
        <v>0.18680555555555556</v>
      </c>
      <c r="B59" s="36">
        <v>46.0</v>
      </c>
      <c r="C59" s="36">
        <v>12.7</v>
      </c>
      <c r="D59" s="36">
        <v>507.0</v>
      </c>
      <c r="E59" s="36">
        <v>472.0</v>
      </c>
      <c r="F59" s="36">
        <v>0.93</v>
      </c>
      <c r="G59" s="36">
        <v>24.0</v>
      </c>
      <c r="H59" s="36">
        <v>0.56</v>
      </c>
      <c r="I59" s="36">
        <v>13.1</v>
      </c>
      <c r="J59" s="36">
        <v>85.5</v>
      </c>
      <c r="K59" s="36">
        <v>85.0</v>
      </c>
      <c r="L59" s="36">
        <v>59.6</v>
      </c>
      <c r="M59" s="36">
        <v>104.0</v>
      </c>
      <c r="N59" s="36">
        <v>40.0</v>
      </c>
      <c r="O59" s="36">
        <v>24.0</v>
      </c>
      <c r="P59" s="36" t="s">
        <v>102</v>
      </c>
      <c r="Q59" s="36">
        <v>0.35</v>
      </c>
      <c r="R59" s="36">
        <v>0.89</v>
      </c>
      <c r="S59" s="36">
        <v>1.65</v>
      </c>
      <c r="T59" s="36">
        <v>2.55</v>
      </c>
      <c r="U59" s="49">
        <f t="shared" si="1"/>
        <v>2550</v>
      </c>
      <c r="V59" s="21">
        <f t="shared" si="2"/>
        <v>36100</v>
      </c>
    </row>
    <row r="60" ht="14.25" customHeight="1">
      <c r="A60" s="38">
        <v>0.18888888888888888</v>
      </c>
      <c r="B60" s="36">
        <v>47.0</v>
      </c>
      <c r="C60" s="36">
        <v>12.6</v>
      </c>
      <c r="D60" s="36">
        <v>505.0</v>
      </c>
      <c r="E60" s="36">
        <v>475.0</v>
      </c>
      <c r="F60" s="36">
        <v>0.94</v>
      </c>
      <c r="G60" s="36">
        <v>25.0</v>
      </c>
      <c r="H60" s="36">
        <v>0.53</v>
      </c>
      <c r="I60" s="36">
        <v>13.5</v>
      </c>
      <c r="J60" s="36">
        <v>85.1</v>
      </c>
      <c r="K60" s="36">
        <v>84.0</v>
      </c>
      <c r="L60" s="36">
        <v>59.9</v>
      </c>
      <c r="M60" s="36">
        <v>105.0</v>
      </c>
      <c r="N60" s="36">
        <v>40.0</v>
      </c>
      <c r="O60" s="36">
        <v>25.0</v>
      </c>
      <c r="P60" s="36" t="s">
        <v>102</v>
      </c>
      <c r="Q60" s="36">
        <v>0.35</v>
      </c>
      <c r="R60" s="36">
        <v>0.82</v>
      </c>
      <c r="S60" s="36">
        <v>1.53</v>
      </c>
      <c r="T60" s="36">
        <v>2.36</v>
      </c>
      <c r="U60" s="49">
        <f t="shared" si="1"/>
        <v>2360</v>
      </c>
      <c r="V60" s="21">
        <f t="shared" si="2"/>
        <v>32400</v>
      </c>
    </row>
    <row r="61" ht="14.25" customHeight="1">
      <c r="A61" s="38">
        <v>0.19027777777777777</v>
      </c>
      <c r="B61" s="36">
        <v>48.0</v>
      </c>
      <c r="C61" s="36">
        <v>12.3</v>
      </c>
      <c r="D61" s="36">
        <v>494.0</v>
      </c>
      <c r="E61" s="36">
        <v>471.0</v>
      </c>
      <c r="F61" s="36">
        <v>0.95</v>
      </c>
      <c r="G61" s="36">
        <v>28.0</v>
      </c>
      <c r="H61" s="36">
        <v>0.5</v>
      </c>
      <c r="I61" s="36">
        <v>13.6</v>
      </c>
      <c r="J61" s="36">
        <v>85.0</v>
      </c>
      <c r="K61" s="36">
        <v>84.0</v>
      </c>
      <c r="L61" s="36">
        <v>59.8</v>
      </c>
      <c r="M61" s="36">
        <v>106.0</v>
      </c>
      <c r="N61" s="36">
        <v>39.0</v>
      </c>
      <c r="O61" s="36">
        <v>28.0</v>
      </c>
      <c r="P61" s="36" t="s">
        <v>102</v>
      </c>
      <c r="Q61" s="36">
        <v>0.38</v>
      </c>
      <c r="R61" s="36">
        <v>0.82</v>
      </c>
      <c r="S61" s="36">
        <v>1.36</v>
      </c>
      <c r="T61" s="36">
        <v>2.18</v>
      </c>
      <c r="U61" s="49">
        <f t="shared" si="1"/>
        <v>2180</v>
      </c>
      <c r="V61" s="21">
        <f t="shared" si="2"/>
        <v>400</v>
      </c>
    </row>
    <row r="62" ht="14.25" customHeight="1">
      <c r="A62" s="38">
        <v>0.19166666666666668</v>
      </c>
      <c r="B62" s="36">
        <v>48.0</v>
      </c>
      <c r="C62" s="36">
        <v>12.9</v>
      </c>
      <c r="D62" s="36">
        <v>516.0</v>
      </c>
      <c r="E62" s="36">
        <v>495.0</v>
      </c>
      <c r="F62" s="36">
        <v>0.96</v>
      </c>
      <c r="G62" s="36">
        <v>28.0</v>
      </c>
      <c r="H62" s="36">
        <v>0.51</v>
      </c>
      <c r="I62" s="36">
        <v>14.3</v>
      </c>
      <c r="J62" s="36">
        <v>84.3</v>
      </c>
      <c r="K62" s="36">
        <v>85.0</v>
      </c>
      <c r="L62" s="36">
        <v>59.6</v>
      </c>
      <c r="M62" s="36">
        <v>107.0</v>
      </c>
      <c r="N62" s="36">
        <v>39.0</v>
      </c>
      <c r="O62" s="36">
        <v>28.0</v>
      </c>
      <c r="P62" s="36" t="s">
        <v>102</v>
      </c>
      <c r="Q62" s="36">
        <v>0.39</v>
      </c>
      <c r="R62" s="36">
        <v>0.83</v>
      </c>
      <c r="S62" s="36">
        <v>1.33</v>
      </c>
      <c r="T62" s="36">
        <v>2.16</v>
      </c>
      <c r="U62" s="49">
        <f t="shared" si="1"/>
        <v>2160</v>
      </c>
      <c r="V62" s="21">
        <f t="shared" si="2"/>
        <v>400</v>
      </c>
    </row>
    <row r="63" ht="14.25" customHeight="1">
      <c r="A63" s="38">
        <v>0.19305555555555556</v>
      </c>
      <c r="B63" s="36">
        <v>49.0</v>
      </c>
      <c r="C63" s="36">
        <v>12.4</v>
      </c>
      <c r="D63" s="36">
        <v>495.0</v>
      </c>
      <c r="E63" s="36">
        <v>472.0</v>
      </c>
      <c r="F63" s="36">
        <v>0.95</v>
      </c>
      <c r="G63" s="36">
        <v>28.0</v>
      </c>
      <c r="H63" s="36">
        <v>0.5</v>
      </c>
      <c r="I63" s="36">
        <v>13.6</v>
      </c>
      <c r="J63" s="36">
        <v>85.0</v>
      </c>
      <c r="K63" s="36">
        <v>85.0</v>
      </c>
      <c r="L63" s="36">
        <v>59.4</v>
      </c>
      <c r="M63" s="36">
        <v>106.0</v>
      </c>
      <c r="N63" s="36">
        <v>39.0</v>
      </c>
      <c r="O63" s="36">
        <v>28.0</v>
      </c>
      <c r="P63" s="36" t="s">
        <v>102</v>
      </c>
      <c r="Q63" s="36">
        <v>0.38</v>
      </c>
      <c r="R63" s="36">
        <v>0.82</v>
      </c>
      <c r="S63" s="36">
        <v>1.36</v>
      </c>
      <c r="T63" s="36">
        <v>2.18</v>
      </c>
      <c r="U63" s="49">
        <f t="shared" si="1"/>
        <v>2180</v>
      </c>
      <c r="V63" s="21">
        <f t="shared" si="2"/>
        <v>4900</v>
      </c>
    </row>
    <row r="64" ht="14.25" customHeight="1">
      <c r="A64" s="38">
        <v>0.19444444444444445</v>
      </c>
      <c r="B64" s="36">
        <v>50.0</v>
      </c>
      <c r="C64" s="36">
        <v>12.2</v>
      </c>
      <c r="D64" s="36">
        <v>488.0</v>
      </c>
      <c r="E64" s="36">
        <v>471.0</v>
      </c>
      <c r="F64" s="36">
        <v>0.96</v>
      </c>
      <c r="G64" s="36">
        <v>28.0</v>
      </c>
      <c r="H64" s="36">
        <v>0.47</v>
      </c>
      <c r="I64" s="36">
        <v>13.5</v>
      </c>
      <c r="J64" s="36">
        <v>85.1</v>
      </c>
      <c r="K64" s="36">
        <v>86.0</v>
      </c>
      <c r="L64" s="36">
        <v>59.2</v>
      </c>
      <c r="M64" s="36">
        <v>107.0</v>
      </c>
      <c r="N64" s="36">
        <v>39.0</v>
      </c>
      <c r="O64" s="36">
        <v>28.0</v>
      </c>
      <c r="P64" s="36" t="s">
        <v>102</v>
      </c>
      <c r="Q64" s="36">
        <v>0.37</v>
      </c>
      <c r="R64" s="36">
        <v>0.78</v>
      </c>
      <c r="S64" s="36">
        <v>1.32</v>
      </c>
      <c r="T64" s="36">
        <v>2.11</v>
      </c>
      <c r="U64" s="49">
        <f t="shared" si="1"/>
        <v>2110</v>
      </c>
      <c r="V64" s="21">
        <f t="shared" si="2"/>
        <v>900</v>
      </c>
    </row>
    <row r="65" ht="14.25" customHeight="1">
      <c r="A65" s="38">
        <v>0.19583333333333333</v>
      </c>
      <c r="B65" s="36">
        <v>51.0</v>
      </c>
      <c r="C65" s="36">
        <v>12.2</v>
      </c>
      <c r="D65" s="36">
        <v>489.0</v>
      </c>
      <c r="E65" s="36">
        <v>473.0</v>
      </c>
      <c r="F65" s="36">
        <v>0.97</v>
      </c>
      <c r="G65" s="36">
        <v>29.0</v>
      </c>
      <c r="H65" s="36">
        <v>0.47</v>
      </c>
      <c r="I65" s="36">
        <v>13.5</v>
      </c>
      <c r="J65" s="36">
        <v>85.1</v>
      </c>
      <c r="K65" s="36">
        <v>86.0</v>
      </c>
      <c r="L65" s="36">
        <v>58.8</v>
      </c>
      <c r="M65" s="36">
        <v>107.0</v>
      </c>
      <c r="N65" s="36">
        <v>39.0</v>
      </c>
      <c r="O65" s="36">
        <v>29.0</v>
      </c>
      <c r="P65" s="36" t="s">
        <v>102</v>
      </c>
      <c r="Q65" s="36">
        <v>0.38</v>
      </c>
      <c r="R65" s="36">
        <v>0.78</v>
      </c>
      <c r="S65" s="36">
        <v>1.3</v>
      </c>
      <c r="T65" s="36">
        <v>2.08</v>
      </c>
      <c r="U65" s="49">
        <f t="shared" si="1"/>
        <v>2080</v>
      </c>
      <c r="V65" s="21">
        <f t="shared" si="2"/>
        <v>2500</v>
      </c>
    </row>
    <row r="66" ht="14.25" customHeight="1">
      <c r="A66" s="38">
        <v>0.19722222222222222</v>
      </c>
      <c r="B66" s="36">
        <v>51.0</v>
      </c>
      <c r="C66" s="36">
        <v>12.0</v>
      </c>
      <c r="D66" s="36">
        <v>480.0</v>
      </c>
      <c r="E66" s="36">
        <v>468.0</v>
      </c>
      <c r="F66" s="36">
        <v>0.97</v>
      </c>
      <c r="G66" s="36">
        <v>28.0</v>
      </c>
      <c r="H66" s="36">
        <v>0.48</v>
      </c>
      <c r="I66" s="36">
        <v>13.5</v>
      </c>
      <c r="J66" s="36">
        <v>85.2</v>
      </c>
      <c r="K66" s="36">
        <v>86.0</v>
      </c>
      <c r="L66" s="36">
        <v>58.9</v>
      </c>
      <c r="M66" s="36">
        <v>107.0</v>
      </c>
      <c r="N66" s="36">
        <v>39.0</v>
      </c>
      <c r="O66" s="36">
        <v>28.0</v>
      </c>
      <c r="P66" s="36" t="s">
        <v>102</v>
      </c>
      <c r="Q66" s="36">
        <v>0.39</v>
      </c>
      <c r="R66" s="36">
        <v>0.82</v>
      </c>
      <c r="S66" s="36">
        <v>1.31</v>
      </c>
      <c r="T66" s="36">
        <v>2.13</v>
      </c>
      <c r="U66" s="49">
        <f t="shared" si="1"/>
        <v>2130</v>
      </c>
      <c r="V66" s="21">
        <f t="shared" si="2"/>
        <v>100</v>
      </c>
    </row>
    <row r="67" ht="14.25" customHeight="1">
      <c r="A67" s="38">
        <v>0.19930555555555557</v>
      </c>
      <c r="B67" s="36">
        <v>52.0</v>
      </c>
      <c r="C67" s="36">
        <v>12.0</v>
      </c>
      <c r="D67" s="36">
        <v>481.0</v>
      </c>
      <c r="E67" s="36">
        <v>470.0</v>
      </c>
      <c r="F67" s="36">
        <v>0.98</v>
      </c>
      <c r="G67" s="36">
        <v>28.0</v>
      </c>
      <c r="H67" s="36">
        <v>0.48</v>
      </c>
      <c r="I67" s="36">
        <v>13.6</v>
      </c>
      <c r="J67" s="36">
        <v>85.0</v>
      </c>
      <c r="K67" s="36">
        <v>86.0</v>
      </c>
      <c r="L67" s="36">
        <v>58.9</v>
      </c>
      <c r="M67" s="36">
        <v>107.0</v>
      </c>
      <c r="N67" s="36">
        <v>39.0</v>
      </c>
      <c r="O67" s="36">
        <v>28.0</v>
      </c>
      <c r="P67" s="36" t="s">
        <v>102</v>
      </c>
      <c r="Q67" s="36">
        <v>0.39</v>
      </c>
      <c r="R67" s="36">
        <v>0.84</v>
      </c>
      <c r="S67" s="36">
        <v>1.28</v>
      </c>
      <c r="T67" s="36">
        <v>2.12</v>
      </c>
      <c r="U67" s="49">
        <f t="shared" si="1"/>
        <v>2120</v>
      </c>
      <c r="V67" s="21">
        <f t="shared" si="2"/>
        <v>1600</v>
      </c>
    </row>
    <row r="68" ht="14.25" customHeight="1">
      <c r="A68" s="38">
        <v>0.20069444444444445</v>
      </c>
      <c r="B68" s="36">
        <v>53.0</v>
      </c>
      <c r="C68" s="36">
        <v>11.9</v>
      </c>
      <c r="D68" s="36">
        <v>474.0</v>
      </c>
      <c r="E68" s="36">
        <v>465.0</v>
      </c>
      <c r="F68" s="36">
        <v>0.98</v>
      </c>
      <c r="G68" s="36">
        <v>28.0</v>
      </c>
      <c r="H68" s="36">
        <v>0.48</v>
      </c>
      <c r="I68" s="36">
        <v>13.4</v>
      </c>
      <c r="J68" s="36">
        <v>85.3</v>
      </c>
      <c r="K68" s="36">
        <v>87.0</v>
      </c>
      <c r="L68" s="36">
        <v>58.4</v>
      </c>
      <c r="M68" s="36">
        <v>107.0</v>
      </c>
      <c r="N68" s="36">
        <v>39.0</v>
      </c>
      <c r="O68" s="36">
        <v>28.0</v>
      </c>
      <c r="P68" s="36" t="s">
        <v>102</v>
      </c>
      <c r="Q68" s="36">
        <v>0.4</v>
      </c>
      <c r="R68" s="36">
        <v>0.87</v>
      </c>
      <c r="S68" s="36">
        <v>1.29</v>
      </c>
      <c r="T68" s="36">
        <v>2.16</v>
      </c>
      <c r="U68" s="49">
        <f t="shared" si="1"/>
        <v>2160</v>
      </c>
      <c r="V68" s="21">
        <f t="shared" si="2"/>
        <v>100</v>
      </c>
    </row>
    <row r="69" ht="14.25" customHeight="1">
      <c r="A69" s="38">
        <v>0.20277777777777778</v>
      </c>
      <c r="B69" s="36">
        <v>54.0</v>
      </c>
      <c r="C69" s="36">
        <v>11.4</v>
      </c>
      <c r="D69" s="36">
        <v>458.0</v>
      </c>
      <c r="E69" s="36">
        <v>451.0</v>
      </c>
      <c r="F69" s="36">
        <v>0.99</v>
      </c>
      <c r="G69" s="36">
        <v>28.0</v>
      </c>
      <c r="H69" s="36">
        <v>0.47</v>
      </c>
      <c r="I69" s="36">
        <v>13.0</v>
      </c>
      <c r="J69" s="36">
        <v>85.7</v>
      </c>
      <c r="K69" s="36">
        <v>87.0</v>
      </c>
      <c r="L69" s="36">
        <v>58.6</v>
      </c>
      <c r="M69" s="36">
        <v>107.0</v>
      </c>
      <c r="N69" s="36">
        <v>39.0</v>
      </c>
      <c r="O69" s="36">
        <v>28.0</v>
      </c>
      <c r="P69" s="36" t="s">
        <v>102</v>
      </c>
      <c r="Q69" s="36">
        <v>0.4</v>
      </c>
      <c r="R69" s="36">
        <v>0.86</v>
      </c>
      <c r="S69" s="36">
        <v>1.31</v>
      </c>
      <c r="T69" s="36">
        <v>2.17</v>
      </c>
      <c r="U69" s="49">
        <f t="shared" si="1"/>
        <v>2170</v>
      </c>
      <c r="V69" s="21">
        <f t="shared" si="2"/>
        <v>14400</v>
      </c>
    </row>
    <row r="70" ht="14.25" customHeight="1">
      <c r="A70" s="38">
        <v>0.20555555555555555</v>
      </c>
      <c r="B70" s="36">
        <v>55.0</v>
      </c>
      <c r="C70" s="36">
        <v>11.3</v>
      </c>
      <c r="D70" s="36">
        <v>451.0</v>
      </c>
      <c r="E70" s="36">
        <v>442.0</v>
      </c>
      <c r="F70" s="36">
        <v>0.98</v>
      </c>
      <c r="G70" s="36">
        <v>26.0</v>
      </c>
      <c r="H70" s="36">
        <v>0.48</v>
      </c>
      <c r="I70" s="36">
        <v>12.7</v>
      </c>
      <c r="J70" s="36">
        <v>86.0</v>
      </c>
      <c r="K70" s="36">
        <v>89.0</v>
      </c>
      <c r="L70" s="36">
        <v>57.5</v>
      </c>
      <c r="M70" s="36">
        <v>107.0</v>
      </c>
      <c r="N70" s="36">
        <v>39.0</v>
      </c>
      <c r="O70" s="36">
        <v>26.0</v>
      </c>
      <c r="P70" s="36" t="s">
        <v>102</v>
      </c>
      <c r="Q70" s="36">
        <v>0.36</v>
      </c>
      <c r="R70" s="36">
        <v>0.83</v>
      </c>
      <c r="S70" s="36">
        <v>1.46</v>
      </c>
      <c r="T70" s="36">
        <v>2.29</v>
      </c>
      <c r="U70" s="49">
        <f t="shared" si="1"/>
        <v>2290</v>
      </c>
      <c r="V70" s="21">
        <f t="shared" si="2"/>
        <v>12100</v>
      </c>
    </row>
    <row r="71" ht="14.25" customHeight="1">
      <c r="A71" s="38">
        <v>0.20694444444444443</v>
      </c>
      <c r="B71" s="36">
        <v>56.0</v>
      </c>
      <c r="C71" s="36">
        <v>11.5</v>
      </c>
      <c r="D71" s="36">
        <v>459.0</v>
      </c>
      <c r="E71" s="36">
        <v>428.0</v>
      </c>
      <c r="F71" s="36">
        <v>0.93</v>
      </c>
      <c r="G71" s="36">
        <v>25.0</v>
      </c>
      <c r="H71" s="36">
        <v>0.48</v>
      </c>
      <c r="I71" s="36">
        <v>12.1</v>
      </c>
      <c r="J71" s="36">
        <v>86.7</v>
      </c>
      <c r="K71" s="36">
        <v>89.0</v>
      </c>
      <c r="L71" s="36">
        <v>57.8</v>
      </c>
      <c r="M71" s="36">
        <v>104.0</v>
      </c>
      <c r="N71" s="36">
        <v>40.0</v>
      </c>
      <c r="O71" s="36">
        <v>25.0</v>
      </c>
      <c r="P71" s="36" t="s">
        <v>102</v>
      </c>
      <c r="Q71" s="36">
        <v>0.35</v>
      </c>
      <c r="R71" s="36">
        <v>0.85</v>
      </c>
      <c r="S71" s="36">
        <v>1.55</v>
      </c>
      <c r="T71" s="36">
        <v>2.4</v>
      </c>
      <c r="U71" s="49">
        <f t="shared" si="1"/>
        <v>2400</v>
      </c>
      <c r="V71" s="21">
        <f t="shared" si="2"/>
        <v>3600</v>
      </c>
    </row>
    <row r="72" ht="14.25" customHeight="1">
      <c r="A72" s="38">
        <v>0.20902777777777778</v>
      </c>
      <c r="B72" s="36">
        <v>57.0</v>
      </c>
      <c r="C72" s="36">
        <v>11.5</v>
      </c>
      <c r="D72" s="36">
        <v>458.0</v>
      </c>
      <c r="E72" s="36">
        <v>409.0</v>
      </c>
      <c r="F72" s="36">
        <v>0.89</v>
      </c>
      <c r="G72" s="36">
        <v>24.0</v>
      </c>
      <c r="H72" s="36">
        <v>0.47</v>
      </c>
      <c r="I72" s="36">
        <v>11.3</v>
      </c>
      <c r="J72" s="36">
        <v>87.5</v>
      </c>
      <c r="K72" s="36">
        <v>86.0</v>
      </c>
      <c r="L72" s="36">
        <v>59.1</v>
      </c>
      <c r="M72" s="36">
        <v>101.0</v>
      </c>
      <c r="N72" s="36">
        <v>41.0</v>
      </c>
      <c r="O72" s="36">
        <v>24.0</v>
      </c>
      <c r="P72" s="36" t="s">
        <v>102</v>
      </c>
      <c r="Q72" s="36">
        <v>0.33</v>
      </c>
      <c r="R72" s="36">
        <v>0.82</v>
      </c>
      <c r="S72" s="36">
        <v>1.64</v>
      </c>
      <c r="T72" s="36">
        <v>2.46</v>
      </c>
      <c r="U72" s="49">
        <f t="shared" si="1"/>
        <v>2460</v>
      </c>
      <c r="V72" s="21">
        <f t="shared" si="2"/>
        <v>0</v>
      </c>
    </row>
    <row r="73" ht="14.25" customHeight="1">
      <c r="A73" s="38">
        <v>0.21041666666666667</v>
      </c>
      <c r="B73" s="36">
        <v>57.0</v>
      </c>
      <c r="C73" s="36">
        <v>11.4</v>
      </c>
      <c r="D73" s="36">
        <v>457.0</v>
      </c>
      <c r="E73" s="36">
        <v>408.0</v>
      </c>
      <c r="F73" s="36">
        <v>0.89</v>
      </c>
      <c r="G73" s="36">
        <v>24.0</v>
      </c>
      <c r="H73" s="36">
        <v>0.47</v>
      </c>
      <c r="I73" s="36">
        <v>11.3</v>
      </c>
      <c r="J73" s="36">
        <v>87.5</v>
      </c>
      <c r="K73" s="36">
        <v>86.0</v>
      </c>
      <c r="L73" s="36">
        <v>59.1</v>
      </c>
      <c r="M73" s="36">
        <v>101.0</v>
      </c>
      <c r="N73" s="36">
        <v>41.0</v>
      </c>
      <c r="O73" s="36">
        <v>24.0</v>
      </c>
      <c r="P73" s="36" t="s">
        <v>102</v>
      </c>
      <c r="Q73" s="36">
        <v>0.33</v>
      </c>
      <c r="R73" s="36">
        <v>0.82</v>
      </c>
      <c r="S73" s="36">
        <v>1.64</v>
      </c>
      <c r="T73" s="36">
        <v>2.46</v>
      </c>
      <c r="U73" s="49">
        <f t="shared" si="1"/>
        <v>2460</v>
      </c>
      <c r="V73" s="21">
        <f t="shared" si="2"/>
        <v>828100</v>
      </c>
    </row>
    <row r="74" ht="14.25" customHeight="1">
      <c r="A74" s="38">
        <v>0.21458333333333332</v>
      </c>
      <c r="B74" s="36">
        <v>60.0</v>
      </c>
      <c r="C74" s="36">
        <v>11.7</v>
      </c>
      <c r="D74" s="36">
        <v>468.0</v>
      </c>
      <c r="E74" s="36">
        <v>408.0</v>
      </c>
      <c r="F74" s="36">
        <v>0.87</v>
      </c>
      <c r="G74" s="36">
        <v>18.0</v>
      </c>
      <c r="H74" s="36">
        <v>0.6</v>
      </c>
      <c r="I74" s="36">
        <v>10.7</v>
      </c>
      <c r="J74" s="36">
        <v>88.2</v>
      </c>
      <c r="K74" s="36">
        <v>84.0</v>
      </c>
      <c r="L74" s="36">
        <v>60.2</v>
      </c>
      <c r="M74" s="36">
        <v>98.0</v>
      </c>
      <c r="N74" s="36">
        <v>43.0</v>
      </c>
      <c r="O74" s="36">
        <v>18.0</v>
      </c>
      <c r="P74" s="36" t="s">
        <v>102</v>
      </c>
      <c r="Q74" s="36">
        <v>0.31</v>
      </c>
      <c r="R74" s="36">
        <v>1.04</v>
      </c>
      <c r="S74" s="36">
        <v>2.33</v>
      </c>
      <c r="T74" s="36">
        <v>3.37</v>
      </c>
      <c r="U74" s="49">
        <f t="shared" si="1"/>
        <v>3370</v>
      </c>
      <c r="V74" s="21">
        <f t="shared" si="2"/>
        <v>10000</v>
      </c>
    </row>
    <row r="75" ht="14.25" customHeight="1">
      <c r="A75" s="38">
        <v>0.21666666666666667</v>
      </c>
      <c r="B75" s="36">
        <v>61.0</v>
      </c>
      <c r="C75" s="36">
        <v>11.5</v>
      </c>
      <c r="D75" s="36">
        <v>462.0</v>
      </c>
      <c r="E75" s="36">
        <v>390.0</v>
      </c>
      <c r="F75" s="36">
        <v>0.84</v>
      </c>
      <c r="G75" s="36">
        <v>17.0</v>
      </c>
      <c r="H75" s="36">
        <v>0.58</v>
      </c>
      <c r="I75" s="36">
        <v>10.1</v>
      </c>
      <c r="J75" s="36">
        <v>88.9</v>
      </c>
      <c r="K75" s="36">
        <v>87.0</v>
      </c>
      <c r="L75" s="36">
        <v>58.4</v>
      </c>
      <c r="M75" s="36">
        <v>95.0</v>
      </c>
      <c r="N75" s="36">
        <v>44.0</v>
      </c>
      <c r="O75" s="36">
        <v>17.0</v>
      </c>
      <c r="P75" s="36" t="s">
        <v>102</v>
      </c>
      <c r="Q75" s="36">
        <v>0.28</v>
      </c>
      <c r="R75" s="36">
        <v>0.98</v>
      </c>
      <c r="S75" s="36">
        <v>2.49</v>
      </c>
      <c r="T75" s="36">
        <v>3.47</v>
      </c>
      <c r="U75" s="49">
        <f t="shared" si="1"/>
        <v>3470</v>
      </c>
      <c r="V75" s="21">
        <f t="shared" si="2"/>
        <v>900</v>
      </c>
    </row>
    <row r="76" ht="14.25" customHeight="1">
      <c r="A76" s="38">
        <v>0.21875</v>
      </c>
      <c r="B76" s="36">
        <v>62.0</v>
      </c>
      <c r="C76" s="36">
        <v>12.3</v>
      </c>
      <c r="D76" s="36">
        <v>493.0</v>
      </c>
      <c r="E76" s="36">
        <v>398.0</v>
      </c>
      <c r="F76" s="36">
        <v>0.81</v>
      </c>
      <c r="G76" s="36">
        <v>17.0</v>
      </c>
      <c r="H76" s="36">
        <v>0.59</v>
      </c>
      <c r="I76" s="36">
        <v>10.1</v>
      </c>
      <c r="J76" s="36">
        <v>88.8</v>
      </c>
      <c r="K76" s="36">
        <v>87.0</v>
      </c>
      <c r="L76" s="36">
        <v>58.4</v>
      </c>
      <c r="M76" s="36">
        <v>93.0</v>
      </c>
      <c r="N76" s="36">
        <v>45.0</v>
      </c>
      <c r="O76" s="36">
        <v>17.0</v>
      </c>
      <c r="P76" s="36" t="s">
        <v>102</v>
      </c>
      <c r="Q76" s="36">
        <v>0.3</v>
      </c>
      <c r="R76" s="36">
        <v>1.06</v>
      </c>
      <c r="S76" s="36">
        <v>2.44</v>
      </c>
      <c r="T76" s="36">
        <v>3.5</v>
      </c>
      <c r="U76" s="49">
        <f t="shared" si="1"/>
        <v>3500</v>
      </c>
      <c r="V76" s="21">
        <f t="shared" si="2"/>
        <v>12100</v>
      </c>
    </row>
    <row r="77" ht="14.25" customHeight="1">
      <c r="A77" s="38">
        <v>0.22083333333333333</v>
      </c>
      <c r="B77" s="36">
        <v>63.0</v>
      </c>
      <c r="C77" s="36">
        <v>12.7</v>
      </c>
      <c r="D77" s="36">
        <v>508.0</v>
      </c>
      <c r="E77" s="36">
        <v>411.0</v>
      </c>
      <c r="F77" s="36">
        <v>0.81</v>
      </c>
      <c r="G77" s="36">
        <v>17.0</v>
      </c>
      <c r="H77" s="36">
        <v>0.63</v>
      </c>
      <c r="I77" s="36">
        <v>10.5</v>
      </c>
      <c r="J77" s="36">
        <v>88.5</v>
      </c>
      <c r="K77" s="36">
        <v>87.0</v>
      </c>
      <c r="L77" s="36">
        <v>58.6</v>
      </c>
      <c r="M77" s="36">
        <v>93.0</v>
      </c>
      <c r="N77" s="36">
        <v>44.0</v>
      </c>
      <c r="O77" s="36">
        <v>17.0</v>
      </c>
      <c r="P77" s="36" t="s">
        <v>102</v>
      </c>
      <c r="Q77" s="36">
        <v>0.32</v>
      </c>
      <c r="R77" s="36">
        <v>1.16</v>
      </c>
      <c r="S77" s="36">
        <v>2.45</v>
      </c>
      <c r="T77" s="36">
        <v>3.61</v>
      </c>
      <c r="U77" s="49">
        <f t="shared" si="1"/>
        <v>3610</v>
      </c>
      <c r="V77" s="21">
        <f t="shared" si="2"/>
        <v>25600</v>
      </c>
    </row>
    <row r="78" ht="14.25" customHeight="1">
      <c r="A78" s="38">
        <v>0.2222222222222222</v>
      </c>
      <c r="B78" s="36">
        <v>63.0</v>
      </c>
      <c r="C78" s="36">
        <v>13.0</v>
      </c>
      <c r="D78" s="36">
        <v>519.0</v>
      </c>
      <c r="E78" s="36">
        <v>417.0</v>
      </c>
      <c r="F78" s="36">
        <v>0.8</v>
      </c>
      <c r="G78" s="36">
        <v>17.0</v>
      </c>
      <c r="H78" s="36">
        <v>0.62</v>
      </c>
      <c r="I78" s="36">
        <v>10.7</v>
      </c>
      <c r="J78" s="36">
        <v>88.2</v>
      </c>
      <c r="K78" s="36">
        <v>89.0</v>
      </c>
      <c r="L78" s="36">
        <v>57.4</v>
      </c>
      <c r="M78" s="36">
        <v>93.0</v>
      </c>
      <c r="N78" s="36">
        <v>44.0</v>
      </c>
      <c r="O78" s="36">
        <v>17.0</v>
      </c>
      <c r="P78" s="36" t="s">
        <v>102</v>
      </c>
      <c r="Q78" s="36">
        <v>0.32</v>
      </c>
      <c r="R78" s="36">
        <v>1.1</v>
      </c>
      <c r="S78" s="36">
        <v>2.35</v>
      </c>
      <c r="T78" s="36">
        <v>3.45</v>
      </c>
      <c r="U78" s="49">
        <f t="shared" si="1"/>
        <v>3450</v>
      </c>
      <c r="V78" s="21">
        <f t="shared" si="2"/>
        <v>6400</v>
      </c>
    </row>
    <row r="79" ht="14.25" customHeight="1">
      <c r="A79" s="38">
        <v>0.22430555555555556</v>
      </c>
      <c r="B79" s="36">
        <v>64.0</v>
      </c>
      <c r="C79" s="36">
        <v>13.3</v>
      </c>
      <c r="D79" s="36">
        <v>531.0</v>
      </c>
      <c r="E79" s="36">
        <v>428.0</v>
      </c>
      <c r="F79" s="36">
        <v>0.8</v>
      </c>
      <c r="G79" s="36">
        <v>18.0</v>
      </c>
      <c r="H79" s="36">
        <v>0.62</v>
      </c>
      <c r="I79" s="36">
        <v>11.0</v>
      </c>
      <c r="J79" s="36">
        <v>87.9</v>
      </c>
      <c r="K79" s="36">
        <v>91.0</v>
      </c>
      <c r="L79" s="36">
        <v>56.6</v>
      </c>
      <c r="M79" s="36">
        <v>93.0</v>
      </c>
      <c r="N79" s="36">
        <v>44.0</v>
      </c>
      <c r="O79" s="36">
        <v>18.0</v>
      </c>
      <c r="P79" s="36" t="s">
        <v>102</v>
      </c>
      <c r="Q79" s="36">
        <v>0.33</v>
      </c>
      <c r="R79" s="36">
        <v>1.1</v>
      </c>
      <c r="S79" s="36">
        <v>2.27</v>
      </c>
      <c r="T79" s="36">
        <v>3.37</v>
      </c>
      <c r="U79" s="49">
        <f t="shared" si="1"/>
        <v>3370</v>
      </c>
      <c r="V79" s="21">
        <f t="shared" si="2"/>
        <v>2500</v>
      </c>
    </row>
    <row r="80" ht="14.25" customHeight="1">
      <c r="A80" s="38">
        <v>0.225</v>
      </c>
      <c r="B80" s="36">
        <v>65.0</v>
      </c>
      <c r="C80" s="36">
        <v>13.5</v>
      </c>
      <c r="D80" s="36">
        <v>539.0</v>
      </c>
      <c r="E80" s="36">
        <v>431.0</v>
      </c>
      <c r="F80" s="36">
        <v>0.8</v>
      </c>
      <c r="G80" s="36">
        <v>18.0</v>
      </c>
      <c r="H80" s="36">
        <v>0.63</v>
      </c>
      <c r="I80" s="36">
        <v>11.0</v>
      </c>
      <c r="J80" s="36">
        <v>87.8</v>
      </c>
      <c r="K80" s="36">
        <v>93.0</v>
      </c>
      <c r="L80" s="36">
        <v>56.0</v>
      </c>
      <c r="M80" s="36">
        <v>93.0</v>
      </c>
      <c r="N80" s="36">
        <v>44.0</v>
      </c>
      <c r="O80" s="36">
        <v>18.0</v>
      </c>
      <c r="P80" s="36" t="s">
        <v>102</v>
      </c>
      <c r="Q80" s="36">
        <v>0.32</v>
      </c>
      <c r="R80" s="36">
        <v>1.11</v>
      </c>
      <c r="S80" s="36">
        <v>2.31</v>
      </c>
      <c r="T80" s="36">
        <v>3.42</v>
      </c>
      <c r="U80" s="49">
        <f t="shared" si="1"/>
        <v>3420</v>
      </c>
      <c r="V80" s="21">
        <f t="shared" si="2"/>
        <v>980100</v>
      </c>
    </row>
    <row r="81" ht="14.25" customHeight="1">
      <c r="A81" s="38">
        <v>0.2263888888888889</v>
      </c>
      <c r="B81" s="36">
        <v>65.0</v>
      </c>
      <c r="C81" s="36">
        <v>14.4</v>
      </c>
      <c r="D81" s="36">
        <v>575.0</v>
      </c>
      <c r="E81" s="36">
        <v>435.0</v>
      </c>
      <c r="F81" s="36">
        <v>0.76</v>
      </c>
      <c r="G81" s="36">
        <v>25.0</v>
      </c>
      <c r="H81" s="36">
        <v>0.46</v>
      </c>
      <c r="I81" s="36">
        <v>11.4</v>
      </c>
      <c r="J81" s="36">
        <v>87.4</v>
      </c>
      <c r="K81" s="36">
        <v>93.0</v>
      </c>
      <c r="L81" s="36">
        <v>55.5</v>
      </c>
      <c r="M81" s="36">
        <v>93.0</v>
      </c>
      <c r="N81" s="36">
        <v>43.0</v>
      </c>
      <c r="O81" s="36">
        <v>25.0</v>
      </c>
      <c r="P81" s="36" t="s">
        <v>102</v>
      </c>
      <c r="Q81" s="36">
        <v>0.34</v>
      </c>
      <c r="R81" s="36">
        <v>0.82</v>
      </c>
      <c r="S81" s="36">
        <v>1.61</v>
      </c>
      <c r="T81" s="36">
        <v>2.43</v>
      </c>
      <c r="U81" s="49">
        <f t="shared" si="1"/>
        <v>2430</v>
      </c>
      <c r="V81" s="21">
        <f t="shared" si="2"/>
        <v>102400</v>
      </c>
    </row>
    <row r="82" ht="14.25" customHeight="1">
      <c r="A82" s="38">
        <v>0.22777777777777777</v>
      </c>
      <c r="B82" s="36">
        <v>66.0</v>
      </c>
      <c r="C82" s="36">
        <v>15.1</v>
      </c>
      <c r="D82" s="36">
        <v>605.0</v>
      </c>
      <c r="E82" s="36">
        <v>453.0</v>
      </c>
      <c r="F82" s="36">
        <v>0.75</v>
      </c>
      <c r="G82" s="36">
        <v>28.0</v>
      </c>
      <c r="H82" s="36">
        <v>0.42</v>
      </c>
      <c r="I82" s="36">
        <v>12.0</v>
      </c>
      <c r="J82" s="36">
        <v>86.8</v>
      </c>
      <c r="K82" s="36">
        <v>94.0</v>
      </c>
      <c r="L82" s="36">
        <v>55.2</v>
      </c>
      <c r="M82" s="36">
        <v>93.0</v>
      </c>
      <c r="N82" s="36">
        <v>43.0</v>
      </c>
      <c r="O82" s="36">
        <v>28.0</v>
      </c>
      <c r="P82" s="36" t="s">
        <v>102</v>
      </c>
      <c r="Q82" s="36">
        <v>0.33</v>
      </c>
      <c r="R82" s="36">
        <v>0.7</v>
      </c>
      <c r="S82" s="36">
        <v>1.41</v>
      </c>
      <c r="T82" s="36">
        <v>2.11</v>
      </c>
      <c r="U82" s="49">
        <f t="shared" si="1"/>
        <v>2110</v>
      </c>
      <c r="V82" s="21">
        <f t="shared" si="2"/>
        <v>19600</v>
      </c>
    </row>
    <row r="83" ht="14.25" customHeight="1">
      <c r="A83" s="38">
        <v>0.22916666666666666</v>
      </c>
      <c r="B83" s="36">
        <v>67.0</v>
      </c>
      <c r="C83" s="36">
        <v>15.2</v>
      </c>
      <c r="D83" s="36">
        <v>607.0</v>
      </c>
      <c r="E83" s="36">
        <v>460.0</v>
      </c>
      <c r="F83" s="36">
        <v>0.76</v>
      </c>
      <c r="G83" s="36">
        <v>30.0</v>
      </c>
      <c r="H83" s="36">
        <v>0.41</v>
      </c>
      <c r="I83" s="36">
        <v>12.6</v>
      </c>
      <c r="J83" s="36">
        <v>86.2</v>
      </c>
      <c r="K83" s="36">
        <v>94.0</v>
      </c>
      <c r="L83" s="36">
        <v>55.2</v>
      </c>
      <c r="M83" s="36">
        <v>94.0</v>
      </c>
      <c r="N83" s="36">
        <v>43.0</v>
      </c>
      <c r="O83" s="36">
        <v>30.0</v>
      </c>
      <c r="P83" s="36" t="s">
        <v>102</v>
      </c>
      <c r="Q83" s="36">
        <v>0.32</v>
      </c>
      <c r="R83" s="36">
        <v>0.63</v>
      </c>
      <c r="S83" s="36">
        <v>1.35</v>
      </c>
      <c r="T83" s="36">
        <v>1.97</v>
      </c>
      <c r="U83" s="49">
        <f t="shared" si="1"/>
        <v>1970</v>
      </c>
      <c r="V83" s="21">
        <f t="shared" si="2"/>
        <v>100</v>
      </c>
    </row>
    <row r="84" ht="14.25" customHeight="1">
      <c r="A84" s="38">
        <v>0.23055555555555557</v>
      </c>
      <c r="B84" s="36">
        <v>67.0</v>
      </c>
      <c r="C84" s="36">
        <v>15.5</v>
      </c>
      <c r="D84" s="36">
        <v>622.0</v>
      </c>
      <c r="E84" s="36">
        <v>480.0</v>
      </c>
      <c r="F84" s="36">
        <v>0.77</v>
      </c>
      <c r="G84" s="36">
        <v>31.0</v>
      </c>
      <c r="H84" s="36">
        <v>0.43</v>
      </c>
      <c r="I84" s="36">
        <v>13.1</v>
      </c>
      <c r="J84" s="36">
        <v>85.5</v>
      </c>
      <c r="K84" s="36">
        <v>94.0</v>
      </c>
      <c r="L84" s="36">
        <v>55.2</v>
      </c>
      <c r="M84" s="36">
        <v>96.0</v>
      </c>
      <c r="N84" s="36">
        <v>42.0</v>
      </c>
      <c r="O84" s="36">
        <v>31.0</v>
      </c>
      <c r="P84" s="36" t="s">
        <v>102</v>
      </c>
      <c r="Q84" s="36">
        <v>0.33</v>
      </c>
      <c r="R84" s="36">
        <v>0.65</v>
      </c>
      <c r="S84" s="36">
        <v>1.31</v>
      </c>
      <c r="T84" s="36">
        <v>1.96</v>
      </c>
      <c r="U84" s="49">
        <f t="shared" si="1"/>
        <v>1960</v>
      </c>
      <c r="V84" s="21">
        <f t="shared" si="2"/>
        <v>3600</v>
      </c>
    </row>
    <row r="85" ht="14.25" customHeight="1">
      <c r="A85" s="38">
        <v>0.23194444444444445</v>
      </c>
      <c r="B85" s="36">
        <v>68.0</v>
      </c>
      <c r="C85" s="36">
        <v>16.0</v>
      </c>
      <c r="D85" s="36">
        <v>640.0</v>
      </c>
      <c r="E85" s="36">
        <v>508.0</v>
      </c>
      <c r="F85" s="36">
        <v>0.79</v>
      </c>
      <c r="G85" s="36">
        <v>30.0</v>
      </c>
      <c r="H85" s="36">
        <v>0.47</v>
      </c>
      <c r="I85" s="36">
        <v>13.8</v>
      </c>
      <c r="J85" s="36">
        <v>84.7</v>
      </c>
      <c r="K85" s="36">
        <v>95.0</v>
      </c>
      <c r="L85" s="36">
        <v>54.8</v>
      </c>
      <c r="M85" s="36">
        <v>96.0</v>
      </c>
      <c r="N85" s="36">
        <v>42.0</v>
      </c>
      <c r="O85" s="36">
        <v>30.0</v>
      </c>
      <c r="P85" s="36" t="s">
        <v>102</v>
      </c>
      <c r="Q85" s="36">
        <v>0.34</v>
      </c>
      <c r="R85" s="36">
        <v>0.69</v>
      </c>
      <c r="S85" s="36">
        <v>1.33</v>
      </c>
      <c r="T85" s="36">
        <v>2.02</v>
      </c>
      <c r="U85" s="49">
        <f t="shared" si="1"/>
        <v>2020</v>
      </c>
      <c r="V85" s="21">
        <f t="shared" si="2"/>
        <v>2500</v>
      </c>
    </row>
    <row r="86" ht="14.25" customHeight="1">
      <c r="A86" s="38">
        <v>0.23333333333333334</v>
      </c>
      <c r="B86" s="36">
        <v>69.0</v>
      </c>
      <c r="C86" s="36">
        <v>15.9</v>
      </c>
      <c r="D86" s="36">
        <v>635.0</v>
      </c>
      <c r="E86" s="36">
        <v>521.0</v>
      </c>
      <c r="F86" s="36">
        <v>0.82</v>
      </c>
      <c r="G86" s="36">
        <v>30.0</v>
      </c>
      <c r="H86" s="36">
        <v>0.47</v>
      </c>
      <c r="I86" s="36">
        <v>14.3</v>
      </c>
      <c r="J86" s="36">
        <v>84.2</v>
      </c>
      <c r="K86" s="36">
        <v>97.0</v>
      </c>
      <c r="L86" s="36">
        <v>53.6</v>
      </c>
      <c r="M86" s="36">
        <v>98.0</v>
      </c>
      <c r="N86" s="36">
        <v>42.0</v>
      </c>
      <c r="O86" s="36">
        <v>30.0</v>
      </c>
      <c r="P86" s="36" t="s">
        <v>102</v>
      </c>
      <c r="Q86" s="36">
        <v>0.35</v>
      </c>
      <c r="R86" s="36">
        <v>0.69</v>
      </c>
      <c r="S86" s="36">
        <v>1.28</v>
      </c>
      <c r="T86" s="36">
        <v>1.97</v>
      </c>
      <c r="U86" s="49">
        <f t="shared" si="1"/>
        <v>1970</v>
      </c>
      <c r="V86" s="21">
        <f t="shared" si="2"/>
        <v>3600</v>
      </c>
    </row>
    <row r="87" ht="14.25" customHeight="1">
      <c r="A87" s="38">
        <v>0.23472222222222222</v>
      </c>
      <c r="B87" s="36">
        <v>69.0</v>
      </c>
      <c r="C87" s="36">
        <v>15.4</v>
      </c>
      <c r="D87" s="36">
        <v>617.0</v>
      </c>
      <c r="E87" s="36">
        <v>512.0</v>
      </c>
      <c r="F87" s="36">
        <v>0.83</v>
      </c>
      <c r="G87" s="36">
        <v>30.0</v>
      </c>
      <c r="H87" s="36">
        <v>0.47</v>
      </c>
      <c r="I87" s="36">
        <v>14.0</v>
      </c>
      <c r="J87" s="36">
        <v>84.5</v>
      </c>
      <c r="K87" s="36">
        <v>98.0</v>
      </c>
      <c r="L87" s="36">
        <v>53.3</v>
      </c>
      <c r="M87" s="36">
        <v>98.0</v>
      </c>
      <c r="N87" s="36">
        <v>42.0</v>
      </c>
      <c r="O87" s="36">
        <v>30.0</v>
      </c>
      <c r="P87" s="36" t="s">
        <v>102</v>
      </c>
      <c r="Q87" s="36">
        <v>0.36</v>
      </c>
      <c r="R87" s="36">
        <v>0.74</v>
      </c>
      <c r="S87" s="36">
        <v>1.29</v>
      </c>
      <c r="T87" s="36">
        <v>2.03</v>
      </c>
      <c r="U87" s="49">
        <f t="shared" si="1"/>
        <v>2030</v>
      </c>
      <c r="V87" s="21">
        <f t="shared" si="2"/>
        <v>3600</v>
      </c>
    </row>
    <row r="88" ht="14.25" customHeight="1">
      <c r="A88" s="38">
        <v>0.2361111111111111</v>
      </c>
      <c r="B88" s="36">
        <v>70.0</v>
      </c>
      <c r="C88" s="36">
        <v>15.9</v>
      </c>
      <c r="D88" s="36">
        <v>637.0</v>
      </c>
      <c r="E88" s="36">
        <v>522.0</v>
      </c>
      <c r="F88" s="36">
        <v>0.82</v>
      </c>
      <c r="G88" s="36">
        <v>30.0</v>
      </c>
      <c r="H88" s="36">
        <v>0.47</v>
      </c>
      <c r="I88" s="36">
        <v>14.3</v>
      </c>
      <c r="J88" s="36">
        <v>84.2</v>
      </c>
      <c r="K88" s="36">
        <v>100.0</v>
      </c>
      <c r="L88" s="36">
        <v>52.4</v>
      </c>
      <c r="M88" s="36">
        <v>98.0</v>
      </c>
      <c r="N88" s="36">
        <v>42.0</v>
      </c>
      <c r="O88" s="36">
        <v>30.0</v>
      </c>
      <c r="P88" s="36" t="s">
        <v>102</v>
      </c>
      <c r="Q88" s="36">
        <v>0.35</v>
      </c>
      <c r="R88" s="36">
        <v>0.69</v>
      </c>
      <c r="S88" s="36">
        <v>1.28</v>
      </c>
      <c r="T88" s="36">
        <v>1.97</v>
      </c>
      <c r="U88" s="49">
        <f t="shared" si="1"/>
        <v>1970</v>
      </c>
      <c r="V88" s="21">
        <f t="shared" si="2"/>
        <v>6400</v>
      </c>
    </row>
    <row r="89" ht="14.25" customHeight="1">
      <c r="A89" s="38">
        <v>0.23819444444444443</v>
      </c>
      <c r="B89" s="36">
        <v>71.0</v>
      </c>
      <c r="C89" s="36">
        <v>15.8</v>
      </c>
      <c r="D89" s="36">
        <v>631.0</v>
      </c>
      <c r="E89" s="36">
        <v>532.0</v>
      </c>
      <c r="F89" s="36">
        <v>0.84</v>
      </c>
      <c r="G89" s="36">
        <v>29.0</v>
      </c>
      <c r="H89" s="36">
        <v>0.5</v>
      </c>
      <c r="I89" s="36">
        <v>14.5</v>
      </c>
      <c r="J89" s="36">
        <v>84.0</v>
      </c>
      <c r="K89" s="36">
        <v>101.0</v>
      </c>
      <c r="L89" s="36">
        <v>51.9</v>
      </c>
      <c r="M89" s="36">
        <v>99.0</v>
      </c>
      <c r="N89" s="36">
        <v>41.0</v>
      </c>
      <c r="O89" s="36">
        <v>29.0</v>
      </c>
      <c r="P89" s="36" t="s">
        <v>102</v>
      </c>
      <c r="Q89" s="36">
        <v>0.35</v>
      </c>
      <c r="R89" s="36">
        <v>0.73</v>
      </c>
      <c r="S89" s="36">
        <v>1.32</v>
      </c>
      <c r="T89" s="36">
        <v>2.05</v>
      </c>
      <c r="U89" s="49">
        <f t="shared" si="1"/>
        <v>2050</v>
      </c>
      <c r="V89" s="21">
        <f t="shared" si="2"/>
        <v>400</v>
      </c>
    </row>
    <row r="90" ht="14.25" customHeight="1">
      <c r="A90" s="38">
        <v>0.23958333333333334</v>
      </c>
      <c r="B90" s="36">
        <v>71.0</v>
      </c>
      <c r="C90" s="36">
        <v>15.5</v>
      </c>
      <c r="D90" s="36">
        <v>622.0</v>
      </c>
      <c r="E90" s="36">
        <v>535.0</v>
      </c>
      <c r="F90" s="36">
        <v>0.86</v>
      </c>
      <c r="G90" s="36">
        <v>29.0</v>
      </c>
      <c r="H90" s="36">
        <v>0.5</v>
      </c>
      <c r="I90" s="36">
        <v>14.6</v>
      </c>
      <c r="J90" s="36">
        <v>84.0</v>
      </c>
      <c r="K90" s="36">
        <v>102.0</v>
      </c>
      <c r="L90" s="36">
        <v>51.5</v>
      </c>
      <c r="M90" s="36">
        <v>100.0</v>
      </c>
      <c r="N90" s="36">
        <v>41.0</v>
      </c>
      <c r="O90" s="36">
        <v>29.0</v>
      </c>
      <c r="P90" s="36" t="s">
        <v>102</v>
      </c>
      <c r="Q90" s="36">
        <v>0.36</v>
      </c>
      <c r="R90" s="36">
        <v>0.75</v>
      </c>
      <c r="S90" s="36">
        <v>1.32</v>
      </c>
      <c r="T90" s="36">
        <v>2.07</v>
      </c>
      <c r="U90" s="49">
        <f t="shared" si="1"/>
        <v>2070</v>
      </c>
      <c r="V90" s="21">
        <f t="shared" si="2"/>
        <v>900</v>
      </c>
    </row>
    <row r="91" ht="14.25" customHeight="1">
      <c r="A91" s="38">
        <v>0.24097222222222223</v>
      </c>
      <c r="B91" s="36">
        <v>72.0</v>
      </c>
      <c r="C91" s="36">
        <v>15.7</v>
      </c>
      <c r="D91" s="36">
        <v>627.0</v>
      </c>
      <c r="E91" s="36">
        <v>549.0</v>
      </c>
      <c r="F91" s="36">
        <v>0.88</v>
      </c>
      <c r="G91" s="36">
        <v>29.0</v>
      </c>
      <c r="H91" s="36">
        <v>0.52</v>
      </c>
      <c r="I91" s="36">
        <v>14.9</v>
      </c>
      <c r="J91" s="36">
        <v>83.6</v>
      </c>
      <c r="K91" s="36">
        <v>102.0</v>
      </c>
      <c r="L91" s="36">
        <v>51.3</v>
      </c>
      <c r="M91" s="36">
        <v>100.0</v>
      </c>
      <c r="N91" s="36">
        <v>41.0</v>
      </c>
      <c r="O91" s="36">
        <v>29.0</v>
      </c>
      <c r="P91" s="36" t="s">
        <v>102</v>
      </c>
      <c r="Q91" s="36">
        <v>0.37</v>
      </c>
      <c r="R91" s="36">
        <v>0.78</v>
      </c>
      <c r="S91" s="36">
        <v>1.32</v>
      </c>
      <c r="T91" s="36">
        <v>2.1</v>
      </c>
      <c r="U91" s="49">
        <f t="shared" si="1"/>
        <v>2100</v>
      </c>
      <c r="V91" s="21">
        <f t="shared" si="2"/>
        <v>400</v>
      </c>
    </row>
    <row r="92" ht="14.25" customHeight="1">
      <c r="A92" s="38">
        <v>0.2423611111111111</v>
      </c>
      <c r="B92" s="36">
        <v>73.0</v>
      </c>
      <c r="C92" s="36">
        <v>15.5</v>
      </c>
      <c r="D92" s="36">
        <v>619.0</v>
      </c>
      <c r="E92" s="36">
        <v>554.0</v>
      </c>
      <c r="F92" s="36">
        <v>0.9</v>
      </c>
      <c r="G92" s="36">
        <v>28.0</v>
      </c>
      <c r="H92" s="36">
        <v>0.53</v>
      </c>
      <c r="I92" s="36">
        <v>15.1</v>
      </c>
      <c r="J92" s="36">
        <v>83.4</v>
      </c>
      <c r="K92" s="36">
        <v>102.0</v>
      </c>
      <c r="L92" s="36">
        <v>51.4</v>
      </c>
      <c r="M92" s="36">
        <v>102.0</v>
      </c>
      <c r="N92" s="36">
        <v>41.0</v>
      </c>
      <c r="O92" s="36">
        <v>28.0</v>
      </c>
      <c r="P92" s="36" t="s">
        <v>102</v>
      </c>
      <c r="Q92" s="36">
        <v>0.38</v>
      </c>
      <c r="R92" s="36">
        <v>0.82</v>
      </c>
      <c r="S92" s="36">
        <v>1.3</v>
      </c>
      <c r="T92" s="36">
        <v>2.12</v>
      </c>
      <c r="U92" s="49">
        <f t="shared" si="1"/>
        <v>2120</v>
      </c>
      <c r="V92" s="21">
        <f t="shared" si="2"/>
        <v>2500</v>
      </c>
    </row>
    <row r="93" ht="14.25" customHeight="1">
      <c r="A93" s="38">
        <v>0.24375</v>
      </c>
      <c r="B93" s="36">
        <v>74.0</v>
      </c>
      <c r="C93" s="36">
        <v>15.7</v>
      </c>
      <c r="D93" s="36">
        <v>627.0</v>
      </c>
      <c r="E93" s="36">
        <v>572.0</v>
      </c>
      <c r="F93" s="36">
        <v>0.91</v>
      </c>
      <c r="G93" s="36">
        <v>28.0</v>
      </c>
      <c r="H93" s="36">
        <v>0.57</v>
      </c>
      <c r="I93" s="36">
        <v>15.7</v>
      </c>
      <c r="J93" s="36">
        <v>82.7</v>
      </c>
      <c r="K93" s="36">
        <v>102.0</v>
      </c>
      <c r="L93" s="36">
        <v>51.6</v>
      </c>
      <c r="M93" s="36">
        <v>103.0</v>
      </c>
      <c r="N93" s="36">
        <v>41.0</v>
      </c>
      <c r="O93" s="36">
        <v>28.0</v>
      </c>
      <c r="P93" s="36" t="s">
        <v>102</v>
      </c>
      <c r="Q93" s="36">
        <v>0.38</v>
      </c>
      <c r="R93" s="36">
        <v>0.83</v>
      </c>
      <c r="S93" s="36">
        <v>1.35</v>
      </c>
      <c r="T93" s="36">
        <v>2.17</v>
      </c>
      <c r="U93" s="49">
        <f t="shared" si="1"/>
        <v>2170</v>
      </c>
      <c r="V93" s="21">
        <f t="shared" si="2"/>
        <v>4900</v>
      </c>
    </row>
    <row r="94" ht="14.25" customHeight="1">
      <c r="A94" s="38">
        <v>0.24513888888888888</v>
      </c>
      <c r="B94" s="36">
        <v>74.0</v>
      </c>
      <c r="C94" s="36">
        <v>15.8</v>
      </c>
      <c r="D94" s="36">
        <v>633.0</v>
      </c>
      <c r="E94" s="36">
        <v>587.0</v>
      </c>
      <c r="F94" s="36">
        <v>0.93</v>
      </c>
      <c r="G94" s="36">
        <v>29.0</v>
      </c>
      <c r="H94" s="36">
        <v>0.57</v>
      </c>
      <c r="I94" s="36">
        <v>16.1</v>
      </c>
      <c r="J94" s="36">
        <v>82.2</v>
      </c>
      <c r="K94" s="36">
        <v>101.0</v>
      </c>
      <c r="L94" s="36">
        <v>51.7</v>
      </c>
      <c r="M94" s="36">
        <v>104.0</v>
      </c>
      <c r="N94" s="36">
        <v>40.0</v>
      </c>
      <c r="O94" s="36">
        <v>29.0</v>
      </c>
      <c r="P94" s="36" t="s">
        <v>102</v>
      </c>
      <c r="Q94" s="36">
        <v>0.37</v>
      </c>
      <c r="R94" s="36">
        <v>0.78</v>
      </c>
      <c r="S94" s="36">
        <v>1.33</v>
      </c>
      <c r="T94" s="36">
        <v>2.1</v>
      </c>
      <c r="U94" s="49">
        <f t="shared" si="1"/>
        <v>2100</v>
      </c>
      <c r="V94" s="21">
        <f t="shared" si="2"/>
        <v>400</v>
      </c>
    </row>
    <row r="95" ht="14.25" customHeight="1">
      <c r="A95" s="38">
        <v>0.24722222222222223</v>
      </c>
      <c r="B95" s="36">
        <v>75.0</v>
      </c>
      <c r="C95" s="36">
        <v>15.4</v>
      </c>
      <c r="D95" s="36">
        <v>617.0</v>
      </c>
      <c r="E95" s="36">
        <v>575.0</v>
      </c>
      <c r="F95" s="36">
        <v>0.93</v>
      </c>
      <c r="G95" s="36">
        <v>28.0</v>
      </c>
      <c r="H95" s="36">
        <v>0.56</v>
      </c>
      <c r="I95" s="36">
        <v>15.8</v>
      </c>
      <c r="J95" s="36">
        <v>82.6</v>
      </c>
      <c r="K95" s="36">
        <v>101.0</v>
      </c>
      <c r="L95" s="36">
        <v>51.7</v>
      </c>
      <c r="M95" s="36">
        <v>104.0</v>
      </c>
      <c r="N95" s="36">
        <v>40.0</v>
      </c>
      <c r="O95" s="36">
        <v>28.0</v>
      </c>
      <c r="P95" s="36" t="s">
        <v>102</v>
      </c>
      <c r="Q95" s="36">
        <v>0.36</v>
      </c>
      <c r="R95" s="36">
        <v>0.77</v>
      </c>
      <c r="S95" s="36">
        <v>1.34</v>
      </c>
      <c r="T95" s="36">
        <v>2.12</v>
      </c>
      <c r="U95" s="49">
        <f t="shared" si="1"/>
        <v>2120</v>
      </c>
      <c r="V95" s="21">
        <f t="shared" si="2"/>
        <v>10000</v>
      </c>
    </row>
    <row r="96" ht="14.25" customHeight="1">
      <c r="A96" s="38">
        <v>0.24930555555555556</v>
      </c>
      <c r="B96" s="36">
        <v>76.0</v>
      </c>
      <c r="C96" s="36">
        <v>15.6</v>
      </c>
      <c r="D96" s="36">
        <v>626.0</v>
      </c>
      <c r="E96" s="36">
        <v>568.0</v>
      </c>
      <c r="F96" s="36">
        <v>0.91</v>
      </c>
      <c r="G96" s="36">
        <v>27.0</v>
      </c>
      <c r="H96" s="36">
        <v>0.56</v>
      </c>
      <c r="I96" s="36">
        <v>15.2</v>
      </c>
      <c r="J96" s="36">
        <v>83.2</v>
      </c>
      <c r="K96" s="36">
        <v>102.0</v>
      </c>
      <c r="L96" s="36">
        <v>51.2</v>
      </c>
      <c r="M96" s="36">
        <v>102.0</v>
      </c>
      <c r="N96" s="36">
        <v>41.0</v>
      </c>
      <c r="O96" s="36">
        <v>27.0</v>
      </c>
      <c r="P96" s="36" t="s">
        <v>102</v>
      </c>
      <c r="Q96" s="36">
        <v>0.36</v>
      </c>
      <c r="R96" s="36">
        <v>0.81</v>
      </c>
      <c r="S96" s="36">
        <v>1.41</v>
      </c>
      <c r="T96" s="36">
        <v>2.22</v>
      </c>
      <c r="U96" s="49">
        <f t="shared" si="1"/>
        <v>2220</v>
      </c>
      <c r="V96" s="21">
        <f t="shared" si="2"/>
        <v>62500</v>
      </c>
    </row>
    <row r="97" ht="14.25" customHeight="1">
      <c r="A97" s="38">
        <v>0.2513888888888889</v>
      </c>
      <c r="B97" s="36">
        <v>77.0</v>
      </c>
      <c r="C97" s="36">
        <v>15.6</v>
      </c>
      <c r="D97" s="36">
        <v>622.0</v>
      </c>
      <c r="E97" s="36">
        <v>568.0</v>
      </c>
      <c r="F97" s="36">
        <v>0.91</v>
      </c>
      <c r="G97" s="36">
        <v>24.0</v>
      </c>
      <c r="H97" s="36">
        <v>0.62</v>
      </c>
      <c r="I97" s="36">
        <v>15.2</v>
      </c>
      <c r="J97" s="36">
        <v>83.3</v>
      </c>
      <c r="K97" s="36">
        <v>102.0</v>
      </c>
      <c r="L97" s="36">
        <v>51.6</v>
      </c>
      <c r="M97" s="36">
        <v>102.0</v>
      </c>
      <c r="N97" s="36">
        <v>41.0</v>
      </c>
      <c r="O97" s="36">
        <v>24.0</v>
      </c>
      <c r="P97" s="36" t="s">
        <v>102</v>
      </c>
      <c r="Q97" s="36">
        <v>0.38</v>
      </c>
      <c r="R97" s="36">
        <v>0.95</v>
      </c>
      <c r="S97" s="36">
        <v>1.52</v>
      </c>
      <c r="T97" s="36">
        <v>2.47</v>
      </c>
      <c r="U97" s="49">
        <f t="shared" si="1"/>
        <v>2470</v>
      </c>
      <c r="V97" s="21">
        <f t="shared" si="2"/>
        <v>12100</v>
      </c>
    </row>
    <row r="98" ht="14.25" customHeight="1">
      <c r="A98" s="38">
        <v>0.25277777777777777</v>
      </c>
      <c r="B98" s="36">
        <v>78.0</v>
      </c>
      <c r="C98" s="36">
        <v>15.3</v>
      </c>
      <c r="D98" s="36">
        <v>611.0</v>
      </c>
      <c r="E98" s="36">
        <v>555.0</v>
      </c>
      <c r="F98" s="36">
        <v>0.91</v>
      </c>
      <c r="G98" s="36">
        <v>25.0</v>
      </c>
      <c r="H98" s="36">
        <v>0.59</v>
      </c>
      <c r="I98" s="36">
        <v>14.9</v>
      </c>
      <c r="J98" s="36">
        <v>83.6</v>
      </c>
      <c r="K98" s="36">
        <v>100.0</v>
      </c>
      <c r="L98" s="36">
        <v>52.5</v>
      </c>
      <c r="M98" s="36">
        <v>102.0</v>
      </c>
      <c r="N98" s="36">
        <v>41.0</v>
      </c>
      <c r="O98" s="36">
        <v>25.0</v>
      </c>
      <c r="P98" s="36" t="s">
        <v>102</v>
      </c>
      <c r="Q98" s="36">
        <v>0.36</v>
      </c>
      <c r="R98" s="36">
        <v>0.86</v>
      </c>
      <c r="S98" s="36">
        <v>1.5</v>
      </c>
      <c r="T98" s="36">
        <v>2.36</v>
      </c>
      <c r="U98" s="49">
        <f t="shared" si="1"/>
        <v>2360</v>
      </c>
      <c r="V98" s="21">
        <f t="shared" si="2"/>
        <v>36100</v>
      </c>
    </row>
    <row r="99" ht="14.25" customHeight="1">
      <c r="A99" s="38">
        <v>0.25416666666666665</v>
      </c>
      <c r="B99" s="36">
        <v>78.0</v>
      </c>
      <c r="C99" s="36">
        <v>13.8</v>
      </c>
      <c r="D99" s="36">
        <v>552.0</v>
      </c>
      <c r="E99" s="36">
        <v>495.0</v>
      </c>
      <c r="F99" s="36">
        <v>0.9</v>
      </c>
      <c r="G99" s="36">
        <v>24.0</v>
      </c>
      <c r="H99" s="36">
        <v>0.56</v>
      </c>
      <c r="I99" s="36">
        <v>13.1</v>
      </c>
      <c r="J99" s="36">
        <v>85.6</v>
      </c>
      <c r="K99" s="36">
        <v>102.0</v>
      </c>
      <c r="L99" s="36">
        <v>51.4</v>
      </c>
      <c r="M99" s="36">
        <v>100.0</v>
      </c>
      <c r="N99" s="36">
        <v>42.0</v>
      </c>
      <c r="O99" s="36">
        <v>24.0</v>
      </c>
      <c r="P99" s="36" t="s">
        <v>102</v>
      </c>
      <c r="Q99" s="36">
        <v>0.33</v>
      </c>
      <c r="R99" s="36">
        <v>0.85</v>
      </c>
      <c r="S99" s="36">
        <v>1.7</v>
      </c>
      <c r="T99" s="36">
        <v>2.55</v>
      </c>
      <c r="U99" s="49">
        <f t="shared" si="1"/>
        <v>2550</v>
      </c>
      <c r="V99" s="21">
        <f t="shared" si="2"/>
        <v>0</v>
      </c>
    </row>
    <row r="100" ht="14.25" customHeight="1">
      <c r="A100" s="38">
        <v>0.25625</v>
      </c>
      <c r="B100" s="36">
        <v>80.0</v>
      </c>
      <c r="C100" s="36">
        <v>13.8</v>
      </c>
      <c r="D100" s="36">
        <v>551.0</v>
      </c>
      <c r="E100" s="36">
        <v>494.0</v>
      </c>
      <c r="F100" s="36">
        <v>0.9</v>
      </c>
      <c r="G100" s="36">
        <v>24.0</v>
      </c>
      <c r="H100" s="36">
        <v>0.56</v>
      </c>
      <c r="I100" s="36">
        <v>13.1</v>
      </c>
      <c r="J100" s="36">
        <v>85.6</v>
      </c>
      <c r="K100" s="36">
        <v>101.0</v>
      </c>
      <c r="L100" s="36">
        <v>51.7</v>
      </c>
      <c r="M100" s="36">
        <v>100.0</v>
      </c>
      <c r="N100" s="36">
        <v>42.0</v>
      </c>
      <c r="O100" s="36">
        <v>24.0</v>
      </c>
      <c r="P100" s="36" t="s">
        <v>102</v>
      </c>
      <c r="Q100" s="36">
        <v>0.33</v>
      </c>
      <c r="R100" s="36">
        <v>0.85</v>
      </c>
      <c r="S100" s="36">
        <v>1.7</v>
      </c>
      <c r="T100" s="36">
        <v>2.55</v>
      </c>
      <c r="U100" s="49">
        <f t="shared" si="1"/>
        <v>2550</v>
      </c>
      <c r="V100" s="21">
        <f t="shared" si="2"/>
        <v>1600</v>
      </c>
    </row>
    <row r="101" ht="14.25" customHeight="1">
      <c r="A101" s="38">
        <v>0.25833333333333336</v>
      </c>
      <c r="B101" s="36">
        <v>80.0</v>
      </c>
      <c r="C101" s="36">
        <v>13.2</v>
      </c>
      <c r="D101" s="36">
        <v>527.0</v>
      </c>
      <c r="E101" s="36">
        <v>463.0</v>
      </c>
      <c r="F101" s="36">
        <v>0.88</v>
      </c>
      <c r="G101" s="36">
        <v>23.0</v>
      </c>
      <c r="H101" s="36">
        <v>0.53</v>
      </c>
      <c r="I101" s="36">
        <v>12.2</v>
      </c>
      <c r="J101" s="36">
        <v>86.5</v>
      </c>
      <c r="K101" s="36">
        <v>101.0</v>
      </c>
      <c r="L101" s="36">
        <v>51.9</v>
      </c>
      <c r="M101" s="36">
        <v>99.0</v>
      </c>
      <c r="N101" s="36">
        <v>43.0</v>
      </c>
      <c r="O101" s="36">
        <v>23.0</v>
      </c>
      <c r="P101" s="36" t="s">
        <v>102</v>
      </c>
      <c r="Q101" s="36">
        <v>0.32</v>
      </c>
      <c r="R101" s="36">
        <v>0.84</v>
      </c>
      <c r="S101" s="36">
        <v>1.75</v>
      </c>
      <c r="T101" s="36">
        <v>2.59</v>
      </c>
      <c r="U101" s="49">
        <f t="shared" si="1"/>
        <v>2590</v>
      </c>
      <c r="V101" s="21">
        <f t="shared" si="2"/>
        <v>6400</v>
      </c>
    </row>
    <row r="102" ht="14.25" customHeight="1">
      <c r="A102" s="38">
        <v>0.25972222222222224</v>
      </c>
      <c r="B102" s="36">
        <v>81.0</v>
      </c>
      <c r="C102" s="36">
        <v>14.5</v>
      </c>
      <c r="D102" s="36">
        <v>578.0</v>
      </c>
      <c r="E102" s="36">
        <v>508.0</v>
      </c>
      <c r="F102" s="36">
        <v>0.88</v>
      </c>
      <c r="G102" s="36">
        <v>24.0</v>
      </c>
      <c r="H102" s="36">
        <v>0.56</v>
      </c>
      <c r="I102" s="36">
        <v>13.3</v>
      </c>
      <c r="J102" s="36">
        <v>85.3</v>
      </c>
      <c r="K102" s="36">
        <v>100.0</v>
      </c>
      <c r="L102" s="36">
        <v>52.5</v>
      </c>
      <c r="M102" s="36">
        <v>99.0</v>
      </c>
      <c r="N102" s="36">
        <v>43.0</v>
      </c>
      <c r="O102" s="36">
        <v>24.0</v>
      </c>
      <c r="P102" s="36" t="s">
        <v>102</v>
      </c>
      <c r="Q102" s="36">
        <v>0.33</v>
      </c>
      <c r="R102" s="36">
        <v>0.83</v>
      </c>
      <c r="S102" s="36">
        <v>1.68</v>
      </c>
      <c r="T102" s="36">
        <v>2.51</v>
      </c>
      <c r="U102" s="49">
        <f t="shared" si="1"/>
        <v>2510</v>
      </c>
      <c r="V102" s="21">
        <f t="shared" si="2"/>
        <v>100</v>
      </c>
    </row>
    <row r="103" ht="14.25" customHeight="1">
      <c r="A103" s="38">
        <v>0.26180555555555557</v>
      </c>
      <c r="B103" s="36">
        <v>82.0</v>
      </c>
      <c r="C103" s="36">
        <v>13.5</v>
      </c>
      <c r="D103" s="36">
        <v>539.0</v>
      </c>
      <c r="E103" s="36">
        <v>469.0</v>
      </c>
      <c r="F103" s="36">
        <v>0.87</v>
      </c>
      <c r="G103" s="36">
        <v>24.0</v>
      </c>
      <c r="H103" s="36">
        <v>0.52</v>
      </c>
      <c r="I103" s="36">
        <v>12.4</v>
      </c>
      <c r="J103" s="36">
        <v>86.4</v>
      </c>
      <c r="K103" s="36">
        <v>98.0</v>
      </c>
      <c r="L103" s="36">
        <v>53.1</v>
      </c>
      <c r="M103" s="36">
        <v>99.0</v>
      </c>
      <c r="N103" s="36">
        <v>43.0</v>
      </c>
      <c r="O103" s="36">
        <v>24.0</v>
      </c>
      <c r="P103" s="36" t="s">
        <v>102</v>
      </c>
      <c r="Q103" s="36">
        <v>0.34</v>
      </c>
      <c r="R103" s="36">
        <v>0.84</v>
      </c>
      <c r="S103" s="36">
        <v>1.66</v>
      </c>
      <c r="T103" s="36">
        <v>2.5</v>
      </c>
      <c r="U103" s="49">
        <f t="shared" si="1"/>
        <v>2500</v>
      </c>
      <c r="V103" s="21">
        <f t="shared" si="2"/>
        <v>40000</v>
      </c>
    </row>
    <row r="104" ht="14.25" customHeight="1">
      <c r="A104" s="38">
        <v>0.26319444444444445</v>
      </c>
      <c r="B104" s="36">
        <v>83.0</v>
      </c>
      <c r="C104" s="36">
        <v>14.0</v>
      </c>
      <c r="D104" s="36">
        <v>562.0</v>
      </c>
      <c r="E104" s="36">
        <v>477.0</v>
      </c>
      <c r="F104" s="36">
        <v>0.85</v>
      </c>
      <c r="G104" s="36">
        <v>26.0</v>
      </c>
      <c r="H104" s="36">
        <v>0.47</v>
      </c>
      <c r="I104" s="36">
        <v>12.4</v>
      </c>
      <c r="J104" s="36">
        <v>86.4</v>
      </c>
      <c r="K104" s="36">
        <v>99.0</v>
      </c>
      <c r="L104" s="36">
        <v>53.0</v>
      </c>
      <c r="M104" s="36">
        <v>98.0</v>
      </c>
      <c r="N104" s="36">
        <v>43.0</v>
      </c>
      <c r="O104" s="36">
        <v>26.0</v>
      </c>
      <c r="P104" s="36" t="s">
        <v>102</v>
      </c>
      <c r="Q104" s="36">
        <v>0.31</v>
      </c>
      <c r="R104" s="36">
        <v>0.7</v>
      </c>
      <c r="S104" s="36">
        <v>1.59</v>
      </c>
      <c r="T104" s="36">
        <v>2.3</v>
      </c>
      <c r="U104" s="49">
        <f t="shared" si="1"/>
        <v>2300</v>
      </c>
      <c r="V104" s="21">
        <f t="shared" si="2"/>
        <v>900</v>
      </c>
    </row>
    <row r="105" ht="14.25" customHeight="1">
      <c r="A105" s="38">
        <v>0.26458333333333334</v>
      </c>
      <c r="B105" s="36">
        <v>84.0</v>
      </c>
      <c r="C105" s="36">
        <v>14.7</v>
      </c>
      <c r="D105" s="36">
        <v>590.0</v>
      </c>
      <c r="E105" s="36">
        <v>495.0</v>
      </c>
      <c r="F105" s="36">
        <v>0.84</v>
      </c>
      <c r="G105" s="36">
        <v>26.0</v>
      </c>
      <c r="H105" s="36">
        <v>0.5</v>
      </c>
      <c r="I105" s="36">
        <v>12.8</v>
      </c>
      <c r="J105" s="36">
        <v>85.9</v>
      </c>
      <c r="K105" s="36">
        <v>100.0</v>
      </c>
      <c r="L105" s="36">
        <v>52.4</v>
      </c>
      <c r="M105" s="36">
        <v>97.0</v>
      </c>
      <c r="N105" s="36">
        <v>43.0</v>
      </c>
      <c r="O105" s="36">
        <v>26.0</v>
      </c>
      <c r="P105" s="36" t="s">
        <v>102</v>
      </c>
      <c r="Q105" s="36">
        <v>0.32</v>
      </c>
      <c r="R105" s="36">
        <v>0.75</v>
      </c>
      <c r="S105" s="36">
        <v>1.58</v>
      </c>
      <c r="T105" s="36">
        <v>2.33</v>
      </c>
      <c r="U105" s="49">
        <f t="shared" si="1"/>
        <v>2330</v>
      </c>
      <c r="V105" s="21">
        <f t="shared" si="2"/>
        <v>900</v>
      </c>
    </row>
    <row r="106" ht="14.25" customHeight="1">
      <c r="A106" s="38">
        <v>0.2659722222222222</v>
      </c>
      <c r="B106" s="36">
        <v>84.0</v>
      </c>
      <c r="C106" s="36">
        <v>16.2</v>
      </c>
      <c r="D106" s="36">
        <v>649.0</v>
      </c>
      <c r="E106" s="36">
        <v>547.0</v>
      </c>
      <c r="F106" s="36">
        <v>0.84</v>
      </c>
      <c r="G106" s="36">
        <v>25.0</v>
      </c>
      <c r="H106" s="36">
        <v>0.55</v>
      </c>
      <c r="I106" s="36">
        <v>14.0</v>
      </c>
      <c r="J106" s="36">
        <v>84.6</v>
      </c>
      <c r="K106" s="36">
        <v>98.0</v>
      </c>
      <c r="L106" s="36">
        <v>53.3</v>
      </c>
      <c r="M106" s="36">
        <v>97.0</v>
      </c>
      <c r="N106" s="36">
        <v>43.0</v>
      </c>
      <c r="O106" s="36">
        <v>25.0</v>
      </c>
      <c r="P106" s="36" t="s">
        <v>102</v>
      </c>
      <c r="Q106" s="36">
        <v>0.34</v>
      </c>
      <c r="R106" s="36">
        <v>0.8</v>
      </c>
      <c r="S106" s="36">
        <v>1.56</v>
      </c>
      <c r="T106" s="36">
        <v>2.36</v>
      </c>
      <c r="U106" s="49">
        <f t="shared" si="1"/>
        <v>2360</v>
      </c>
      <c r="V106" s="21">
        <f t="shared" si="2"/>
        <v>8100</v>
      </c>
    </row>
    <row r="107" ht="14.25" customHeight="1">
      <c r="A107" s="38">
        <v>0.26805555555555555</v>
      </c>
      <c r="B107" s="36">
        <v>85.0</v>
      </c>
      <c r="C107" s="36">
        <v>15.7</v>
      </c>
      <c r="D107" s="36">
        <v>629.0</v>
      </c>
      <c r="E107" s="36">
        <v>535.0</v>
      </c>
      <c r="F107" s="36">
        <v>0.85</v>
      </c>
      <c r="G107" s="36">
        <v>24.0</v>
      </c>
      <c r="H107" s="36">
        <v>0.56</v>
      </c>
      <c r="I107" s="36">
        <v>13.7</v>
      </c>
      <c r="J107" s="36">
        <v>84.9</v>
      </c>
      <c r="K107" s="36">
        <v>98.0</v>
      </c>
      <c r="L107" s="36">
        <v>53.3</v>
      </c>
      <c r="M107" s="36">
        <v>98.0</v>
      </c>
      <c r="N107" s="36">
        <v>43.0</v>
      </c>
      <c r="O107" s="36">
        <v>24.0</v>
      </c>
      <c r="P107" s="36" t="s">
        <v>102</v>
      </c>
      <c r="Q107" s="36">
        <v>0.35</v>
      </c>
      <c r="R107" s="36">
        <v>0.85</v>
      </c>
      <c r="S107" s="36">
        <v>1.6</v>
      </c>
      <c r="T107" s="36">
        <v>2.45</v>
      </c>
      <c r="U107" s="49">
        <f t="shared" si="1"/>
        <v>2450</v>
      </c>
      <c r="V107" s="21">
        <f t="shared" si="2"/>
        <v>6400</v>
      </c>
    </row>
    <row r="108" ht="14.25" customHeight="1">
      <c r="A108" s="38">
        <v>0.26944444444444443</v>
      </c>
      <c r="B108" s="36">
        <v>86.0</v>
      </c>
      <c r="C108" s="36">
        <v>16.5</v>
      </c>
      <c r="D108" s="36">
        <v>661.0</v>
      </c>
      <c r="E108" s="36">
        <v>567.0</v>
      </c>
      <c r="F108" s="36">
        <v>0.86</v>
      </c>
      <c r="G108" s="36">
        <v>25.0</v>
      </c>
      <c r="H108" s="36">
        <v>0.58</v>
      </c>
      <c r="I108" s="36">
        <v>14.6</v>
      </c>
      <c r="J108" s="36">
        <v>83.9</v>
      </c>
      <c r="K108" s="36">
        <v>97.0</v>
      </c>
      <c r="L108" s="36">
        <v>53.6</v>
      </c>
      <c r="M108" s="36">
        <v>98.0</v>
      </c>
      <c r="N108" s="36">
        <v>43.0</v>
      </c>
      <c r="O108" s="36">
        <v>25.0</v>
      </c>
      <c r="P108" s="36" t="s">
        <v>102</v>
      </c>
      <c r="Q108" s="36">
        <v>0.35</v>
      </c>
      <c r="R108" s="36">
        <v>0.82</v>
      </c>
      <c r="S108" s="36">
        <v>1.55</v>
      </c>
      <c r="T108" s="36">
        <v>2.37</v>
      </c>
      <c r="U108" s="49">
        <f t="shared" si="1"/>
        <v>2370</v>
      </c>
      <c r="V108" s="21">
        <f t="shared" si="2"/>
        <v>14400</v>
      </c>
    </row>
    <row r="109" ht="14.25" customHeight="1">
      <c r="A109" s="38">
        <v>0.2708333333333333</v>
      </c>
      <c r="B109" s="36">
        <v>87.0</v>
      </c>
      <c r="C109" s="36">
        <v>16.8</v>
      </c>
      <c r="D109" s="36">
        <v>670.0</v>
      </c>
      <c r="E109" s="36">
        <v>578.0</v>
      </c>
      <c r="F109" s="36">
        <v>0.86</v>
      </c>
      <c r="G109" s="36">
        <v>27.0</v>
      </c>
      <c r="H109" s="36">
        <v>0.56</v>
      </c>
      <c r="I109" s="36">
        <v>15.0</v>
      </c>
      <c r="J109" s="36">
        <v>83.5</v>
      </c>
      <c r="K109" s="36">
        <v>102.0</v>
      </c>
      <c r="L109" s="36">
        <v>51.3</v>
      </c>
      <c r="M109" s="36">
        <v>99.0</v>
      </c>
      <c r="N109" s="36">
        <v>42.0</v>
      </c>
      <c r="O109" s="36">
        <v>27.0</v>
      </c>
      <c r="P109" s="36" t="s">
        <v>102</v>
      </c>
      <c r="Q109" s="36">
        <v>0.37</v>
      </c>
      <c r="R109" s="36">
        <v>0.84</v>
      </c>
      <c r="S109" s="36">
        <v>1.42</v>
      </c>
      <c r="T109" s="36">
        <v>2.25</v>
      </c>
      <c r="U109" s="49">
        <f t="shared" si="1"/>
        <v>2250</v>
      </c>
      <c r="V109" s="21">
        <f t="shared" si="2"/>
        <v>3600</v>
      </c>
    </row>
    <row r="110" ht="14.25" customHeight="1">
      <c r="A110" s="38">
        <v>0.2722222222222222</v>
      </c>
      <c r="B110" s="36">
        <v>87.0</v>
      </c>
      <c r="C110" s="36">
        <v>16.9</v>
      </c>
      <c r="D110" s="36">
        <v>676.0</v>
      </c>
      <c r="E110" s="36">
        <v>584.0</v>
      </c>
      <c r="F110" s="36">
        <v>0.86</v>
      </c>
      <c r="G110" s="36">
        <v>27.0</v>
      </c>
      <c r="H110" s="36">
        <v>0.55</v>
      </c>
      <c r="I110" s="36">
        <v>15.2</v>
      </c>
      <c r="J110" s="36">
        <v>83.2</v>
      </c>
      <c r="K110" s="36">
        <v>104.0</v>
      </c>
      <c r="L110" s="36">
        <v>50.5</v>
      </c>
      <c r="M110" s="36">
        <v>99.0</v>
      </c>
      <c r="N110" s="36">
        <v>42.0</v>
      </c>
      <c r="O110" s="36">
        <v>27.0</v>
      </c>
      <c r="P110" s="36" t="s">
        <v>102</v>
      </c>
      <c r="Q110" s="36">
        <v>0.35</v>
      </c>
      <c r="R110" s="36">
        <v>0.77</v>
      </c>
      <c r="S110" s="36">
        <v>1.41</v>
      </c>
      <c r="T110" s="36">
        <v>2.19</v>
      </c>
      <c r="U110" s="49">
        <f t="shared" si="1"/>
        <v>2190</v>
      </c>
      <c r="V110" s="21">
        <f t="shared" si="2"/>
        <v>14400</v>
      </c>
    </row>
    <row r="111" ht="14.25" customHeight="1">
      <c r="A111" s="38">
        <v>0.27361111111111114</v>
      </c>
      <c r="B111" s="36">
        <v>88.0</v>
      </c>
      <c r="C111" s="36">
        <v>16.5</v>
      </c>
      <c r="D111" s="36">
        <v>659.0</v>
      </c>
      <c r="E111" s="36">
        <v>573.0</v>
      </c>
      <c r="F111" s="36">
        <v>0.87</v>
      </c>
      <c r="G111" s="36">
        <v>29.0</v>
      </c>
      <c r="H111" s="36">
        <v>0.52</v>
      </c>
      <c r="I111" s="36">
        <v>15.2</v>
      </c>
      <c r="J111" s="36">
        <v>83.3</v>
      </c>
      <c r="K111" s="36">
        <v>106.0</v>
      </c>
      <c r="L111" s="36">
        <v>49.5</v>
      </c>
      <c r="M111" s="36">
        <v>100.0</v>
      </c>
      <c r="N111" s="36">
        <v>42.0</v>
      </c>
      <c r="O111" s="36">
        <v>29.0</v>
      </c>
      <c r="P111" s="36" t="s">
        <v>102</v>
      </c>
      <c r="Q111" s="36">
        <v>0.37</v>
      </c>
      <c r="R111" s="36">
        <v>0.77</v>
      </c>
      <c r="S111" s="36">
        <v>1.29</v>
      </c>
      <c r="T111" s="36">
        <v>2.07</v>
      </c>
      <c r="U111" s="49">
        <f t="shared" si="1"/>
        <v>2070</v>
      </c>
      <c r="V111" s="21">
        <f t="shared" si="2"/>
        <v>0</v>
      </c>
    </row>
    <row r="112" ht="14.25" customHeight="1">
      <c r="A112" s="38">
        <v>0.2743055555555556</v>
      </c>
      <c r="B112" s="36">
        <v>88.0</v>
      </c>
      <c r="C112" s="36">
        <v>16.5</v>
      </c>
      <c r="D112" s="36">
        <v>660.0</v>
      </c>
      <c r="E112" s="36">
        <v>574.0</v>
      </c>
      <c r="F112" s="36">
        <v>0.87</v>
      </c>
      <c r="G112" s="36">
        <v>29.0</v>
      </c>
      <c r="H112" s="36">
        <v>0.52</v>
      </c>
      <c r="I112" s="36">
        <v>15.2</v>
      </c>
      <c r="J112" s="36">
        <v>83.3</v>
      </c>
      <c r="K112" s="36">
        <v>107.0</v>
      </c>
      <c r="L112" s="36">
        <v>49.2</v>
      </c>
      <c r="M112" s="36">
        <v>100.0</v>
      </c>
      <c r="N112" s="36">
        <v>42.0</v>
      </c>
      <c r="O112" s="36">
        <v>29.0</v>
      </c>
      <c r="P112" s="36" t="s">
        <v>102</v>
      </c>
      <c r="Q112" s="36">
        <v>0.37</v>
      </c>
      <c r="R112" s="36">
        <v>0.77</v>
      </c>
      <c r="S112" s="36">
        <v>1.29</v>
      </c>
      <c r="T112" s="36">
        <v>2.07</v>
      </c>
      <c r="U112" s="49">
        <f t="shared" si="1"/>
        <v>2070</v>
      </c>
      <c r="V112" s="21">
        <f t="shared" si="2"/>
        <v>0</v>
      </c>
    </row>
    <row r="113" ht="14.25" customHeight="1">
      <c r="A113" s="38">
        <v>0.2763888888888889</v>
      </c>
      <c r="B113" s="36">
        <v>89.0</v>
      </c>
      <c r="C113" s="36">
        <v>15.7</v>
      </c>
      <c r="D113" s="36">
        <v>630.0</v>
      </c>
      <c r="E113" s="36">
        <v>550.0</v>
      </c>
      <c r="F113" s="36">
        <v>0.87</v>
      </c>
      <c r="G113" s="36">
        <v>29.0</v>
      </c>
      <c r="H113" s="36">
        <v>0.5</v>
      </c>
      <c r="I113" s="36">
        <v>14.6</v>
      </c>
      <c r="J113" s="36">
        <v>83.9</v>
      </c>
      <c r="K113" s="36">
        <v>106.0</v>
      </c>
      <c r="L113" s="36">
        <v>49.4</v>
      </c>
      <c r="M113" s="36">
        <v>100.0</v>
      </c>
      <c r="N113" s="36">
        <v>42.0</v>
      </c>
      <c r="O113" s="36">
        <v>29.0</v>
      </c>
      <c r="P113" s="36" t="s">
        <v>102</v>
      </c>
      <c r="Q113" s="36">
        <v>0.38</v>
      </c>
      <c r="R113" s="36">
        <v>0.78</v>
      </c>
      <c r="S113" s="36">
        <v>1.29</v>
      </c>
      <c r="T113" s="36">
        <v>2.07</v>
      </c>
      <c r="U113" s="49">
        <f t="shared" si="1"/>
        <v>2070</v>
      </c>
      <c r="V113" s="21">
        <f t="shared" si="2"/>
        <v>100</v>
      </c>
    </row>
    <row r="114" ht="14.25" customHeight="1">
      <c r="A114" s="38">
        <v>0.2777777777777778</v>
      </c>
      <c r="B114" s="36">
        <v>90.0</v>
      </c>
      <c r="C114" s="36">
        <v>15.8</v>
      </c>
      <c r="D114" s="36">
        <v>631.0</v>
      </c>
      <c r="E114" s="36">
        <v>548.0</v>
      </c>
      <c r="F114" s="36">
        <v>0.87</v>
      </c>
      <c r="G114" s="36">
        <v>29.0</v>
      </c>
      <c r="H114" s="36">
        <v>0.5</v>
      </c>
      <c r="I114" s="36">
        <v>14.5</v>
      </c>
      <c r="J114" s="36">
        <v>84.0</v>
      </c>
      <c r="K114" s="36">
        <v>106.0</v>
      </c>
      <c r="L114" s="36">
        <v>49.4</v>
      </c>
      <c r="M114" s="36">
        <v>100.0</v>
      </c>
      <c r="N114" s="36">
        <v>42.0</v>
      </c>
      <c r="O114" s="36">
        <v>29.0</v>
      </c>
      <c r="P114" s="36" t="s">
        <v>102</v>
      </c>
      <c r="Q114" s="36">
        <v>0.36</v>
      </c>
      <c r="R114" s="36">
        <v>0.75</v>
      </c>
      <c r="S114" s="36">
        <v>1.33</v>
      </c>
      <c r="T114" s="36">
        <v>2.08</v>
      </c>
      <c r="U114" s="49">
        <f t="shared" si="1"/>
        <v>2080</v>
      </c>
      <c r="V114" s="21">
        <f t="shared" si="2"/>
        <v>19600</v>
      </c>
    </row>
    <row r="115" ht="14.25" customHeight="1">
      <c r="A115" s="38">
        <v>0.2791666666666667</v>
      </c>
      <c r="B115" s="36">
        <v>90.0</v>
      </c>
      <c r="C115" s="36">
        <v>16.7</v>
      </c>
      <c r="D115" s="36">
        <v>667.0</v>
      </c>
      <c r="E115" s="36">
        <v>573.0</v>
      </c>
      <c r="F115" s="36">
        <v>0.86</v>
      </c>
      <c r="G115" s="36">
        <v>31.0</v>
      </c>
      <c r="H115" s="36">
        <v>0.49</v>
      </c>
      <c r="I115" s="36">
        <v>15.2</v>
      </c>
      <c r="J115" s="36">
        <v>83.3</v>
      </c>
      <c r="K115" s="36">
        <v>106.0</v>
      </c>
      <c r="L115" s="36">
        <v>49.4</v>
      </c>
      <c r="M115" s="36">
        <v>99.0</v>
      </c>
      <c r="N115" s="36">
        <v>42.0</v>
      </c>
      <c r="O115" s="36">
        <v>31.0</v>
      </c>
      <c r="P115" s="36" t="s">
        <v>102</v>
      </c>
      <c r="Q115" s="36">
        <v>0.35</v>
      </c>
      <c r="R115" s="36">
        <v>0.68</v>
      </c>
      <c r="S115" s="36">
        <v>1.27</v>
      </c>
      <c r="T115" s="36">
        <v>1.94</v>
      </c>
      <c r="U115" s="49">
        <f t="shared" si="1"/>
        <v>1940</v>
      </c>
      <c r="V115" s="21">
        <f t="shared" si="2"/>
        <v>1600</v>
      </c>
    </row>
    <row r="116" ht="14.25" customHeight="1">
      <c r="A116" s="38">
        <v>0.28055555555555556</v>
      </c>
      <c r="B116" s="36">
        <v>91.0</v>
      </c>
      <c r="C116" s="36">
        <v>17.3</v>
      </c>
      <c r="D116" s="36">
        <v>693.0</v>
      </c>
      <c r="E116" s="36">
        <v>596.0</v>
      </c>
      <c r="F116" s="36">
        <v>0.86</v>
      </c>
      <c r="G116" s="36">
        <v>30.0</v>
      </c>
      <c r="H116" s="36">
        <v>0.52</v>
      </c>
      <c r="I116" s="36">
        <v>15.7</v>
      </c>
      <c r="J116" s="36">
        <v>82.7</v>
      </c>
      <c r="K116" s="36">
        <v>107.0</v>
      </c>
      <c r="L116" s="36">
        <v>49.3</v>
      </c>
      <c r="M116" s="36">
        <v>99.0</v>
      </c>
      <c r="N116" s="36">
        <v>43.0</v>
      </c>
      <c r="O116" s="36">
        <v>30.0</v>
      </c>
      <c r="P116" s="36" t="s">
        <v>102</v>
      </c>
      <c r="Q116" s="36">
        <v>0.35</v>
      </c>
      <c r="R116" s="36">
        <v>0.7</v>
      </c>
      <c r="S116" s="36">
        <v>1.28</v>
      </c>
      <c r="T116" s="36">
        <v>1.98</v>
      </c>
      <c r="U116" s="49">
        <f t="shared" si="1"/>
        <v>1980</v>
      </c>
      <c r="V116" s="21">
        <f t="shared" si="2"/>
        <v>100</v>
      </c>
    </row>
    <row r="117" ht="14.25" customHeight="1">
      <c r="A117" s="38">
        <v>0.28194444444444444</v>
      </c>
      <c r="B117" s="36">
        <v>92.0</v>
      </c>
      <c r="C117" s="36">
        <v>17.6</v>
      </c>
      <c r="D117" s="36">
        <v>706.0</v>
      </c>
      <c r="E117" s="36">
        <v>606.0</v>
      </c>
      <c r="F117" s="36">
        <v>0.86</v>
      </c>
      <c r="G117" s="36">
        <v>30.0</v>
      </c>
      <c r="H117" s="36">
        <v>0.52</v>
      </c>
      <c r="I117" s="36">
        <v>16.0</v>
      </c>
      <c r="J117" s="36">
        <v>82.4</v>
      </c>
      <c r="K117" s="36">
        <v>107.0</v>
      </c>
      <c r="L117" s="36">
        <v>49.1</v>
      </c>
      <c r="M117" s="36">
        <v>99.0</v>
      </c>
      <c r="N117" s="36">
        <v>43.0</v>
      </c>
      <c r="O117" s="36">
        <v>30.0</v>
      </c>
      <c r="P117" s="36" t="s">
        <v>102</v>
      </c>
      <c r="Q117" s="36">
        <v>0.39</v>
      </c>
      <c r="R117" s="36">
        <v>0.76</v>
      </c>
      <c r="S117" s="36">
        <v>1.21</v>
      </c>
      <c r="T117" s="36">
        <v>1.97</v>
      </c>
      <c r="U117" s="49">
        <f t="shared" si="1"/>
        <v>1970</v>
      </c>
      <c r="V117" s="21">
        <f t="shared" si="2"/>
        <v>67600</v>
      </c>
    </row>
    <row r="118" ht="14.25" customHeight="1">
      <c r="A118" s="38">
        <v>0.28402777777777777</v>
      </c>
      <c r="B118" s="36">
        <v>93.0</v>
      </c>
      <c r="C118" s="36">
        <v>18.2</v>
      </c>
      <c r="D118" s="36">
        <v>727.0</v>
      </c>
      <c r="E118" s="36">
        <v>629.0</v>
      </c>
      <c r="F118" s="36">
        <v>0.87</v>
      </c>
      <c r="G118" s="36">
        <v>27.0</v>
      </c>
      <c r="H118" s="36">
        <v>0.6</v>
      </c>
      <c r="I118" s="36">
        <v>16.2</v>
      </c>
      <c r="J118" s="36">
        <v>82.1</v>
      </c>
      <c r="K118" s="36">
        <v>107.0</v>
      </c>
      <c r="L118" s="36">
        <v>49.3</v>
      </c>
      <c r="M118" s="36">
        <v>98.0</v>
      </c>
      <c r="N118" s="36">
        <v>43.0</v>
      </c>
      <c r="O118" s="36">
        <v>27.0</v>
      </c>
      <c r="P118" s="36" t="s">
        <v>102</v>
      </c>
      <c r="Q118" s="36">
        <v>0.38</v>
      </c>
      <c r="R118" s="36">
        <v>0.84</v>
      </c>
      <c r="S118" s="36">
        <v>1.39</v>
      </c>
      <c r="T118" s="36">
        <v>2.23</v>
      </c>
      <c r="U118" s="49">
        <f t="shared" si="1"/>
        <v>2230</v>
      </c>
      <c r="V118" s="21">
        <f t="shared" si="2"/>
        <v>14400</v>
      </c>
    </row>
    <row r="119" ht="14.25" customHeight="1">
      <c r="A119" s="38">
        <v>0.2861111111111111</v>
      </c>
      <c r="B119" s="36">
        <v>94.0</v>
      </c>
      <c r="C119" s="36">
        <v>17.2</v>
      </c>
      <c r="D119" s="36">
        <v>688.0</v>
      </c>
      <c r="E119" s="36">
        <v>604.0</v>
      </c>
      <c r="F119" s="36">
        <v>0.88</v>
      </c>
      <c r="G119" s="36">
        <v>26.0</v>
      </c>
      <c r="H119" s="36">
        <v>0.61</v>
      </c>
      <c r="I119" s="36">
        <v>15.6</v>
      </c>
      <c r="J119" s="36">
        <v>82.8</v>
      </c>
      <c r="K119" s="36">
        <v>107.0</v>
      </c>
      <c r="L119" s="36">
        <v>49.2</v>
      </c>
      <c r="M119" s="36">
        <v>99.0</v>
      </c>
      <c r="N119" s="36">
        <v>43.0</v>
      </c>
      <c r="O119" s="36">
        <v>26.0</v>
      </c>
      <c r="P119" s="36" t="s">
        <v>102</v>
      </c>
      <c r="Q119" s="36">
        <v>0.38</v>
      </c>
      <c r="R119" s="36">
        <v>0.89</v>
      </c>
      <c r="S119" s="36">
        <v>1.46</v>
      </c>
      <c r="T119" s="36">
        <v>2.35</v>
      </c>
      <c r="U119" s="49">
        <f t="shared" si="1"/>
        <v>2350</v>
      </c>
      <c r="V119" s="21">
        <f t="shared" si="2"/>
        <v>14400</v>
      </c>
    </row>
    <row r="120" ht="14.25" customHeight="1">
      <c r="A120" s="38">
        <v>0.2875</v>
      </c>
      <c r="B120" s="36">
        <v>94.0</v>
      </c>
      <c r="C120" s="36">
        <v>17.8</v>
      </c>
      <c r="D120" s="36">
        <v>711.0</v>
      </c>
      <c r="E120" s="36">
        <v>617.0</v>
      </c>
      <c r="F120" s="36">
        <v>0.87</v>
      </c>
      <c r="G120" s="36">
        <v>27.0</v>
      </c>
      <c r="H120" s="36">
        <v>0.59</v>
      </c>
      <c r="I120" s="36">
        <v>15.9</v>
      </c>
      <c r="J120" s="36">
        <v>82.5</v>
      </c>
      <c r="K120" s="36">
        <v>108.0</v>
      </c>
      <c r="L120" s="36">
        <v>48.7</v>
      </c>
      <c r="M120" s="36">
        <v>98.0</v>
      </c>
      <c r="N120" s="36">
        <v>43.0</v>
      </c>
      <c r="O120" s="36">
        <v>27.0</v>
      </c>
      <c r="P120" s="36" t="s">
        <v>102</v>
      </c>
      <c r="Q120" s="36">
        <v>0.37</v>
      </c>
      <c r="R120" s="36">
        <v>0.82</v>
      </c>
      <c r="S120" s="36">
        <v>1.41</v>
      </c>
      <c r="T120" s="36">
        <v>2.23</v>
      </c>
      <c r="U120" s="49">
        <f t="shared" si="1"/>
        <v>2230</v>
      </c>
      <c r="V120" s="21">
        <f t="shared" si="2"/>
        <v>8100</v>
      </c>
    </row>
    <row r="121" ht="14.25" customHeight="1">
      <c r="A121" s="38">
        <v>0.2881944444444444</v>
      </c>
      <c r="B121" s="36">
        <v>95.0</v>
      </c>
      <c r="C121" s="36">
        <v>18.6</v>
      </c>
      <c r="D121" s="36">
        <v>743.0</v>
      </c>
      <c r="E121" s="36">
        <v>640.0</v>
      </c>
      <c r="F121" s="36">
        <v>0.86</v>
      </c>
      <c r="G121" s="36">
        <v>28.0</v>
      </c>
      <c r="H121" s="36">
        <v>0.58</v>
      </c>
      <c r="I121" s="36">
        <v>16.4</v>
      </c>
      <c r="J121" s="36">
        <v>81.9</v>
      </c>
      <c r="K121" s="36">
        <v>110.0</v>
      </c>
      <c r="L121" s="36">
        <v>47.6</v>
      </c>
      <c r="M121" s="36">
        <v>98.0</v>
      </c>
      <c r="N121" s="36">
        <v>43.0</v>
      </c>
      <c r="O121" s="36">
        <v>28.0</v>
      </c>
      <c r="P121" s="36" t="s">
        <v>102</v>
      </c>
      <c r="Q121" s="36">
        <v>0.38</v>
      </c>
      <c r="R121" s="36">
        <v>0.82</v>
      </c>
      <c r="S121" s="36">
        <v>1.32</v>
      </c>
      <c r="T121" s="36">
        <v>2.14</v>
      </c>
      <c r="U121" s="49">
        <f t="shared" si="1"/>
        <v>2140</v>
      </c>
      <c r="V121" s="8">
        <v>0.0</v>
      </c>
    </row>
    <row r="122" ht="14.25" customHeight="1">
      <c r="A122" s="38">
        <v>0.2902777777777778</v>
      </c>
      <c r="B122" s="36">
        <v>96.0</v>
      </c>
      <c r="C122" s="36">
        <v>18.6</v>
      </c>
      <c r="D122" s="36">
        <v>742.0</v>
      </c>
      <c r="E122" s="36">
        <v>640.0</v>
      </c>
      <c r="F122" s="36">
        <v>0.86</v>
      </c>
      <c r="G122" s="36">
        <v>28.0</v>
      </c>
      <c r="H122" s="36">
        <v>0.58</v>
      </c>
      <c r="I122" s="36">
        <v>16.4</v>
      </c>
      <c r="J122" s="36">
        <v>81.9</v>
      </c>
      <c r="K122" s="36">
        <v>109.0</v>
      </c>
      <c r="L122" s="36">
        <v>48.0</v>
      </c>
      <c r="M122" s="36">
        <v>98.0</v>
      </c>
      <c r="N122" s="36">
        <v>43.0</v>
      </c>
      <c r="O122" s="36">
        <v>28.0</v>
      </c>
      <c r="P122" s="36" t="s">
        <v>102</v>
      </c>
      <c r="Q122" s="36">
        <v>0.38</v>
      </c>
      <c r="R122" s="36">
        <v>0.82</v>
      </c>
      <c r="S122" s="36">
        <v>1.32</v>
      </c>
      <c r="T122" s="36">
        <v>2.14</v>
      </c>
      <c r="U122" s="49">
        <f t="shared" si="1"/>
        <v>2140</v>
      </c>
      <c r="V122" s="8"/>
    </row>
    <row r="123" ht="14.25" customHeight="1">
      <c r="A123" s="38">
        <v>0.2916666666666667</v>
      </c>
      <c r="B123" s="36">
        <v>97.0</v>
      </c>
      <c r="C123" s="36">
        <v>18.0</v>
      </c>
      <c r="D123" s="36">
        <v>720.0</v>
      </c>
      <c r="E123" s="36">
        <v>616.0</v>
      </c>
      <c r="F123" s="36">
        <v>0.86</v>
      </c>
      <c r="G123" s="36">
        <v>29.0</v>
      </c>
      <c r="H123" s="36">
        <v>0.55</v>
      </c>
      <c r="I123" s="36">
        <v>15.7</v>
      </c>
      <c r="J123" s="36">
        <v>82.8</v>
      </c>
      <c r="K123" s="36">
        <v>109.0</v>
      </c>
      <c r="L123" s="36">
        <v>48.0</v>
      </c>
      <c r="M123" s="36">
        <v>97.0</v>
      </c>
      <c r="N123" s="36">
        <v>44.0</v>
      </c>
      <c r="O123" s="36">
        <v>29.0</v>
      </c>
      <c r="P123" s="36" t="s">
        <v>102</v>
      </c>
      <c r="Q123" s="36">
        <v>0.36</v>
      </c>
      <c r="R123" s="36">
        <v>0.76</v>
      </c>
      <c r="S123" s="36">
        <v>1.34</v>
      </c>
      <c r="T123" s="36">
        <v>2.1</v>
      </c>
      <c r="U123" s="49">
        <f t="shared" si="1"/>
        <v>2100</v>
      </c>
      <c r="V123" s="21">
        <f t="shared" ref="V123:V150" si="3">(U123-U124)^2</f>
        <v>4900</v>
      </c>
    </row>
    <row r="124" ht="14.25" customHeight="1">
      <c r="A124" s="38">
        <v>0.29375</v>
      </c>
      <c r="B124" s="36">
        <v>97.0</v>
      </c>
      <c r="C124" s="36">
        <v>17.8</v>
      </c>
      <c r="D124" s="36">
        <v>712.0</v>
      </c>
      <c r="E124" s="36">
        <v>600.0</v>
      </c>
      <c r="F124" s="36">
        <v>0.84</v>
      </c>
      <c r="G124" s="36">
        <v>28.0</v>
      </c>
      <c r="H124" s="36">
        <v>0.54</v>
      </c>
      <c r="I124" s="36">
        <v>15.0</v>
      </c>
      <c r="J124" s="36">
        <v>83.5</v>
      </c>
      <c r="K124" s="36">
        <v>109.0</v>
      </c>
      <c r="L124" s="36">
        <v>48.0</v>
      </c>
      <c r="M124" s="36">
        <v>96.0</v>
      </c>
      <c r="N124" s="36">
        <v>44.0</v>
      </c>
      <c r="O124" s="36">
        <v>28.0</v>
      </c>
      <c r="P124" s="36" t="s">
        <v>102</v>
      </c>
      <c r="Q124" s="36">
        <v>0.34</v>
      </c>
      <c r="R124" s="36">
        <v>0.74</v>
      </c>
      <c r="S124" s="36">
        <v>1.43</v>
      </c>
      <c r="T124" s="36">
        <v>2.17</v>
      </c>
      <c r="U124" s="49">
        <f t="shared" si="1"/>
        <v>2170</v>
      </c>
      <c r="V124" s="21">
        <f t="shared" si="3"/>
        <v>3600</v>
      </c>
    </row>
    <row r="125" ht="14.25" customHeight="1">
      <c r="A125" s="38">
        <v>0.29444444444444445</v>
      </c>
      <c r="B125" s="36">
        <v>98.0</v>
      </c>
      <c r="C125" s="36">
        <v>18.2</v>
      </c>
      <c r="D125" s="36">
        <v>728.0</v>
      </c>
      <c r="E125" s="36">
        <v>607.0</v>
      </c>
      <c r="F125" s="36">
        <v>0.83</v>
      </c>
      <c r="G125" s="36">
        <v>28.0</v>
      </c>
      <c r="H125" s="36">
        <v>0.53</v>
      </c>
      <c r="I125" s="36">
        <v>15.2</v>
      </c>
      <c r="J125" s="36">
        <v>83.3</v>
      </c>
      <c r="K125" s="36">
        <v>109.0</v>
      </c>
      <c r="L125" s="36">
        <v>48.0</v>
      </c>
      <c r="M125" s="36">
        <v>96.0</v>
      </c>
      <c r="N125" s="36">
        <v>44.0</v>
      </c>
      <c r="O125" s="36">
        <v>28.0</v>
      </c>
      <c r="P125" s="36" t="s">
        <v>102</v>
      </c>
      <c r="Q125" s="36">
        <v>0.36</v>
      </c>
      <c r="R125" s="36">
        <v>0.77</v>
      </c>
      <c r="S125" s="36">
        <v>1.34</v>
      </c>
      <c r="T125" s="36">
        <v>2.11</v>
      </c>
      <c r="U125" s="49">
        <f t="shared" si="1"/>
        <v>2110</v>
      </c>
      <c r="V125" s="21">
        <f t="shared" si="3"/>
        <v>900</v>
      </c>
    </row>
    <row r="126" ht="14.25" customHeight="1">
      <c r="A126" s="38">
        <v>0.2965277777777778</v>
      </c>
      <c r="B126" s="36">
        <v>99.0</v>
      </c>
      <c r="C126" s="36">
        <v>18.6</v>
      </c>
      <c r="D126" s="36">
        <v>743.0</v>
      </c>
      <c r="E126" s="36">
        <v>611.0</v>
      </c>
      <c r="F126" s="36">
        <v>0.82</v>
      </c>
      <c r="G126" s="36">
        <v>28.0</v>
      </c>
      <c r="H126" s="36">
        <v>0.54</v>
      </c>
      <c r="I126" s="36">
        <v>15.2</v>
      </c>
      <c r="J126" s="36">
        <v>83.2</v>
      </c>
      <c r="K126" s="36">
        <v>108.0</v>
      </c>
      <c r="L126" s="36">
        <v>48.5</v>
      </c>
      <c r="M126" s="36">
        <v>95.0</v>
      </c>
      <c r="N126" s="36">
        <v>44.0</v>
      </c>
      <c r="O126" s="36">
        <v>28.0</v>
      </c>
      <c r="P126" s="36" t="s">
        <v>102</v>
      </c>
      <c r="Q126" s="36">
        <v>0.39</v>
      </c>
      <c r="R126" s="36">
        <v>0.82</v>
      </c>
      <c r="S126" s="36">
        <v>1.31</v>
      </c>
      <c r="T126" s="36">
        <v>2.14</v>
      </c>
      <c r="U126" s="49">
        <f t="shared" si="1"/>
        <v>2140</v>
      </c>
      <c r="V126" s="21">
        <f t="shared" si="3"/>
        <v>400</v>
      </c>
    </row>
    <row r="127" ht="14.25" customHeight="1">
      <c r="A127" s="38">
        <v>0.29791666666666666</v>
      </c>
      <c r="B127" s="36">
        <v>99.0</v>
      </c>
      <c r="C127" s="36">
        <v>19.3</v>
      </c>
      <c r="D127" s="36">
        <v>771.0</v>
      </c>
      <c r="E127" s="36">
        <v>627.0</v>
      </c>
      <c r="F127" s="36">
        <v>0.81</v>
      </c>
      <c r="G127" s="36">
        <v>28.0</v>
      </c>
      <c r="H127" s="36">
        <v>0.56</v>
      </c>
      <c r="I127" s="36">
        <v>15.5</v>
      </c>
      <c r="J127" s="36">
        <v>82.9</v>
      </c>
      <c r="K127" s="36">
        <v>108.0</v>
      </c>
      <c r="L127" s="36">
        <v>48.5</v>
      </c>
      <c r="M127" s="36">
        <v>94.0</v>
      </c>
      <c r="N127" s="36">
        <v>45.0</v>
      </c>
      <c r="O127" s="36">
        <v>28.0</v>
      </c>
      <c r="P127" s="36" t="s">
        <v>102</v>
      </c>
      <c r="Q127" s="36">
        <v>0.4</v>
      </c>
      <c r="R127" s="36">
        <v>0.87</v>
      </c>
      <c r="S127" s="36">
        <v>1.29</v>
      </c>
      <c r="T127" s="36">
        <v>2.16</v>
      </c>
      <c r="U127" s="49">
        <f t="shared" si="1"/>
        <v>2160</v>
      </c>
      <c r="V127" s="21">
        <f t="shared" si="3"/>
        <v>900</v>
      </c>
    </row>
    <row r="128" ht="14.25" customHeight="1">
      <c r="A128" s="38">
        <v>0.29930555555555555</v>
      </c>
      <c r="B128" s="36">
        <v>100.0</v>
      </c>
      <c r="C128" s="36">
        <v>19.5</v>
      </c>
      <c r="D128" s="36">
        <v>778.0</v>
      </c>
      <c r="E128" s="36">
        <v>633.0</v>
      </c>
      <c r="F128" s="36">
        <v>0.81</v>
      </c>
      <c r="G128" s="36">
        <v>27.0</v>
      </c>
      <c r="H128" s="36">
        <v>0.57</v>
      </c>
      <c r="I128" s="36">
        <v>15.7</v>
      </c>
      <c r="J128" s="36">
        <v>82.7</v>
      </c>
      <c r="K128" s="36">
        <v>109.0</v>
      </c>
      <c r="L128" s="36">
        <v>48.3</v>
      </c>
      <c r="M128" s="36">
        <v>94.0</v>
      </c>
      <c r="N128" s="36">
        <v>45.0</v>
      </c>
      <c r="O128" s="36">
        <v>27.0</v>
      </c>
      <c r="P128" s="36" t="s">
        <v>102</v>
      </c>
      <c r="Q128" s="36">
        <v>0.39</v>
      </c>
      <c r="R128" s="36">
        <v>0.87</v>
      </c>
      <c r="S128" s="36">
        <v>1.33</v>
      </c>
      <c r="T128" s="36">
        <v>2.19</v>
      </c>
      <c r="U128" s="49">
        <f t="shared" si="1"/>
        <v>2190</v>
      </c>
      <c r="V128" s="21">
        <f t="shared" si="3"/>
        <v>6400</v>
      </c>
    </row>
    <row r="129" ht="14.25" customHeight="1">
      <c r="A129" s="38">
        <v>0.30069444444444443</v>
      </c>
      <c r="B129" s="36">
        <v>101.0</v>
      </c>
      <c r="C129" s="36">
        <v>19.8</v>
      </c>
      <c r="D129" s="36">
        <v>793.0</v>
      </c>
      <c r="E129" s="36">
        <v>635.0</v>
      </c>
      <c r="F129" s="36">
        <v>0.8</v>
      </c>
      <c r="G129" s="36">
        <v>28.0</v>
      </c>
      <c r="H129" s="36">
        <v>0.55</v>
      </c>
      <c r="I129" s="36">
        <v>15.7</v>
      </c>
      <c r="J129" s="36">
        <v>82.7</v>
      </c>
      <c r="K129" s="36">
        <v>110.0</v>
      </c>
      <c r="L129" s="36">
        <v>47.8</v>
      </c>
      <c r="M129" s="36">
        <v>93.0</v>
      </c>
      <c r="N129" s="36">
        <v>45.0</v>
      </c>
      <c r="O129" s="36">
        <v>28.0</v>
      </c>
      <c r="P129" s="36" t="s">
        <v>102</v>
      </c>
      <c r="Q129" s="36">
        <v>0.35</v>
      </c>
      <c r="R129" s="36">
        <v>0.75</v>
      </c>
      <c r="S129" s="36">
        <v>1.36</v>
      </c>
      <c r="T129" s="36">
        <v>2.11</v>
      </c>
      <c r="U129" s="49">
        <f t="shared" si="1"/>
        <v>2110</v>
      </c>
      <c r="V129" s="21">
        <f t="shared" si="3"/>
        <v>2500</v>
      </c>
    </row>
    <row r="130" ht="14.25" customHeight="1">
      <c r="A130" s="38">
        <v>0.3020833333333333</v>
      </c>
      <c r="B130" s="36">
        <v>102.0</v>
      </c>
      <c r="C130" s="36">
        <v>20.6</v>
      </c>
      <c r="D130" s="36">
        <v>823.0</v>
      </c>
      <c r="E130" s="36">
        <v>657.0</v>
      </c>
      <c r="F130" s="36">
        <v>0.8</v>
      </c>
      <c r="G130" s="36">
        <v>29.0</v>
      </c>
      <c r="H130" s="36">
        <v>0.56</v>
      </c>
      <c r="I130" s="36">
        <v>16.2</v>
      </c>
      <c r="J130" s="36">
        <v>82.1</v>
      </c>
      <c r="K130" s="36">
        <v>111.0</v>
      </c>
      <c r="L130" s="36">
        <v>47.1</v>
      </c>
      <c r="M130" s="36">
        <v>93.0</v>
      </c>
      <c r="N130" s="36">
        <v>45.0</v>
      </c>
      <c r="O130" s="36">
        <v>29.0</v>
      </c>
      <c r="P130" s="36" t="s">
        <v>102</v>
      </c>
      <c r="Q130" s="36">
        <v>0.35</v>
      </c>
      <c r="R130" s="36">
        <v>0.72</v>
      </c>
      <c r="S130" s="36">
        <v>1.34</v>
      </c>
      <c r="T130" s="36">
        <v>2.06</v>
      </c>
      <c r="U130" s="49">
        <f t="shared" si="1"/>
        <v>2060</v>
      </c>
      <c r="V130" s="21">
        <f t="shared" si="3"/>
        <v>400</v>
      </c>
    </row>
    <row r="131" ht="14.25" customHeight="1">
      <c r="A131" s="38">
        <v>0.3034722222222222</v>
      </c>
      <c r="B131" s="36">
        <v>102.0</v>
      </c>
      <c r="C131" s="36">
        <v>21.2</v>
      </c>
      <c r="D131" s="36">
        <v>846.0</v>
      </c>
      <c r="E131" s="36">
        <v>674.0</v>
      </c>
      <c r="F131" s="36">
        <v>0.8</v>
      </c>
      <c r="G131" s="36">
        <v>29.0</v>
      </c>
      <c r="H131" s="36">
        <v>0.57</v>
      </c>
      <c r="I131" s="36">
        <v>16.6</v>
      </c>
      <c r="J131" s="36">
        <v>81.7</v>
      </c>
      <c r="K131" s="36">
        <v>114.0</v>
      </c>
      <c r="L131" s="36">
        <v>45.7</v>
      </c>
      <c r="M131" s="36">
        <v>93.0</v>
      </c>
      <c r="N131" s="36">
        <v>45.0</v>
      </c>
      <c r="O131" s="36">
        <v>29.0</v>
      </c>
      <c r="P131" s="36" t="s">
        <v>102</v>
      </c>
      <c r="Q131" s="36">
        <v>0.36</v>
      </c>
      <c r="R131" s="36">
        <v>0.74</v>
      </c>
      <c r="S131" s="36">
        <v>1.3</v>
      </c>
      <c r="T131" s="36">
        <v>2.04</v>
      </c>
      <c r="U131" s="49">
        <f t="shared" si="1"/>
        <v>2040</v>
      </c>
      <c r="V131" s="21">
        <f t="shared" si="3"/>
        <v>3600</v>
      </c>
    </row>
    <row r="132" ht="14.25" customHeight="1">
      <c r="A132" s="38">
        <v>0.3055555555555556</v>
      </c>
      <c r="B132" s="36">
        <v>103.0</v>
      </c>
      <c r="C132" s="36">
        <v>21.0</v>
      </c>
      <c r="D132" s="36">
        <v>841.0</v>
      </c>
      <c r="E132" s="36">
        <v>677.0</v>
      </c>
      <c r="F132" s="36">
        <v>0.81</v>
      </c>
      <c r="G132" s="36">
        <v>29.0</v>
      </c>
      <c r="H132" s="36">
        <v>0.59</v>
      </c>
      <c r="I132" s="36">
        <v>16.9</v>
      </c>
      <c r="J132" s="36">
        <v>81.4</v>
      </c>
      <c r="K132" s="36">
        <v>114.0</v>
      </c>
      <c r="L132" s="36">
        <v>45.7</v>
      </c>
      <c r="M132" s="36">
        <v>94.0</v>
      </c>
      <c r="N132" s="36">
        <v>45.0</v>
      </c>
      <c r="O132" s="36">
        <v>29.0</v>
      </c>
      <c r="P132" s="36" t="s">
        <v>102</v>
      </c>
      <c r="Q132" s="36">
        <v>0.37</v>
      </c>
      <c r="R132" s="36">
        <v>0.78</v>
      </c>
      <c r="S132" s="36">
        <v>1.33</v>
      </c>
      <c r="T132" s="36">
        <v>2.1</v>
      </c>
      <c r="U132" s="49">
        <f t="shared" si="1"/>
        <v>2100</v>
      </c>
      <c r="V132" s="21">
        <f t="shared" si="3"/>
        <v>8100</v>
      </c>
    </row>
    <row r="133" ht="14.25" customHeight="1">
      <c r="A133" s="38">
        <v>0.30625</v>
      </c>
      <c r="B133" s="36">
        <v>104.0</v>
      </c>
      <c r="C133" s="36">
        <v>21.4</v>
      </c>
      <c r="D133" s="36">
        <v>856.0</v>
      </c>
      <c r="E133" s="36">
        <v>695.0</v>
      </c>
      <c r="F133" s="36">
        <v>0.81</v>
      </c>
      <c r="G133" s="36">
        <v>27.0</v>
      </c>
      <c r="H133" s="36">
        <v>0.64</v>
      </c>
      <c r="I133" s="36">
        <v>17.4</v>
      </c>
      <c r="J133" s="36">
        <v>80.8</v>
      </c>
      <c r="K133" s="36">
        <v>115.0</v>
      </c>
      <c r="L133" s="36">
        <v>45.3</v>
      </c>
      <c r="M133" s="36">
        <v>95.0</v>
      </c>
      <c r="N133" s="36">
        <v>44.0</v>
      </c>
      <c r="O133" s="36">
        <v>27.0</v>
      </c>
      <c r="P133" s="36" t="s">
        <v>102</v>
      </c>
      <c r="Q133" s="36">
        <v>0.4</v>
      </c>
      <c r="R133" s="36">
        <v>0.86</v>
      </c>
      <c r="S133" s="36">
        <v>1.32</v>
      </c>
      <c r="T133" s="36">
        <v>2.19</v>
      </c>
      <c r="U133" s="49">
        <f t="shared" si="1"/>
        <v>2190</v>
      </c>
      <c r="V133" s="21">
        <f t="shared" si="3"/>
        <v>100</v>
      </c>
    </row>
    <row r="134" ht="14.25" customHeight="1">
      <c r="A134" s="38">
        <v>0.30833333333333335</v>
      </c>
      <c r="B134" s="36">
        <v>104.0</v>
      </c>
      <c r="C134" s="36">
        <v>21.2</v>
      </c>
      <c r="D134" s="36">
        <v>849.0</v>
      </c>
      <c r="E134" s="36">
        <v>691.0</v>
      </c>
      <c r="F134" s="36">
        <v>0.81</v>
      </c>
      <c r="G134" s="36">
        <v>27.0</v>
      </c>
      <c r="H134" s="36">
        <v>0.63</v>
      </c>
      <c r="I134" s="36">
        <v>17.2</v>
      </c>
      <c r="J134" s="36">
        <v>81.1</v>
      </c>
      <c r="K134" s="36">
        <v>116.0</v>
      </c>
      <c r="L134" s="36">
        <v>44.9</v>
      </c>
      <c r="M134" s="36">
        <v>95.0</v>
      </c>
      <c r="N134" s="36">
        <v>44.0</v>
      </c>
      <c r="O134" s="36">
        <v>27.0</v>
      </c>
      <c r="P134" s="36" t="s">
        <v>102</v>
      </c>
      <c r="Q134" s="36">
        <v>0.4</v>
      </c>
      <c r="R134" s="36">
        <v>0.87</v>
      </c>
      <c r="S134" s="36">
        <v>1.33</v>
      </c>
      <c r="T134" s="36">
        <v>2.2</v>
      </c>
      <c r="U134" s="49">
        <f t="shared" si="1"/>
        <v>2200</v>
      </c>
      <c r="V134" s="21">
        <f t="shared" si="3"/>
        <v>1600</v>
      </c>
    </row>
    <row r="135" ht="14.25" customHeight="1">
      <c r="A135" s="38">
        <v>0.30972222222222223</v>
      </c>
      <c r="B135" s="36">
        <v>105.0</v>
      </c>
      <c r="C135" s="36">
        <v>21.2</v>
      </c>
      <c r="D135" s="36">
        <v>848.0</v>
      </c>
      <c r="E135" s="36">
        <v>696.0</v>
      </c>
      <c r="F135" s="36">
        <v>0.82</v>
      </c>
      <c r="G135" s="36">
        <v>27.0</v>
      </c>
      <c r="H135" s="36">
        <v>0.64</v>
      </c>
      <c r="I135" s="36">
        <v>17.2</v>
      </c>
      <c r="J135" s="36">
        <v>81.0</v>
      </c>
      <c r="K135" s="36">
        <v>117.0</v>
      </c>
      <c r="L135" s="36">
        <v>44.4</v>
      </c>
      <c r="M135" s="36">
        <v>95.0</v>
      </c>
      <c r="N135" s="36">
        <v>44.0</v>
      </c>
      <c r="O135" s="36">
        <v>27.0</v>
      </c>
      <c r="P135" s="36" t="s">
        <v>102</v>
      </c>
      <c r="Q135" s="36">
        <v>0.42</v>
      </c>
      <c r="R135" s="36">
        <v>0.94</v>
      </c>
      <c r="S135" s="36">
        <v>1.3</v>
      </c>
      <c r="T135" s="36">
        <v>2.24</v>
      </c>
      <c r="U135" s="49">
        <f t="shared" si="1"/>
        <v>2240</v>
      </c>
      <c r="V135" s="21">
        <f t="shared" si="3"/>
        <v>2500</v>
      </c>
    </row>
    <row r="136" ht="14.25" customHeight="1">
      <c r="A136" s="38">
        <v>0.3111111111111111</v>
      </c>
      <c r="B136" s="36">
        <v>106.0</v>
      </c>
      <c r="C136" s="36">
        <v>21.2</v>
      </c>
      <c r="D136" s="36">
        <v>850.0</v>
      </c>
      <c r="E136" s="36">
        <v>702.0</v>
      </c>
      <c r="F136" s="36">
        <v>0.83</v>
      </c>
      <c r="G136" s="36">
        <v>27.0</v>
      </c>
      <c r="H136" s="36">
        <v>0.63</v>
      </c>
      <c r="I136" s="36">
        <v>17.4</v>
      </c>
      <c r="J136" s="36">
        <v>80.9</v>
      </c>
      <c r="K136" s="36">
        <v>117.0</v>
      </c>
      <c r="L136" s="36">
        <v>44.4</v>
      </c>
      <c r="M136" s="36">
        <v>96.0</v>
      </c>
      <c r="N136" s="36">
        <v>44.0</v>
      </c>
      <c r="O136" s="36">
        <v>27.0</v>
      </c>
      <c r="P136" s="36" t="s">
        <v>102</v>
      </c>
      <c r="Q136" s="36">
        <v>0.43</v>
      </c>
      <c r="R136" s="36">
        <v>0.95</v>
      </c>
      <c r="S136" s="36">
        <v>1.24</v>
      </c>
      <c r="T136" s="36">
        <v>2.19</v>
      </c>
      <c r="U136" s="49">
        <f t="shared" si="1"/>
        <v>2190</v>
      </c>
      <c r="V136" s="21">
        <f t="shared" si="3"/>
        <v>400</v>
      </c>
    </row>
    <row r="137" ht="14.25" customHeight="1">
      <c r="A137" s="38">
        <v>0.3125</v>
      </c>
      <c r="B137" s="36">
        <v>107.0</v>
      </c>
      <c r="C137" s="36">
        <v>21.4</v>
      </c>
      <c r="D137" s="36">
        <v>856.0</v>
      </c>
      <c r="E137" s="36">
        <v>718.0</v>
      </c>
      <c r="F137" s="36">
        <v>0.84</v>
      </c>
      <c r="G137" s="36">
        <v>27.0</v>
      </c>
      <c r="H137" s="36">
        <v>0.65</v>
      </c>
      <c r="I137" s="36">
        <v>17.6</v>
      </c>
      <c r="J137" s="36">
        <v>80.6</v>
      </c>
      <c r="K137" s="36">
        <v>116.0</v>
      </c>
      <c r="L137" s="36">
        <v>44.5</v>
      </c>
      <c r="M137" s="36">
        <v>96.0</v>
      </c>
      <c r="N137" s="36">
        <v>44.0</v>
      </c>
      <c r="O137" s="36">
        <v>27.0</v>
      </c>
      <c r="P137" s="36" t="s">
        <v>102</v>
      </c>
      <c r="Q137" s="36">
        <v>0.41</v>
      </c>
      <c r="R137" s="36">
        <v>0.91</v>
      </c>
      <c r="S137" s="36">
        <v>1.29</v>
      </c>
      <c r="T137" s="36">
        <v>2.21</v>
      </c>
      <c r="U137" s="49">
        <f t="shared" si="1"/>
        <v>2210</v>
      </c>
      <c r="V137" s="21">
        <f t="shared" si="3"/>
        <v>900</v>
      </c>
    </row>
    <row r="138" ht="14.25" customHeight="1">
      <c r="A138" s="38">
        <v>0.3138888888888889</v>
      </c>
      <c r="B138" s="36">
        <v>107.0</v>
      </c>
      <c r="C138" s="36">
        <v>21.8</v>
      </c>
      <c r="D138" s="36">
        <v>871.0</v>
      </c>
      <c r="E138" s="36">
        <v>726.0</v>
      </c>
      <c r="F138" s="36">
        <v>0.83</v>
      </c>
      <c r="G138" s="36">
        <v>27.0</v>
      </c>
      <c r="H138" s="36">
        <v>0.66</v>
      </c>
      <c r="I138" s="36">
        <v>17.7</v>
      </c>
      <c r="J138" s="36">
        <v>80.6</v>
      </c>
      <c r="K138" s="36">
        <v>118.0</v>
      </c>
      <c r="L138" s="36">
        <v>43.6</v>
      </c>
      <c r="M138" s="36">
        <v>96.0</v>
      </c>
      <c r="N138" s="36">
        <v>45.0</v>
      </c>
      <c r="O138" s="36">
        <v>27.0</v>
      </c>
      <c r="P138" s="36" t="s">
        <v>102</v>
      </c>
      <c r="Q138" s="36">
        <v>0.43</v>
      </c>
      <c r="R138" s="36">
        <v>0.97</v>
      </c>
      <c r="S138" s="36">
        <v>1.27</v>
      </c>
      <c r="T138" s="36">
        <v>2.24</v>
      </c>
      <c r="U138" s="49">
        <f t="shared" si="1"/>
        <v>2240</v>
      </c>
      <c r="V138" s="21">
        <f t="shared" si="3"/>
        <v>3600</v>
      </c>
    </row>
    <row r="139" ht="14.25" customHeight="1">
      <c r="A139" s="38">
        <v>0.31527777777777777</v>
      </c>
      <c r="B139" s="36">
        <v>108.0</v>
      </c>
      <c r="C139" s="36">
        <v>21.4</v>
      </c>
      <c r="D139" s="36">
        <v>857.0</v>
      </c>
      <c r="E139" s="36">
        <v>720.0</v>
      </c>
      <c r="F139" s="36">
        <v>0.84</v>
      </c>
      <c r="G139" s="36">
        <v>28.0</v>
      </c>
      <c r="H139" s="36">
        <v>0.63</v>
      </c>
      <c r="I139" s="36">
        <v>17.4</v>
      </c>
      <c r="J139" s="36">
        <v>80.8</v>
      </c>
      <c r="K139" s="36">
        <v>119.0</v>
      </c>
      <c r="L139" s="36">
        <v>43.4</v>
      </c>
      <c r="M139" s="36">
        <v>96.0</v>
      </c>
      <c r="N139" s="36">
        <v>45.0</v>
      </c>
      <c r="O139" s="36">
        <v>28.0</v>
      </c>
      <c r="P139" s="36" t="s">
        <v>102</v>
      </c>
      <c r="Q139" s="36">
        <v>0.43</v>
      </c>
      <c r="R139" s="36">
        <v>0.93</v>
      </c>
      <c r="S139" s="36">
        <v>1.25</v>
      </c>
      <c r="T139" s="36">
        <v>2.18</v>
      </c>
      <c r="U139" s="49">
        <f t="shared" si="1"/>
        <v>2180</v>
      </c>
      <c r="V139" s="21">
        <f t="shared" si="3"/>
        <v>6400</v>
      </c>
    </row>
    <row r="140" ht="14.25" customHeight="1">
      <c r="A140" s="38">
        <v>0.3173611111111111</v>
      </c>
      <c r="B140" s="36">
        <v>109.0</v>
      </c>
      <c r="C140" s="36">
        <v>21.1</v>
      </c>
      <c r="D140" s="36">
        <v>844.0</v>
      </c>
      <c r="E140" s="36">
        <v>706.0</v>
      </c>
      <c r="F140" s="36">
        <v>0.84</v>
      </c>
      <c r="G140" s="36">
        <v>27.0</v>
      </c>
      <c r="H140" s="36">
        <v>0.64</v>
      </c>
      <c r="I140" s="36">
        <v>16.9</v>
      </c>
      <c r="J140" s="36">
        <v>81.4</v>
      </c>
      <c r="K140" s="36">
        <v>117.0</v>
      </c>
      <c r="L140" s="36">
        <v>44.3</v>
      </c>
      <c r="M140" s="36">
        <v>95.0</v>
      </c>
      <c r="N140" s="36">
        <v>45.0</v>
      </c>
      <c r="O140" s="36">
        <v>27.0</v>
      </c>
      <c r="P140" s="36" t="s">
        <v>102</v>
      </c>
      <c r="Q140" s="36">
        <v>0.43</v>
      </c>
      <c r="R140" s="36">
        <v>0.98</v>
      </c>
      <c r="S140" s="36">
        <v>1.28</v>
      </c>
      <c r="T140" s="36">
        <v>2.26</v>
      </c>
      <c r="U140" s="49">
        <f t="shared" si="1"/>
        <v>2260</v>
      </c>
      <c r="V140" s="21">
        <f t="shared" si="3"/>
        <v>1600</v>
      </c>
    </row>
    <row r="141" ht="14.25" customHeight="1">
      <c r="A141" s="38">
        <v>0.31805555555555554</v>
      </c>
      <c r="B141" s="36">
        <v>109.0</v>
      </c>
      <c r="C141" s="36">
        <v>21.4</v>
      </c>
      <c r="D141" s="36">
        <v>855.0</v>
      </c>
      <c r="E141" s="36">
        <v>714.0</v>
      </c>
      <c r="F141" s="36">
        <v>0.83</v>
      </c>
      <c r="G141" s="36">
        <v>27.0</v>
      </c>
      <c r="H141" s="36">
        <v>0.63</v>
      </c>
      <c r="I141" s="36">
        <v>17.0</v>
      </c>
      <c r="J141" s="36">
        <v>81.2</v>
      </c>
      <c r="K141" s="36">
        <v>117.0</v>
      </c>
      <c r="L141" s="36">
        <v>44.3</v>
      </c>
      <c r="M141" s="36">
        <v>95.0</v>
      </c>
      <c r="N141" s="36">
        <v>45.0</v>
      </c>
      <c r="O141" s="36">
        <v>27.0</v>
      </c>
      <c r="P141" s="36" t="s">
        <v>102</v>
      </c>
      <c r="Q141" s="36">
        <v>0.43</v>
      </c>
      <c r="R141" s="36">
        <v>0.95</v>
      </c>
      <c r="S141" s="36">
        <v>1.27</v>
      </c>
      <c r="T141" s="36">
        <v>2.22</v>
      </c>
      <c r="U141" s="49">
        <f t="shared" si="1"/>
        <v>2220</v>
      </c>
      <c r="V141" s="21">
        <f t="shared" si="3"/>
        <v>10000</v>
      </c>
    </row>
    <row r="142" ht="14.25" customHeight="1">
      <c r="A142" s="38">
        <v>0.3194444444444444</v>
      </c>
      <c r="B142" s="36">
        <v>110.0</v>
      </c>
      <c r="C142" s="36">
        <v>22.4</v>
      </c>
      <c r="D142" s="36">
        <v>896.0</v>
      </c>
      <c r="E142" s="36">
        <v>744.0</v>
      </c>
      <c r="F142" s="36">
        <v>0.83</v>
      </c>
      <c r="G142" s="36">
        <v>28.0</v>
      </c>
      <c r="H142" s="36">
        <v>0.63</v>
      </c>
      <c r="I142" s="36">
        <v>17.8</v>
      </c>
      <c r="J142" s="36">
        <v>80.4</v>
      </c>
      <c r="K142" s="36">
        <v>117.0</v>
      </c>
      <c r="L142" s="36">
        <v>44.3</v>
      </c>
      <c r="M142" s="36">
        <v>95.0</v>
      </c>
      <c r="N142" s="36">
        <v>45.0</v>
      </c>
      <c r="O142" s="36">
        <v>28.0</v>
      </c>
      <c r="P142" s="36" t="s">
        <v>102</v>
      </c>
      <c r="Q142" s="36">
        <v>0.41</v>
      </c>
      <c r="R142" s="36">
        <v>0.88</v>
      </c>
      <c r="S142" s="36">
        <v>1.24</v>
      </c>
      <c r="T142" s="36">
        <v>2.12</v>
      </c>
      <c r="U142" s="49">
        <f t="shared" si="1"/>
        <v>2120</v>
      </c>
      <c r="V142" s="21">
        <f t="shared" si="3"/>
        <v>8100</v>
      </c>
    </row>
    <row r="143" ht="14.25" customHeight="1">
      <c r="A143" s="38">
        <v>0.32083333333333336</v>
      </c>
      <c r="B143" s="36">
        <v>111.0</v>
      </c>
      <c r="C143" s="36">
        <v>22.2</v>
      </c>
      <c r="D143" s="36">
        <v>888.0</v>
      </c>
      <c r="E143" s="36">
        <v>750.0</v>
      </c>
      <c r="F143" s="36">
        <v>0.84</v>
      </c>
      <c r="G143" s="36">
        <v>27.0</v>
      </c>
      <c r="H143" s="36">
        <v>0.66</v>
      </c>
      <c r="I143" s="36">
        <v>18.0</v>
      </c>
      <c r="J143" s="36">
        <v>80.2</v>
      </c>
      <c r="K143" s="36">
        <v>120.0</v>
      </c>
      <c r="L143" s="36">
        <v>43.1</v>
      </c>
      <c r="M143" s="36">
        <v>96.0</v>
      </c>
      <c r="N143" s="36">
        <v>45.0</v>
      </c>
      <c r="O143" s="36">
        <v>27.0</v>
      </c>
      <c r="P143" s="36" t="s">
        <v>102</v>
      </c>
      <c r="Q143" s="36">
        <v>0.43</v>
      </c>
      <c r="R143" s="36">
        <v>0.94</v>
      </c>
      <c r="S143" s="36">
        <v>1.27</v>
      </c>
      <c r="T143" s="36">
        <v>2.21</v>
      </c>
      <c r="U143" s="49">
        <f t="shared" si="1"/>
        <v>2210</v>
      </c>
      <c r="V143" s="21">
        <f t="shared" si="3"/>
        <v>10000</v>
      </c>
    </row>
    <row r="144" ht="14.25" customHeight="1">
      <c r="A144" s="38">
        <v>0.32222222222222224</v>
      </c>
      <c r="B144" s="36">
        <v>111.0</v>
      </c>
      <c r="C144" s="36">
        <v>23.0</v>
      </c>
      <c r="D144" s="36">
        <v>922.0</v>
      </c>
      <c r="E144" s="36">
        <v>787.0</v>
      </c>
      <c r="F144" s="36">
        <v>0.85</v>
      </c>
      <c r="G144" s="36">
        <v>28.0</v>
      </c>
      <c r="H144" s="36">
        <v>0.67</v>
      </c>
      <c r="I144" s="36">
        <v>19.1</v>
      </c>
      <c r="J144" s="36">
        <v>79.0</v>
      </c>
      <c r="K144" s="36">
        <v>120.0</v>
      </c>
      <c r="L144" s="36">
        <v>43.1</v>
      </c>
      <c r="M144" s="36">
        <v>97.0</v>
      </c>
      <c r="N144" s="36">
        <v>45.0</v>
      </c>
      <c r="O144" s="36">
        <v>28.0</v>
      </c>
      <c r="P144" s="36" t="s">
        <v>102</v>
      </c>
      <c r="Q144" s="36">
        <v>0.42</v>
      </c>
      <c r="R144" s="36">
        <v>0.88</v>
      </c>
      <c r="S144" s="36">
        <v>1.23</v>
      </c>
      <c r="T144" s="36">
        <v>2.11</v>
      </c>
      <c r="U144" s="49">
        <f t="shared" si="1"/>
        <v>2110</v>
      </c>
      <c r="V144" s="21">
        <f t="shared" si="3"/>
        <v>10000</v>
      </c>
    </row>
    <row r="145" ht="14.25" customHeight="1">
      <c r="A145" s="38">
        <v>0.325</v>
      </c>
      <c r="B145" s="36">
        <v>112.0</v>
      </c>
      <c r="C145" s="36">
        <v>22.4</v>
      </c>
      <c r="D145" s="36">
        <v>895.0</v>
      </c>
      <c r="E145" s="36">
        <v>767.0</v>
      </c>
      <c r="F145" s="36">
        <v>0.86</v>
      </c>
      <c r="G145" s="36">
        <v>30.0</v>
      </c>
      <c r="H145" s="36">
        <v>0.63</v>
      </c>
      <c r="I145" s="36">
        <v>18.9</v>
      </c>
      <c r="J145" s="36">
        <v>79.2</v>
      </c>
      <c r="K145" s="36">
        <v>120.0</v>
      </c>
      <c r="L145" s="36">
        <v>42.7</v>
      </c>
      <c r="M145" s="36">
        <v>97.0</v>
      </c>
      <c r="N145" s="36">
        <v>45.0</v>
      </c>
      <c r="O145" s="36">
        <v>30.0</v>
      </c>
      <c r="P145" s="36" t="s">
        <v>102</v>
      </c>
      <c r="Q145" s="36">
        <v>0.38</v>
      </c>
      <c r="R145" s="36">
        <v>0.76</v>
      </c>
      <c r="S145" s="36">
        <v>1.25</v>
      </c>
      <c r="T145" s="36">
        <v>2.01</v>
      </c>
      <c r="U145" s="49">
        <f t="shared" si="1"/>
        <v>2010</v>
      </c>
      <c r="V145" s="21">
        <f t="shared" si="3"/>
        <v>14400</v>
      </c>
    </row>
    <row r="146" ht="14.25" customHeight="1">
      <c r="A146" s="38">
        <v>0.3263888888888889</v>
      </c>
      <c r="B146" s="36">
        <v>113.0</v>
      </c>
      <c r="C146" s="36">
        <v>23.0</v>
      </c>
      <c r="D146" s="36">
        <v>922.0</v>
      </c>
      <c r="E146" s="36">
        <v>787.0</v>
      </c>
      <c r="F146" s="36">
        <v>0.85</v>
      </c>
      <c r="G146" s="36">
        <v>28.0</v>
      </c>
      <c r="H146" s="36">
        <v>0.68</v>
      </c>
      <c r="I146" s="36">
        <v>19.0</v>
      </c>
      <c r="J146" s="36">
        <v>79.1</v>
      </c>
      <c r="K146" s="36">
        <v>121.0</v>
      </c>
      <c r="L146" s="36">
        <v>42.5</v>
      </c>
      <c r="M146" s="36">
        <v>96.0</v>
      </c>
      <c r="N146" s="36">
        <v>45.0</v>
      </c>
      <c r="O146" s="36">
        <v>28.0</v>
      </c>
      <c r="P146" s="36" t="s">
        <v>102</v>
      </c>
      <c r="Q146" s="36">
        <v>0.37</v>
      </c>
      <c r="R146" s="36">
        <v>0.8</v>
      </c>
      <c r="S146" s="36">
        <v>1.34</v>
      </c>
      <c r="T146" s="36">
        <v>2.13</v>
      </c>
      <c r="U146" s="49">
        <f t="shared" si="1"/>
        <v>2130</v>
      </c>
      <c r="V146" s="21">
        <f t="shared" si="3"/>
        <v>1600</v>
      </c>
    </row>
    <row r="147" ht="14.25" customHeight="1">
      <c r="A147" s="38">
        <v>0.3284722222222222</v>
      </c>
      <c r="B147" s="36">
        <v>114.0</v>
      </c>
      <c r="C147" s="36">
        <v>23.6</v>
      </c>
      <c r="D147" s="36">
        <v>942.0</v>
      </c>
      <c r="E147" s="36">
        <v>812.0</v>
      </c>
      <c r="F147" s="36">
        <v>0.86</v>
      </c>
      <c r="G147" s="36">
        <v>28.0</v>
      </c>
      <c r="H147" s="36">
        <v>0.72</v>
      </c>
      <c r="I147" s="36">
        <v>19.8</v>
      </c>
      <c r="J147" s="36">
        <v>78.2</v>
      </c>
      <c r="K147" s="36">
        <v>121.0</v>
      </c>
      <c r="L147" s="36">
        <v>42.3</v>
      </c>
      <c r="M147" s="36">
        <v>96.0</v>
      </c>
      <c r="N147" s="36">
        <v>45.0</v>
      </c>
      <c r="O147" s="36">
        <v>28.0</v>
      </c>
      <c r="P147" s="36" t="s">
        <v>102</v>
      </c>
      <c r="Q147" s="36">
        <v>0.36</v>
      </c>
      <c r="R147" s="36">
        <v>0.79</v>
      </c>
      <c r="S147" s="36">
        <v>1.38</v>
      </c>
      <c r="T147" s="36">
        <v>2.17</v>
      </c>
      <c r="U147" s="49">
        <f t="shared" si="1"/>
        <v>2170</v>
      </c>
      <c r="V147" s="21">
        <f t="shared" si="3"/>
        <v>19600</v>
      </c>
    </row>
    <row r="148" ht="14.25" customHeight="1">
      <c r="A148" s="38">
        <v>0.3298611111111111</v>
      </c>
      <c r="B148" s="36">
        <v>115.0</v>
      </c>
      <c r="C148" s="36">
        <v>24.1</v>
      </c>
      <c r="D148" s="36">
        <v>962.0</v>
      </c>
      <c r="E148" s="36">
        <v>843.0</v>
      </c>
      <c r="F148" s="36">
        <v>0.88</v>
      </c>
      <c r="G148" s="36">
        <v>26.0</v>
      </c>
      <c r="H148" s="36">
        <v>0.79</v>
      </c>
      <c r="I148" s="36">
        <v>20.6</v>
      </c>
      <c r="J148" s="36">
        <v>77.4</v>
      </c>
      <c r="K148" s="36">
        <v>122.0</v>
      </c>
      <c r="L148" s="36">
        <v>42.1</v>
      </c>
      <c r="M148" s="36">
        <v>97.0</v>
      </c>
      <c r="N148" s="36">
        <v>45.0</v>
      </c>
      <c r="O148" s="36">
        <v>26.0</v>
      </c>
      <c r="P148" s="36" t="s">
        <v>102</v>
      </c>
      <c r="Q148" s="36">
        <v>0.37</v>
      </c>
      <c r="R148" s="36">
        <v>0.86</v>
      </c>
      <c r="S148" s="36">
        <v>1.45</v>
      </c>
      <c r="T148" s="36">
        <v>2.31</v>
      </c>
      <c r="U148" s="49">
        <f t="shared" si="1"/>
        <v>2310</v>
      </c>
      <c r="V148" s="21">
        <f t="shared" si="3"/>
        <v>3600</v>
      </c>
    </row>
    <row r="149" ht="14.25" customHeight="1">
      <c r="A149" s="38">
        <v>0.33125</v>
      </c>
      <c r="B149" s="36">
        <v>116.0</v>
      </c>
      <c r="C149" s="36">
        <v>23.4</v>
      </c>
      <c r="D149" s="36">
        <v>936.0</v>
      </c>
      <c r="E149" s="36">
        <v>820.0</v>
      </c>
      <c r="F149" s="36">
        <v>0.88</v>
      </c>
      <c r="G149" s="36">
        <v>27.0</v>
      </c>
      <c r="H149" s="36">
        <v>0.75</v>
      </c>
      <c r="I149" s="36">
        <v>20.0</v>
      </c>
      <c r="J149" s="36">
        <v>77.9</v>
      </c>
      <c r="K149" s="36">
        <v>122.0</v>
      </c>
      <c r="L149" s="36">
        <v>41.9</v>
      </c>
      <c r="M149" s="36">
        <v>97.0</v>
      </c>
      <c r="N149" s="36">
        <v>45.0</v>
      </c>
      <c r="O149" s="36">
        <v>27.0</v>
      </c>
      <c r="P149" s="36" t="s">
        <v>102</v>
      </c>
      <c r="Q149" s="36">
        <v>0.36</v>
      </c>
      <c r="R149" s="36">
        <v>0.82</v>
      </c>
      <c r="S149" s="36">
        <v>1.43</v>
      </c>
      <c r="T149" s="36">
        <v>2.25</v>
      </c>
      <c r="U149" s="49">
        <f t="shared" si="1"/>
        <v>2250</v>
      </c>
      <c r="V149" s="21">
        <f t="shared" si="3"/>
        <v>8100</v>
      </c>
    </row>
    <row r="150" ht="14.25" customHeight="1">
      <c r="A150" s="38">
        <v>0.3326388888888889</v>
      </c>
      <c r="B150" s="36">
        <v>116.0</v>
      </c>
      <c r="C150" s="36">
        <v>24.3</v>
      </c>
      <c r="D150" s="36">
        <v>971.0</v>
      </c>
      <c r="E150" s="36">
        <v>853.0</v>
      </c>
      <c r="F150" s="36">
        <v>0.88</v>
      </c>
      <c r="G150" s="36">
        <v>28.0</v>
      </c>
      <c r="H150" s="36">
        <v>0.75</v>
      </c>
      <c r="I150" s="36">
        <v>20.9</v>
      </c>
      <c r="J150" s="36">
        <v>77.0</v>
      </c>
      <c r="K150" s="36">
        <v>123.0</v>
      </c>
      <c r="L150" s="36">
        <v>41.6</v>
      </c>
      <c r="M150" s="36">
        <v>97.0</v>
      </c>
      <c r="N150" s="36">
        <v>45.0</v>
      </c>
      <c r="O150" s="36">
        <v>28.0</v>
      </c>
      <c r="P150" s="36" t="s">
        <v>102</v>
      </c>
      <c r="Q150" s="36">
        <v>0.34</v>
      </c>
      <c r="R150" s="36">
        <v>0.74</v>
      </c>
      <c r="S150" s="36">
        <v>1.42</v>
      </c>
      <c r="T150" s="36">
        <v>2.16</v>
      </c>
      <c r="U150" s="49">
        <f t="shared" si="1"/>
        <v>2160</v>
      </c>
      <c r="V150" s="21">
        <f t="shared" si="3"/>
        <v>3600</v>
      </c>
    </row>
    <row r="151" ht="14.25" customHeight="1">
      <c r="A151" s="38">
        <v>0.33402777777777776</v>
      </c>
      <c r="B151" s="36">
        <v>117.0</v>
      </c>
      <c r="C151" s="36">
        <v>23.5</v>
      </c>
      <c r="D151" s="36">
        <v>942.0</v>
      </c>
      <c r="E151" s="36">
        <v>831.0</v>
      </c>
      <c r="F151" s="36">
        <v>0.88</v>
      </c>
      <c r="G151" s="36">
        <v>27.0</v>
      </c>
      <c r="H151" s="36">
        <v>0.75</v>
      </c>
      <c r="I151" s="36">
        <v>20.4</v>
      </c>
      <c r="J151" s="36">
        <v>77.6</v>
      </c>
      <c r="K151" s="36">
        <v>122.0</v>
      </c>
      <c r="L151" s="36">
        <v>41.7</v>
      </c>
      <c r="M151" s="36">
        <v>97.0</v>
      </c>
      <c r="N151" s="36">
        <v>45.0</v>
      </c>
      <c r="O151" s="36">
        <v>27.0</v>
      </c>
      <c r="P151" s="36" t="s">
        <v>102</v>
      </c>
      <c r="Q151" s="36">
        <v>0.35</v>
      </c>
      <c r="R151" s="36">
        <v>0.79</v>
      </c>
      <c r="S151" s="36">
        <v>1.44</v>
      </c>
      <c r="T151" s="36">
        <v>2.22</v>
      </c>
      <c r="U151" s="49">
        <f t="shared" si="1"/>
        <v>2220</v>
      </c>
      <c r="V151" s="8">
        <v>0.0</v>
      </c>
    </row>
    <row r="152" ht="14.25" customHeight="1">
      <c r="A152" s="36" t="s">
        <v>80</v>
      </c>
      <c r="U152" s="49">
        <f t="shared" si="1"/>
        <v>0</v>
      </c>
    </row>
    <row r="153" ht="14.25" customHeight="1">
      <c r="A153" s="38">
        <v>0.33541666666666664</v>
      </c>
      <c r="B153" s="36">
        <v>118.0</v>
      </c>
      <c r="C153" s="36">
        <v>24.6</v>
      </c>
      <c r="D153" s="36">
        <v>985.0</v>
      </c>
      <c r="E153" s="36">
        <v>893.0</v>
      </c>
      <c r="F153" s="36">
        <v>0.91</v>
      </c>
      <c r="G153" s="36">
        <v>28.0</v>
      </c>
      <c r="H153" s="36">
        <v>0.8</v>
      </c>
      <c r="I153" s="36">
        <v>22.3</v>
      </c>
      <c r="J153" s="36">
        <v>75.4</v>
      </c>
      <c r="K153" s="36">
        <v>123.0</v>
      </c>
      <c r="L153" s="36">
        <v>41.3</v>
      </c>
      <c r="M153" s="36">
        <v>99.0</v>
      </c>
      <c r="N153" s="36">
        <v>44.0</v>
      </c>
      <c r="O153" s="36">
        <v>28.0</v>
      </c>
      <c r="P153" s="36" t="s">
        <v>102</v>
      </c>
      <c r="Q153" s="36">
        <v>0.37</v>
      </c>
      <c r="R153" s="36">
        <v>0.8</v>
      </c>
      <c r="S153" s="36">
        <v>1.36</v>
      </c>
      <c r="T153" s="36">
        <v>2.16</v>
      </c>
      <c r="U153" s="49">
        <f t="shared" si="1"/>
        <v>2160</v>
      </c>
      <c r="V153" s="21">
        <f t="shared" ref="V153:V167" si="4">(U153-U154)^2</f>
        <v>14400</v>
      </c>
      <c r="W153" s="21">
        <f>SQRT(AVERAGE(V153:V298))</f>
        <v>120.6233808</v>
      </c>
    </row>
    <row r="154" ht="14.25" customHeight="1">
      <c r="A154" s="38">
        <v>0.3368055555555556</v>
      </c>
      <c r="B154" s="36">
        <v>118.0</v>
      </c>
      <c r="C154" s="36">
        <v>25.6</v>
      </c>
      <c r="D154" s="36">
        <v>1022.0</v>
      </c>
      <c r="E154" s="36">
        <v>937.0</v>
      </c>
      <c r="F154" s="36">
        <v>0.92</v>
      </c>
      <c r="G154" s="36">
        <v>29.0</v>
      </c>
      <c r="H154" s="36">
        <v>0.79</v>
      </c>
      <c r="I154" s="36">
        <v>23.3</v>
      </c>
      <c r="J154" s="36">
        <v>74.3</v>
      </c>
      <c r="K154" s="36">
        <v>124.0</v>
      </c>
      <c r="L154" s="36">
        <v>41.0</v>
      </c>
      <c r="M154" s="36">
        <v>100.0</v>
      </c>
      <c r="N154" s="36">
        <v>44.0</v>
      </c>
      <c r="O154" s="36">
        <v>29.0</v>
      </c>
      <c r="P154" s="36" t="s">
        <v>102</v>
      </c>
      <c r="Q154" s="36">
        <v>0.36</v>
      </c>
      <c r="R154" s="36">
        <v>0.74</v>
      </c>
      <c r="S154" s="36">
        <v>1.3</v>
      </c>
      <c r="T154" s="36">
        <v>2.04</v>
      </c>
      <c r="U154" s="49">
        <f t="shared" si="1"/>
        <v>2040</v>
      </c>
      <c r="V154" s="21">
        <f t="shared" si="4"/>
        <v>3600</v>
      </c>
    </row>
    <row r="155" ht="14.25" customHeight="1">
      <c r="A155" s="38">
        <v>0.33819444444444446</v>
      </c>
      <c r="B155" s="36">
        <v>119.0</v>
      </c>
      <c r="C155" s="36">
        <v>27.0</v>
      </c>
      <c r="D155" s="36">
        <v>1081.0</v>
      </c>
      <c r="E155" s="36">
        <v>984.0</v>
      </c>
      <c r="F155" s="36">
        <v>0.91</v>
      </c>
      <c r="G155" s="36">
        <v>29.0</v>
      </c>
      <c r="H155" s="36">
        <v>0.85</v>
      </c>
      <c r="I155" s="36">
        <v>24.4</v>
      </c>
      <c r="J155" s="36">
        <v>73.1</v>
      </c>
      <c r="K155" s="36">
        <v>125.0</v>
      </c>
      <c r="L155" s="36">
        <v>40.6</v>
      </c>
      <c r="M155" s="36">
        <v>100.0</v>
      </c>
      <c r="N155" s="36">
        <v>44.0</v>
      </c>
      <c r="O155" s="36">
        <v>29.0</v>
      </c>
      <c r="P155" s="36" t="s">
        <v>102</v>
      </c>
      <c r="Q155" s="36">
        <v>0.37</v>
      </c>
      <c r="R155" s="36">
        <v>0.77</v>
      </c>
      <c r="S155" s="36">
        <v>1.33</v>
      </c>
      <c r="T155" s="36">
        <v>2.1</v>
      </c>
      <c r="U155" s="49">
        <f t="shared" si="1"/>
        <v>2100</v>
      </c>
      <c r="V155" s="21">
        <f t="shared" si="4"/>
        <v>10000</v>
      </c>
    </row>
    <row r="156" ht="14.25" customHeight="1">
      <c r="A156" s="38">
        <v>0.33958333333333335</v>
      </c>
      <c r="B156" s="36">
        <v>120.0</v>
      </c>
      <c r="C156" s="36">
        <v>26.2</v>
      </c>
      <c r="D156" s="36">
        <v>1048.0</v>
      </c>
      <c r="E156" s="36">
        <v>965.0</v>
      </c>
      <c r="F156" s="36">
        <v>0.92</v>
      </c>
      <c r="G156" s="36">
        <v>30.0</v>
      </c>
      <c r="H156" s="36">
        <v>0.79</v>
      </c>
      <c r="I156" s="36">
        <v>23.8</v>
      </c>
      <c r="J156" s="36">
        <v>73.8</v>
      </c>
      <c r="K156" s="36">
        <v>126.0</v>
      </c>
      <c r="L156" s="36">
        <v>40.1</v>
      </c>
      <c r="M156" s="36">
        <v>100.0</v>
      </c>
      <c r="N156" s="36">
        <v>44.0</v>
      </c>
      <c r="O156" s="36">
        <v>30.0</v>
      </c>
      <c r="P156" s="36" t="s">
        <v>102</v>
      </c>
      <c r="Q156" s="36">
        <v>0.36</v>
      </c>
      <c r="R156" s="36">
        <v>0.72</v>
      </c>
      <c r="S156" s="36">
        <v>1.28</v>
      </c>
      <c r="T156" s="36">
        <v>2.0</v>
      </c>
      <c r="U156" s="49">
        <f t="shared" si="1"/>
        <v>2000</v>
      </c>
      <c r="V156" s="21">
        <f t="shared" si="4"/>
        <v>400</v>
      </c>
    </row>
    <row r="157" ht="14.25" customHeight="1">
      <c r="A157" s="38">
        <v>0.34097222222222223</v>
      </c>
      <c r="B157" s="36">
        <v>120.0</v>
      </c>
      <c r="C157" s="36">
        <v>26.8</v>
      </c>
      <c r="D157" s="36">
        <v>1072.0</v>
      </c>
      <c r="E157" s="36">
        <v>1000.0</v>
      </c>
      <c r="F157" s="36">
        <v>0.93</v>
      </c>
      <c r="G157" s="36">
        <v>30.0</v>
      </c>
      <c r="H157" s="36">
        <v>0.83</v>
      </c>
      <c r="I157" s="36">
        <v>24.7</v>
      </c>
      <c r="J157" s="36">
        <v>72.8</v>
      </c>
      <c r="K157" s="36">
        <v>127.0</v>
      </c>
      <c r="L157" s="36">
        <v>39.6</v>
      </c>
      <c r="M157" s="36">
        <v>101.0</v>
      </c>
      <c r="N157" s="36">
        <v>44.0</v>
      </c>
      <c r="O157" s="36">
        <v>30.0</v>
      </c>
      <c r="P157" s="36" t="s">
        <v>102</v>
      </c>
      <c r="Q157" s="36">
        <v>0.37</v>
      </c>
      <c r="R157" s="36">
        <v>0.75</v>
      </c>
      <c r="S157" s="36">
        <v>1.27</v>
      </c>
      <c r="T157" s="36">
        <v>2.02</v>
      </c>
      <c r="U157" s="49">
        <f t="shared" si="1"/>
        <v>2020</v>
      </c>
      <c r="V157" s="21">
        <f t="shared" si="4"/>
        <v>900</v>
      </c>
    </row>
    <row r="158" ht="14.25" customHeight="1">
      <c r="A158" s="38">
        <v>0.34305555555555556</v>
      </c>
      <c r="B158" s="36">
        <v>121.0</v>
      </c>
      <c r="C158" s="36">
        <v>26.5</v>
      </c>
      <c r="D158" s="36">
        <v>1059.0</v>
      </c>
      <c r="E158" s="36">
        <v>1001.0</v>
      </c>
      <c r="F158" s="36">
        <v>0.95</v>
      </c>
      <c r="G158" s="36">
        <v>29.0</v>
      </c>
      <c r="H158" s="36">
        <v>0.85</v>
      </c>
      <c r="I158" s="36">
        <v>24.8</v>
      </c>
      <c r="J158" s="36">
        <v>72.7</v>
      </c>
      <c r="K158" s="36">
        <v>127.0</v>
      </c>
      <c r="L158" s="36">
        <v>39.4</v>
      </c>
      <c r="M158" s="36">
        <v>101.0</v>
      </c>
      <c r="N158" s="36">
        <v>44.0</v>
      </c>
      <c r="O158" s="36">
        <v>29.0</v>
      </c>
      <c r="P158" s="36" t="s">
        <v>102</v>
      </c>
      <c r="Q158" s="36">
        <v>0.38</v>
      </c>
      <c r="R158" s="36">
        <v>0.77</v>
      </c>
      <c r="S158" s="36">
        <v>1.28</v>
      </c>
      <c r="T158" s="36">
        <v>2.05</v>
      </c>
      <c r="U158" s="49">
        <f t="shared" si="1"/>
        <v>2050</v>
      </c>
      <c r="V158" s="21">
        <f t="shared" si="4"/>
        <v>0</v>
      </c>
    </row>
    <row r="159" ht="14.25" customHeight="1">
      <c r="A159" s="38">
        <v>0.34444444444444444</v>
      </c>
      <c r="B159" s="36">
        <v>122.0</v>
      </c>
      <c r="C159" s="36">
        <v>26.5</v>
      </c>
      <c r="D159" s="36">
        <v>1059.0</v>
      </c>
      <c r="E159" s="36">
        <v>1001.0</v>
      </c>
      <c r="F159" s="36">
        <v>0.95</v>
      </c>
      <c r="G159" s="36">
        <v>29.0</v>
      </c>
      <c r="H159" s="36">
        <v>0.85</v>
      </c>
      <c r="I159" s="36">
        <v>24.8</v>
      </c>
      <c r="J159" s="36">
        <v>72.7</v>
      </c>
      <c r="K159" s="36">
        <v>127.0</v>
      </c>
      <c r="L159" s="36">
        <v>39.6</v>
      </c>
      <c r="M159" s="36">
        <v>101.0</v>
      </c>
      <c r="N159" s="36">
        <v>44.0</v>
      </c>
      <c r="O159" s="36">
        <v>29.0</v>
      </c>
      <c r="P159" s="36" t="s">
        <v>102</v>
      </c>
      <c r="Q159" s="36">
        <v>0.38</v>
      </c>
      <c r="R159" s="36">
        <v>0.77</v>
      </c>
      <c r="S159" s="36">
        <v>1.28</v>
      </c>
      <c r="T159" s="36">
        <v>2.05</v>
      </c>
      <c r="U159" s="49">
        <f t="shared" si="1"/>
        <v>2050</v>
      </c>
      <c r="V159" s="21">
        <f t="shared" si="4"/>
        <v>10000</v>
      </c>
    </row>
    <row r="160" ht="14.25" customHeight="1">
      <c r="A160" s="38">
        <v>0.3458333333333333</v>
      </c>
      <c r="B160" s="36">
        <v>122.0</v>
      </c>
      <c r="C160" s="36">
        <v>26.2</v>
      </c>
      <c r="D160" s="36">
        <v>1047.0</v>
      </c>
      <c r="E160" s="36">
        <v>988.0</v>
      </c>
      <c r="F160" s="36">
        <v>0.94</v>
      </c>
      <c r="G160" s="36">
        <v>31.0</v>
      </c>
      <c r="H160" s="36">
        <v>0.78</v>
      </c>
      <c r="I160" s="36">
        <v>24.1</v>
      </c>
      <c r="J160" s="36">
        <v>73.4</v>
      </c>
      <c r="K160" s="36">
        <v>127.0</v>
      </c>
      <c r="L160" s="36">
        <v>39.5</v>
      </c>
      <c r="M160" s="36">
        <v>101.0</v>
      </c>
      <c r="N160" s="36">
        <v>44.0</v>
      </c>
      <c r="O160" s="36">
        <v>31.0</v>
      </c>
      <c r="P160" s="36" t="s">
        <v>102</v>
      </c>
      <c r="Q160" s="36">
        <v>0.37</v>
      </c>
      <c r="R160" s="36">
        <v>0.71</v>
      </c>
      <c r="S160" s="36">
        <v>1.24</v>
      </c>
      <c r="T160" s="36">
        <v>1.95</v>
      </c>
      <c r="U160" s="49">
        <f t="shared" si="1"/>
        <v>1950</v>
      </c>
      <c r="V160" s="21">
        <f t="shared" si="4"/>
        <v>400</v>
      </c>
    </row>
    <row r="161" ht="14.25" customHeight="1">
      <c r="A161" s="38">
        <v>0.34652777777777777</v>
      </c>
      <c r="B161" s="36">
        <v>123.0</v>
      </c>
      <c r="C161" s="36">
        <v>25.7</v>
      </c>
      <c r="D161" s="36">
        <v>1026.0</v>
      </c>
      <c r="E161" s="36">
        <v>973.0</v>
      </c>
      <c r="F161" s="36">
        <v>0.95</v>
      </c>
      <c r="G161" s="36">
        <v>31.0</v>
      </c>
      <c r="H161" s="36">
        <v>0.77</v>
      </c>
      <c r="I161" s="36">
        <v>24.0</v>
      </c>
      <c r="J161" s="36">
        <v>73.6</v>
      </c>
      <c r="K161" s="36">
        <v>127.0</v>
      </c>
      <c r="L161" s="36">
        <v>39.5</v>
      </c>
      <c r="M161" s="36">
        <v>101.0</v>
      </c>
      <c r="N161" s="36">
        <v>44.0</v>
      </c>
      <c r="O161" s="36">
        <v>31.0</v>
      </c>
      <c r="P161" s="36" t="s">
        <v>102</v>
      </c>
      <c r="Q161" s="36">
        <v>0.38</v>
      </c>
      <c r="R161" s="36">
        <v>0.73</v>
      </c>
      <c r="S161" s="36">
        <v>1.2</v>
      </c>
      <c r="T161" s="36">
        <v>1.93</v>
      </c>
      <c r="U161" s="49">
        <f t="shared" si="1"/>
        <v>1930</v>
      </c>
      <c r="V161" s="21">
        <f t="shared" si="4"/>
        <v>78400</v>
      </c>
    </row>
    <row r="162" ht="14.25" customHeight="1">
      <c r="A162" s="38">
        <v>0.3472222222222222</v>
      </c>
      <c r="B162" s="36">
        <v>123.0</v>
      </c>
      <c r="C162" s="36">
        <v>25.2</v>
      </c>
      <c r="D162" s="36">
        <v>1006.0</v>
      </c>
      <c r="E162" s="36">
        <v>936.0</v>
      </c>
      <c r="F162" s="36">
        <v>0.93</v>
      </c>
      <c r="G162" s="36">
        <v>36.0</v>
      </c>
      <c r="H162" s="36">
        <v>0.64</v>
      </c>
      <c r="I162" s="36">
        <v>23.2</v>
      </c>
      <c r="J162" s="36">
        <v>74.5</v>
      </c>
      <c r="K162" s="36">
        <v>127.0</v>
      </c>
      <c r="L162" s="36">
        <v>39.5</v>
      </c>
      <c r="M162" s="36">
        <v>100.0</v>
      </c>
      <c r="N162" s="36">
        <v>45.0</v>
      </c>
      <c r="O162" s="36">
        <v>36.0</v>
      </c>
      <c r="P162" s="36" t="s">
        <v>102</v>
      </c>
      <c r="Q162" s="36">
        <v>0.35</v>
      </c>
      <c r="R162" s="36">
        <v>0.58</v>
      </c>
      <c r="S162" s="36">
        <v>1.07</v>
      </c>
      <c r="T162" s="36">
        <v>1.65</v>
      </c>
      <c r="U162" s="49">
        <f t="shared" si="1"/>
        <v>1650</v>
      </c>
      <c r="V162" s="21">
        <f t="shared" si="4"/>
        <v>12100</v>
      </c>
    </row>
    <row r="163" ht="14.25" customHeight="1">
      <c r="A163" s="38">
        <v>0.3486111111111111</v>
      </c>
      <c r="B163" s="36">
        <v>124.0</v>
      </c>
      <c r="C163" s="36">
        <v>25.8</v>
      </c>
      <c r="D163" s="36">
        <v>1033.0</v>
      </c>
      <c r="E163" s="36">
        <v>949.0</v>
      </c>
      <c r="F163" s="36">
        <v>0.92</v>
      </c>
      <c r="G163" s="36">
        <v>39.0</v>
      </c>
      <c r="H163" s="36">
        <v>0.61</v>
      </c>
      <c r="I163" s="36">
        <v>23.8</v>
      </c>
      <c r="J163" s="36">
        <v>73.8</v>
      </c>
      <c r="K163" s="36">
        <v>127.0</v>
      </c>
      <c r="L163" s="36">
        <v>39.7</v>
      </c>
      <c r="M163" s="36">
        <v>100.0</v>
      </c>
      <c r="N163" s="36">
        <v>44.0</v>
      </c>
      <c r="O163" s="36">
        <v>39.0</v>
      </c>
      <c r="P163" s="36" t="s">
        <v>102</v>
      </c>
      <c r="Q163" s="36">
        <v>0.35</v>
      </c>
      <c r="R163" s="36">
        <v>0.54</v>
      </c>
      <c r="S163" s="36">
        <v>1.0</v>
      </c>
      <c r="T163" s="36">
        <v>1.54</v>
      </c>
      <c r="U163" s="49">
        <f t="shared" si="1"/>
        <v>1540</v>
      </c>
      <c r="V163" s="21">
        <f t="shared" si="4"/>
        <v>0</v>
      </c>
    </row>
    <row r="164" ht="14.25" customHeight="1">
      <c r="A164" s="38">
        <v>0.3486111111111111</v>
      </c>
      <c r="B164" s="36">
        <v>124.0</v>
      </c>
      <c r="C164" s="36">
        <v>25.8</v>
      </c>
      <c r="D164" s="36">
        <v>1033.0</v>
      </c>
      <c r="E164" s="36">
        <v>949.0</v>
      </c>
      <c r="F164" s="36">
        <v>0.92</v>
      </c>
      <c r="G164" s="36">
        <v>39.0</v>
      </c>
      <c r="H164" s="36">
        <v>0.61</v>
      </c>
      <c r="I164" s="36">
        <v>23.8</v>
      </c>
      <c r="J164" s="36">
        <v>73.8</v>
      </c>
      <c r="K164" s="36">
        <v>126.0</v>
      </c>
      <c r="L164" s="36">
        <v>40.2</v>
      </c>
      <c r="M164" s="36">
        <v>100.0</v>
      </c>
      <c r="N164" s="36">
        <v>44.0</v>
      </c>
      <c r="O164" s="36">
        <v>39.0</v>
      </c>
      <c r="P164" s="36" t="s">
        <v>102</v>
      </c>
      <c r="Q164" s="36">
        <v>0.35</v>
      </c>
      <c r="R164" s="36">
        <v>0.54</v>
      </c>
      <c r="S164" s="36">
        <v>1.0</v>
      </c>
      <c r="T164" s="36">
        <v>1.54</v>
      </c>
      <c r="U164" s="49">
        <f t="shared" si="1"/>
        <v>1540</v>
      </c>
      <c r="V164" s="21">
        <f t="shared" si="4"/>
        <v>40000</v>
      </c>
    </row>
    <row r="165" ht="14.25" customHeight="1">
      <c r="A165" s="38">
        <v>0.35</v>
      </c>
      <c r="B165" s="36">
        <v>124.0</v>
      </c>
      <c r="C165" s="36">
        <v>27.0</v>
      </c>
      <c r="D165" s="36">
        <v>1082.0</v>
      </c>
      <c r="E165" s="36">
        <v>966.0</v>
      </c>
      <c r="F165" s="36">
        <v>0.89</v>
      </c>
      <c r="G165" s="36">
        <v>45.0</v>
      </c>
      <c r="H165" s="36">
        <v>0.54</v>
      </c>
      <c r="I165" s="36">
        <v>24.5</v>
      </c>
      <c r="J165" s="36">
        <v>73.1</v>
      </c>
      <c r="K165" s="36">
        <v>125.0</v>
      </c>
      <c r="L165" s="36">
        <v>40.4</v>
      </c>
      <c r="M165" s="36">
        <v>99.0</v>
      </c>
      <c r="N165" s="36">
        <v>44.0</v>
      </c>
      <c r="O165" s="36">
        <v>45.0</v>
      </c>
      <c r="P165" s="36" t="s">
        <v>102</v>
      </c>
      <c r="Q165" s="36">
        <v>0.35</v>
      </c>
      <c r="R165" s="36">
        <v>0.47</v>
      </c>
      <c r="S165" s="36">
        <v>0.87</v>
      </c>
      <c r="T165" s="36">
        <v>1.34</v>
      </c>
      <c r="U165" s="49">
        <f t="shared" si="1"/>
        <v>1340</v>
      </c>
      <c r="V165" s="21">
        <f t="shared" si="4"/>
        <v>25600</v>
      </c>
    </row>
    <row r="166" ht="14.25" customHeight="1">
      <c r="A166" s="38">
        <v>0.3506944444444444</v>
      </c>
      <c r="B166" s="36">
        <v>125.0</v>
      </c>
      <c r="C166" s="36">
        <v>28.1</v>
      </c>
      <c r="D166" s="36">
        <v>1123.0</v>
      </c>
      <c r="E166" s="36">
        <v>992.0</v>
      </c>
      <c r="F166" s="36">
        <v>0.88</v>
      </c>
      <c r="G166" s="36">
        <v>51.0</v>
      </c>
      <c r="H166" s="36">
        <v>0.5</v>
      </c>
      <c r="I166" s="36">
        <v>25.5</v>
      </c>
      <c r="J166" s="36">
        <v>71.9</v>
      </c>
      <c r="K166" s="36">
        <v>126.0</v>
      </c>
      <c r="L166" s="36">
        <v>40.0</v>
      </c>
      <c r="M166" s="36">
        <v>99.0</v>
      </c>
      <c r="N166" s="36">
        <v>44.0</v>
      </c>
      <c r="O166" s="36">
        <v>51.0</v>
      </c>
      <c r="P166" s="36" t="s">
        <v>102</v>
      </c>
      <c r="Q166" s="36">
        <v>0.33</v>
      </c>
      <c r="R166" s="36">
        <v>0.39</v>
      </c>
      <c r="S166" s="36">
        <v>0.78</v>
      </c>
      <c r="T166" s="36">
        <v>1.18</v>
      </c>
      <c r="U166" s="49">
        <f t="shared" si="1"/>
        <v>1180</v>
      </c>
      <c r="V166" s="21">
        <f t="shared" si="4"/>
        <v>10000</v>
      </c>
    </row>
    <row r="167" ht="14.25" customHeight="1">
      <c r="A167" s="38">
        <v>0.35138888888888886</v>
      </c>
      <c r="B167" s="36">
        <v>125.0</v>
      </c>
      <c r="C167" s="36">
        <v>28.4</v>
      </c>
      <c r="D167" s="36">
        <v>1135.0</v>
      </c>
      <c r="E167" s="36">
        <v>995.0</v>
      </c>
      <c r="F167" s="36">
        <v>0.88</v>
      </c>
      <c r="G167" s="36">
        <v>55.0</v>
      </c>
      <c r="H167" s="36">
        <v>0.48</v>
      </c>
      <c r="I167" s="36">
        <v>26.3</v>
      </c>
      <c r="J167" s="36">
        <v>71.0</v>
      </c>
      <c r="K167" s="36">
        <v>126.0</v>
      </c>
      <c r="L167" s="36">
        <v>40.1</v>
      </c>
      <c r="M167" s="36">
        <v>100.0</v>
      </c>
      <c r="N167" s="36">
        <v>44.0</v>
      </c>
      <c r="O167" s="36">
        <v>55.0</v>
      </c>
      <c r="P167" s="36" t="s">
        <v>102</v>
      </c>
      <c r="Q167" s="36">
        <v>0.35</v>
      </c>
      <c r="R167" s="36">
        <v>0.38</v>
      </c>
      <c r="S167" s="36">
        <v>0.7</v>
      </c>
      <c r="T167" s="36">
        <v>1.08</v>
      </c>
      <c r="U167" s="49">
        <f t="shared" si="1"/>
        <v>1080</v>
      </c>
      <c r="V167" s="21">
        <f t="shared" si="4"/>
        <v>0</v>
      </c>
    </row>
    <row r="168" ht="14.25" customHeight="1">
      <c r="A168" s="38">
        <v>0.35208333333333336</v>
      </c>
      <c r="B168" s="36">
        <v>126.0</v>
      </c>
      <c r="C168" s="36">
        <v>28.4</v>
      </c>
      <c r="D168" s="36">
        <v>1137.0</v>
      </c>
      <c r="E168" s="36">
        <v>996.0</v>
      </c>
      <c r="F168" s="36">
        <v>0.88</v>
      </c>
      <c r="G168" s="36">
        <v>55.0</v>
      </c>
      <c r="H168" s="36">
        <v>0.48</v>
      </c>
      <c r="I168" s="36">
        <v>26.3</v>
      </c>
      <c r="J168" s="36">
        <v>71.0</v>
      </c>
      <c r="K168" s="36">
        <v>123.0</v>
      </c>
      <c r="L168" s="36">
        <v>41.2</v>
      </c>
      <c r="M168" s="36">
        <v>100.0</v>
      </c>
      <c r="N168" s="36">
        <v>44.0</v>
      </c>
      <c r="O168" s="36">
        <v>55.0</v>
      </c>
      <c r="P168" s="36" t="s">
        <v>102</v>
      </c>
      <c r="Q168" s="36">
        <v>0.35</v>
      </c>
      <c r="R168" s="36">
        <v>0.38</v>
      </c>
      <c r="S168" s="36">
        <v>0.7</v>
      </c>
      <c r="T168" s="36">
        <v>1.08</v>
      </c>
      <c r="U168" s="49">
        <f t="shared" si="1"/>
        <v>1080</v>
      </c>
      <c r="V168" s="8">
        <v>0.0</v>
      </c>
    </row>
    <row r="169" ht="14.25" customHeight="1">
      <c r="A169" s="38">
        <v>0.3527777777777778</v>
      </c>
      <c r="B169" s="36">
        <v>126.0</v>
      </c>
      <c r="C169" s="36">
        <v>27.9</v>
      </c>
      <c r="D169" s="36">
        <v>1116.0</v>
      </c>
      <c r="E169" s="36">
        <v>990.0</v>
      </c>
      <c r="F169" s="36">
        <v>0.89</v>
      </c>
      <c r="G169" s="36">
        <v>53.0</v>
      </c>
      <c r="H169" s="36">
        <v>0.49</v>
      </c>
      <c r="I169" s="36">
        <v>26.2</v>
      </c>
      <c r="J169" s="36">
        <v>71.2</v>
      </c>
      <c r="K169" s="36">
        <v>124.0</v>
      </c>
      <c r="L169" s="36">
        <v>40.7</v>
      </c>
      <c r="M169" s="36">
        <v>101.0</v>
      </c>
      <c r="N169" s="36">
        <v>43.0</v>
      </c>
      <c r="O169" s="36">
        <v>53.0</v>
      </c>
      <c r="P169" s="36" t="s">
        <v>102</v>
      </c>
      <c r="Q169" s="36">
        <v>0.38</v>
      </c>
      <c r="R169" s="36">
        <v>0.43</v>
      </c>
      <c r="S169" s="36">
        <v>0.7</v>
      </c>
      <c r="T169" s="36">
        <v>1.13</v>
      </c>
      <c r="U169" s="49">
        <f t="shared" si="1"/>
        <v>1130</v>
      </c>
      <c r="V169" s="8"/>
    </row>
    <row r="170" ht="14.25" customHeight="1">
      <c r="A170" s="38">
        <v>0.35555555555555557</v>
      </c>
      <c r="B170" s="36">
        <v>127.0</v>
      </c>
      <c r="C170" s="36">
        <v>27.1</v>
      </c>
      <c r="D170" s="36">
        <v>1084.0</v>
      </c>
      <c r="E170" s="36">
        <v>970.0</v>
      </c>
      <c r="F170" s="36">
        <v>0.89</v>
      </c>
      <c r="G170" s="36">
        <v>54.0</v>
      </c>
      <c r="H170" s="36">
        <v>0.48</v>
      </c>
      <c r="I170" s="36">
        <v>25.8</v>
      </c>
      <c r="J170" s="36">
        <v>71.6</v>
      </c>
      <c r="K170" s="36">
        <v>127.0</v>
      </c>
      <c r="L170" s="36">
        <v>39.7</v>
      </c>
      <c r="M170" s="36">
        <v>101.0</v>
      </c>
      <c r="N170" s="36">
        <v>43.0</v>
      </c>
      <c r="O170" s="36">
        <v>54.0</v>
      </c>
      <c r="P170" s="36" t="s">
        <v>102</v>
      </c>
      <c r="Q170" s="36">
        <v>0.38</v>
      </c>
      <c r="R170" s="36">
        <v>0.42</v>
      </c>
      <c r="S170" s="36">
        <v>0.7</v>
      </c>
      <c r="T170" s="36">
        <v>1.12</v>
      </c>
      <c r="U170" s="49">
        <f t="shared" si="1"/>
        <v>1120</v>
      </c>
      <c r="V170" s="21">
        <f t="shared" ref="V170:V174" si="5">(U170-U171)^2</f>
        <v>36100</v>
      </c>
    </row>
    <row r="171" ht="14.25" customHeight="1">
      <c r="A171" s="38">
        <v>0.35694444444444445</v>
      </c>
      <c r="B171" s="36">
        <v>128.0</v>
      </c>
      <c r="C171" s="36">
        <v>26.9</v>
      </c>
      <c r="D171" s="36">
        <v>1075.0</v>
      </c>
      <c r="E171" s="36">
        <v>973.0</v>
      </c>
      <c r="F171" s="36">
        <v>0.9</v>
      </c>
      <c r="G171" s="36">
        <v>46.0</v>
      </c>
      <c r="H171" s="36">
        <v>0.54</v>
      </c>
      <c r="I171" s="36">
        <v>24.7</v>
      </c>
      <c r="J171" s="36">
        <v>72.8</v>
      </c>
      <c r="K171" s="36">
        <v>127.0</v>
      </c>
      <c r="L171" s="36">
        <v>39.7</v>
      </c>
      <c r="M171" s="36">
        <v>101.0</v>
      </c>
      <c r="N171" s="36">
        <v>44.0</v>
      </c>
      <c r="O171" s="36">
        <v>46.0</v>
      </c>
      <c r="P171" s="36" t="s">
        <v>102</v>
      </c>
      <c r="Q171" s="36">
        <v>0.37</v>
      </c>
      <c r="R171" s="36">
        <v>0.49</v>
      </c>
      <c r="S171" s="36">
        <v>0.82</v>
      </c>
      <c r="T171" s="36">
        <v>1.31</v>
      </c>
      <c r="U171" s="49">
        <f t="shared" si="1"/>
        <v>1310</v>
      </c>
      <c r="V171" s="21">
        <f t="shared" si="5"/>
        <v>48400</v>
      </c>
    </row>
    <row r="172" ht="14.25" customHeight="1">
      <c r="A172" s="38">
        <v>0.35833333333333334</v>
      </c>
      <c r="B172" s="36">
        <v>129.0</v>
      </c>
      <c r="C172" s="36">
        <v>27.1</v>
      </c>
      <c r="D172" s="36">
        <v>1085.0</v>
      </c>
      <c r="E172" s="36">
        <v>989.0</v>
      </c>
      <c r="F172" s="36">
        <v>0.91</v>
      </c>
      <c r="G172" s="36">
        <v>39.0</v>
      </c>
      <c r="H172" s="36">
        <v>0.62</v>
      </c>
      <c r="I172" s="36">
        <v>24.4</v>
      </c>
      <c r="J172" s="36">
        <v>73.1</v>
      </c>
      <c r="K172" s="36">
        <v>127.0</v>
      </c>
      <c r="L172" s="36">
        <v>39.3</v>
      </c>
      <c r="M172" s="36">
        <v>100.0</v>
      </c>
      <c r="N172" s="36">
        <v>44.0</v>
      </c>
      <c r="O172" s="36">
        <v>39.0</v>
      </c>
      <c r="P172" s="36" t="s">
        <v>102</v>
      </c>
      <c r="Q172" s="36">
        <v>0.38</v>
      </c>
      <c r="R172" s="36">
        <v>0.58</v>
      </c>
      <c r="S172" s="36">
        <v>0.94</v>
      </c>
      <c r="T172" s="36">
        <v>1.53</v>
      </c>
      <c r="U172" s="49">
        <f t="shared" si="1"/>
        <v>1530</v>
      </c>
      <c r="V172" s="21">
        <f t="shared" si="5"/>
        <v>230400</v>
      </c>
    </row>
    <row r="173" ht="14.25" customHeight="1">
      <c r="A173" s="38">
        <v>0.3597222222222222</v>
      </c>
      <c r="B173" s="36">
        <v>129.0</v>
      </c>
      <c r="C173" s="36">
        <v>25.3</v>
      </c>
      <c r="D173" s="36">
        <v>1014.0</v>
      </c>
      <c r="E173" s="36">
        <v>949.0</v>
      </c>
      <c r="F173" s="36">
        <v>0.94</v>
      </c>
      <c r="G173" s="36">
        <v>30.0</v>
      </c>
      <c r="H173" s="36">
        <v>0.77</v>
      </c>
      <c r="I173" s="36">
        <v>22.9</v>
      </c>
      <c r="J173" s="36">
        <v>74.8</v>
      </c>
      <c r="K173" s="36">
        <v>128.0</v>
      </c>
      <c r="L173" s="36">
        <v>39.1</v>
      </c>
      <c r="M173" s="36">
        <v>98.0</v>
      </c>
      <c r="N173" s="36">
        <v>46.0</v>
      </c>
      <c r="O173" s="36">
        <v>30.0</v>
      </c>
      <c r="P173" s="36" t="s">
        <v>102</v>
      </c>
      <c r="Q173" s="36">
        <v>0.37</v>
      </c>
      <c r="R173" s="36">
        <v>0.74</v>
      </c>
      <c r="S173" s="36">
        <v>1.27</v>
      </c>
      <c r="T173" s="36">
        <v>2.01</v>
      </c>
      <c r="U173" s="49">
        <f t="shared" si="1"/>
        <v>2010</v>
      </c>
      <c r="V173" s="21">
        <f t="shared" si="5"/>
        <v>8100</v>
      </c>
    </row>
    <row r="174" ht="14.25" customHeight="1">
      <c r="A174" s="38">
        <v>0.3611111111111111</v>
      </c>
      <c r="B174" s="36">
        <v>130.0</v>
      </c>
      <c r="C174" s="36">
        <v>25.3</v>
      </c>
      <c r="D174" s="36">
        <v>1010.0</v>
      </c>
      <c r="E174" s="36">
        <v>931.0</v>
      </c>
      <c r="F174" s="36">
        <v>0.92</v>
      </c>
      <c r="G174" s="36">
        <v>31.0</v>
      </c>
      <c r="H174" s="36">
        <v>0.72</v>
      </c>
      <c r="I174" s="36">
        <v>22.4</v>
      </c>
      <c r="J174" s="36">
        <v>75.3</v>
      </c>
      <c r="K174" s="36">
        <v>128.0</v>
      </c>
      <c r="L174" s="36">
        <v>39.1</v>
      </c>
      <c r="M174" s="36">
        <v>97.0</v>
      </c>
      <c r="N174" s="36">
        <v>46.0</v>
      </c>
      <c r="O174" s="36">
        <v>31.0</v>
      </c>
      <c r="P174" s="36" t="s">
        <v>102</v>
      </c>
      <c r="Q174" s="36">
        <v>0.36</v>
      </c>
      <c r="R174" s="36">
        <v>0.7</v>
      </c>
      <c r="S174" s="36">
        <v>1.22</v>
      </c>
      <c r="T174" s="36">
        <v>1.92</v>
      </c>
      <c r="U174" s="49">
        <f t="shared" si="1"/>
        <v>1920</v>
      </c>
      <c r="V174" s="21">
        <f t="shared" si="5"/>
        <v>48400</v>
      </c>
    </row>
    <row r="175" ht="14.25" customHeight="1">
      <c r="A175" s="38">
        <v>0.3625</v>
      </c>
      <c r="B175" s="36">
        <v>131.0</v>
      </c>
      <c r="C175" s="36">
        <v>25.8</v>
      </c>
      <c r="D175" s="36">
        <v>1032.0</v>
      </c>
      <c r="E175" s="36">
        <v>955.0</v>
      </c>
      <c r="F175" s="36">
        <v>0.92</v>
      </c>
      <c r="G175" s="36">
        <v>28.0</v>
      </c>
      <c r="H175" s="36">
        <v>0.81</v>
      </c>
      <c r="I175" s="36">
        <v>22.7</v>
      </c>
      <c r="J175" s="36">
        <v>75.0</v>
      </c>
      <c r="K175" s="36">
        <v>129.0</v>
      </c>
      <c r="L175" s="36">
        <v>38.4</v>
      </c>
      <c r="M175" s="36">
        <v>97.0</v>
      </c>
      <c r="N175" s="36">
        <v>46.0</v>
      </c>
      <c r="O175" s="36">
        <v>28.0</v>
      </c>
      <c r="P175" s="36" t="s">
        <v>102</v>
      </c>
      <c r="Q175" s="36">
        <v>0.37</v>
      </c>
      <c r="R175" s="36">
        <v>0.8</v>
      </c>
      <c r="S175" s="36">
        <v>1.34</v>
      </c>
      <c r="T175" s="36">
        <v>2.14</v>
      </c>
      <c r="U175" s="49">
        <f t="shared" si="1"/>
        <v>2140</v>
      </c>
      <c r="V175" s="8">
        <v>0.0</v>
      </c>
    </row>
    <row r="176" ht="14.25" customHeight="1">
      <c r="A176" s="38">
        <v>0.3638888888888889</v>
      </c>
      <c r="B176" s="36">
        <v>131.0</v>
      </c>
      <c r="C176" s="36">
        <v>26.2</v>
      </c>
      <c r="D176" s="36">
        <v>1049.0</v>
      </c>
      <c r="E176" s="36">
        <v>974.0</v>
      </c>
      <c r="F176" s="36">
        <v>0.93</v>
      </c>
      <c r="G176" s="36">
        <v>26.0</v>
      </c>
      <c r="H176" s="36">
        <v>0.89</v>
      </c>
      <c r="I176" s="36">
        <v>22.9</v>
      </c>
      <c r="J176" s="36">
        <v>74.8</v>
      </c>
      <c r="K176" s="36">
        <v>130.0</v>
      </c>
      <c r="L176" s="36">
        <v>38.0</v>
      </c>
      <c r="M176" s="36">
        <v>96.0</v>
      </c>
      <c r="N176" s="36">
        <v>47.0</v>
      </c>
      <c r="O176" s="36">
        <v>26.0</v>
      </c>
      <c r="P176" s="36" t="s">
        <v>102</v>
      </c>
      <c r="Q176" s="36">
        <v>0.38</v>
      </c>
      <c r="R176" s="36">
        <v>0.9</v>
      </c>
      <c r="S176" s="36">
        <v>1.44</v>
      </c>
      <c r="T176" s="36">
        <v>2.34</v>
      </c>
      <c r="U176" s="49">
        <f t="shared" si="1"/>
        <v>2340</v>
      </c>
      <c r="V176" s="21">
        <f t="shared" ref="V176:V204" si="6">(U176-U177)^2</f>
        <v>48400</v>
      </c>
    </row>
    <row r="177" ht="14.25" customHeight="1">
      <c r="A177" s="38">
        <v>0.3659722222222222</v>
      </c>
      <c r="B177" s="36">
        <v>132.0</v>
      </c>
      <c r="C177" s="36">
        <v>26.7</v>
      </c>
      <c r="D177" s="36">
        <v>1069.0</v>
      </c>
      <c r="E177" s="36">
        <v>971.0</v>
      </c>
      <c r="F177" s="36">
        <v>0.91</v>
      </c>
      <c r="G177" s="36">
        <v>28.0</v>
      </c>
      <c r="H177" s="36">
        <v>0.8</v>
      </c>
      <c r="I177" s="36">
        <v>22.7</v>
      </c>
      <c r="J177" s="36">
        <v>75.0</v>
      </c>
      <c r="K177" s="36">
        <v>132.0</v>
      </c>
      <c r="L177" s="36">
        <v>37.4</v>
      </c>
      <c r="M177" s="36">
        <v>97.0</v>
      </c>
      <c r="N177" s="36">
        <v>46.0</v>
      </c>
      <c r="O177" s="36">
        <v>28.0</v>
      </c>
      <c r="P177" s="36" t="s">
        <v>102</v>
      </c>
      <c r="Q177" s="36">
        <v>0.39</v>
      </c>
      <c r="R177" s="36">
        <v>0.83</v>
      </c>
      <c r="S177" s="36">
        <v>1.29</v>
      </c>
      <c r="T177" s="36">
        <v>2.12</v>
      </c>
      <c r="U177" s="49">
        <f t="shared" si="1"/>
        <v>2120</v>
      </c>
      <c r="V177" s="21">
        <f t="shared" si="6"/>
        <v>10000</v>
      </c>
    </row>
    <row r="178" ht="14.25" customHeight="1">
      <c r="A178" s="38">
        <v>0.36736111111111114</v>
      </c>
      <c r="B178" s="36">
        <v>133.0</v>
      </c>
      <c r="C178" s="36">
        <v>26.7</v>
      </c>
      <c r="D178" s="36">
        <v>1070.0</v>
      </c>
      <c r="E178" s="36">
        <v>964.0</v>
      </c>
      <c r="F178" s="36">
        <v>0.9</v>
      </c>
      <c r="G178" s="36">
        <v>30.0</v>
      </c>
      <c r="H178" s="36">
        <v>0.76</v>
      </c>
      <c r="I178" s="36">
        <v>22.6</v>
      </c>
      <c r="J178" s="36">
        <v>75.1</v>
      </c>
      <c r="K178" s="36">
        <v>133.0</v>
      </c>
      <c r="L178" s="36">
        <v>36.8</v>
      </c>
      <c r="M178" s="36">
        <v>96.0</v>
      </c>
      <c r="N178" s="36">
        <v>47.0</v>
      </c>
      <c r="O178" s="36">
        <v>30.0</v>
      </c>
      <c r="P178" s="36" t="s">
        <v>102</v>
      </c>
      <c r="Q178" s="36">
        <v>0.38</v>
      </c>
      <c r="R178" s="36">
        <v>0.77</v>
      </c>
      <c r="S178" s="36">
        <v>1.25</v>
      </c>
      <c r="T178" s="36">
        <v>2.02</v>
      </c>
      <c r="U178" s="49">
        <f t="shared" si="1"/>
        <v>2020</v>
      </c>
      <c r="V178" s="21">
        <f t="shared" si="6"/>
        <v>400</v>
      </c>
    </row>
    <row r="179" ht="14.25" customHeight="1">
      <c r="A179" s="38">
        <v>0.36875</v>
      </c>
      <c r="B179" s="36">
        <v>134.0</v>
      </c>
      <c r="C179" s="36">
        <v>27.1</v>
      </c>
      <c r="D179" s="36">
        <v>1085.0</v>
      </c>
      <c r="E179" s="36">
        <v>975.0</v>
      </c>
      <c r="F179" s="36">
        <v>0.9</v>
      </c>
      <c r="G179" s="36">
        <v>29.0</v>
      </c>
      <c r="H179" s="36">
        <v>0.78</v>
      </c>
      <c r="I179" s="36">
        <v>22.9</v>
      </c>
      <c r="J179" s="36">
        <v>74.8</v>
      </c>
      <c r="K179" s="36">
        <v>133.0</v>
      </c>
      <c r="L179" s="36">
        <v>36.5</v>
      </c>
      <c r="M179" s="36">
        <v>96.0</v>
      </c>
      <c r="N179" s="36">
        <v>47.0</v>
      </c>
      <c r="O179" s="36">
        <v>29.0</v>
      </c>
      <c r="P179" s="36" t="s">
        <v>102</v>
      </c>
      <c r="Q179" s="36">
        <v>0.39</v>
      </c>
      <c r="R179" s="36">
        <v>0.8</v>
      </c>
      <c r="S179" s="36">
        <v>1.24</v>
      </c>
      <c r="T179" s="36">
        <v>2.04</v>
      </c>
      <c r="U179" s="49">
        <f t="shared" si="1"/>
        <v>2040</v>
      </c>
      <c r="V179" s="21">
        <f t="shared" si="6"/>
        <v>6400</v>
      </c>
    </row>
    <row r="180" ht="14.25" customHeight="1">
      <c r="A180" s="38">
        <v>0.3701388888888889</v>
      </c>
      <c r="B180" s="36">
        <v>134.0</v>
      </c>
      <c r="C180" s="36">
        <v>28.3</v>
      </c>
      <c r="D180" s="36">
        <v>1132.0</v>
      </c>
      <c r="E180" s="36">
        <v>1018.0</v>
      </c>
      <c r="F180" s="36">
        <v>0.9</v>
      </c>
      <c r="G180" s="36">
        <v>31.0</v>
      </c>
      <c r="H180" s="36">
        <v>0.78</v>
      </c>
      <c r="I180" s="36">
        <v>23.9</v>
      </c>
      <c r="J180" s="36">
        <v>73.7</v>
      </c>
      <c r="K180" s="36">
        <v>135.0</v>
      </c>
      <c r="L180" s="36">
        <v>35.8</v>
      </c>
      <c r="M180" s="36">
        <v>96.0</v>
      </c>
      <c r="N180" s="36">
        <v>47.0</v>
      </c>
      <c r="O180" s="36">
        <v>31.0</v>
      </c>
      <c r="P180" s="36" t="s">
        <v>102</v>
      </c>
      <c r="Q180" s="36">
        <v>0.41</v>
      </c>
      <c r="R180" s="36">
        <v>0.8</v>
      </c>
      <c r="S180" s="36">
        <v>1.16</v>
      </c>
      <c r="T180" s="36">
        <v>1.96</v>
      </c>
      <c r="U180" s="49">
        <f t="shared" si="1"/>
        <v>1960</v>
      </c>
      <c r="V180" s="21">
        <f t="shared" si="6"/>
        <v>16900</v>
      </c>
    </row>
    <row r="181" ht="14.25" customHeight="1">
      <c r="A181" s="38">
        <v>0.3715277777777778</v>
      </c>
      <c r="B181" s="36">
        <v>135.0</v>
      </c>
      <c r="C181" s="36">
        <v>28.5</v>
      </c>
      <c r="D181" s="36">
        <v>1138.0</v>
      </c>
      <c r="E181" s="36">
        <v>1038.0</v>
      </c>
      <c r="F181" s="36">
        <v>0.91</v>
      </c>
      <c r="G181" s="36">
        <v>29.0</v>
      </c>
      <c r="H181" s="36">
        <v>0.84</v>
      </c>
      <c r="I181" s="36">
        <v>24.2</v>
      </c>
      <c r="J181" s="36">
        <v>73.3</v>
      </c>
      <c r="K181" s="36">
        <v>136.0</v>
      </c>
      <c r="L181" s="36">
        <v>35.2</v>
      </c>
      <c r="M181" s="36">
        <v>97.0</v>
      </c>
      <c r="N181" s="36">
        <v>47.0</v>
      </c>
      <c r="O181" s="36">
        <v>29.0</v>
      </c>
      <c r="P181" s="36" t="s">
        <v>102</v>
      </c>
      <c r="Q181" s="36">
        <v>0.41</v>
      </c>
      <c r="R181" s="36">
        <v>0.85</v>
      </c>
      <c r="S181" s="36">
        <v>1.23</v>
      </c>
      <c r="T181" s="36">
        <v>2.09</v>
      </c>
      <c r="U181" s="49">
        <f t="shared" si="1"/>
        <v>2090</v>
      </c>
      <c r="V181" s="21">
        <f t="shared" si="6"/>
        <v>100</v>
      </c>
    </row>
    <row r="182" ht="14.25" customHeight="1">
      <c r="A182" s="38">
        <v>0.3729166666666667</v>
      </c>
      <c r="B182" s="36">
        <v>136.0</v>
      </c>
      <c r="C182" s="36">
        <v>27.6</v>
      </c>
      <c r="D182" s="36">
        <v>1103.0</v>
      </c>
      <c r="E182" s="36">
        <v>1007.0</v>
      </c>
      <c r="F182" s="36">
        <v>0.91</v>
      </c>
      <c r="G182" s="36">
        <v>29.0</v>
      </c>
      <c r="H182" s="36">
        <v>0.8</v>
      </c>
      <c r="I182" s="36">
        <v>23.3</v>
      </c>
      <c r="J182" s="36">
        <v>74.4</v>
      </c>
      <c r="K182" s="36">
        <v>137.0</v>
      </c>
      <c r="L182" s="36">
        <v>34.6</v>
      </c>
      <c r="M182" s="36">
        <v>96.0</v>
      </c>
      <c r="N182" s="36">
        <v>47.0</v>
      </c>
      <c r="O182" s="36">
        <v>29.0</v>
      </c>
      <c r="P182" s="36" t="s">
        <v>102</v>
      </c>
      <c r="Q182" s="36">
        <v>0.4</v>
      </c>
      <c r="R182" s="36">
        <v>0.83</v>
      </c>
      <c r="S182" s="36">
        <v>1.25</v>
      </c>
      <c r="T182" s="36">
        <v>2.08</v>
      </c>
      <c r="U182" s="49">
        <f t="shared" si="1"/>
        <v>2080</v>
      </c>
      <c r="V182" s="21">
        <f t="shared" si="6"/>
        <v>2500</v>
      </c>
    </row>
    <row r="183" ht="14.25" customHeight="1">
      <c r="A183" s="38">
        <v>0.375</v>
      </c>
      <c r="B183" s="36">
        <v>137.0</v>
      </c>
      <c r="C183" s="36">
        <v>27.8</v>
      </c>
      <c r="D183" s="36">
        <v>1111.0</v>
      </c>
      <c r="E183" s="36">
        <v>1014.0</v>
      </c>
      <c r="F183" s="36">
        <v>0.91</v>
      </c>
      <c r="G183" s="36">
        <v>28.0</v>
      </c>
      <c r="H183" s="36">
        <v>0.83</v>
      </c>
      <c r="I183" s="36">
        <v>23.4</v>
      </c>
      <c r="J183" s="36">
        <v>74.2</v>
      </c>
      <c r="K183" s="36">
        <v>137.0</v>
      </c>
      <c r="L183" s="36">
        <v>34.6</v>
      </c>
      <c r="M183" s="36">
        <v>96.0</v>
      </c>
      <c r="N183" s="36">
        <v>47.0</v>
      </c>
      <c r="O183" s="36">
        <v>28.0</v>
      </c>
      <c r="P183" s="36" t="s">
        <v>102</v>
      </c>
      <c r="Q183" s="36">
        <v>0.38</v>
      </c>
      <c r="R183" s="36">
        <v>0.82</v>
      </c>
      <c r="S183" s="36">
        <v>1.31</v>
      </c>
      <c r="T183" s="36">
        <v>2.13</v>
      </c>
      <c r="U183" s="49">
        <f t="shared" si="1"/>
        <v>2130</v>
      </c>
      <c r="V183" s="21">
        <f t="shared" si="6"/>
        <v>12100</v>
      </c>
    </row>
    <row r="184" ht="14.25" customHeight="1">
      <c r="A184" s="38">
        <v>0.37569444444444444</v>
      </c>
      <c r="B184" s="36">
        <v>137.0</v>
      </c>
      <c r="C184" s="36">
        <v>28.9</v>
      </c>
      <c r="D184" s="36">
        <v>1157.0</v>
      </c>
      <c r="E184" s="36">
        <v>1051.0</v>
      </c>
      <c r="F184" s="36">
        <v>0.91</v>
      </c>
      <c r="G184" s="36">
        <v>30.0</v>
      </c>
      <c r="H184" s="36">
        <v>0.82</v>
      </c>
      <c r="I184" s="36">
        <v>24.3</v>
      </c>
      <c r="J184" s="36">
        <v>73.2</v>
      </c>
      <c r="K184" s="36">
        <v>138.0</v>
      </c>
      <c r="L184" s="36">
        <v>34.5</v>
      </c>
      <c r="M184" s="36">
        <v>96.0</v>
      </c>
      <c r="N184" s="36">
        <v>47.0</v>
      </c>
      <c r="O184" s="36">
        <v>30.0</v>
      </c>
      <c r="P184" s="36" t="s">
        <v>102</v>
      </c>
      <c r="Q184" s="36">
        <v>0.37</v>
      </c>
      <c r="R184" s="36">
        <v>0.74</v>
      </c>
      <c r="S184" s="36">
        <v>1.28</v>
      </c>
      <c r="T184" s="36">
        <v>2.02</v>
      </c>
      <c r="U184" s="49">
        <f t="shared" si="1"/>
        <v>2020</v>
      </c>
      <c r="V184" s="21">
        <f t="shared" si="6"/>
        <v>25600</v>
      </c>
    </row>
    <row r="185" ht="14.25" customHeight="1">
      <c r="A185" s="38">
        <v>0.37777777777777777</v>
      </c>
      <c r="B185" s="36">
        <v>138.0</v>
      </c>
      <c r="C185" s="36">
        <v>28.8</v>
      </c>
      <c r="D185" s="36">
        <v>1151.0</v>
      </c>
      <c r="E185" s="36">
        <v>1057.0</v>
      </c>
      <c r="F185" s="36">
        <v>0.92</v>
      </c>
      <c r="G185" s="36">
        <v>28.0</v>
      </c>
      <c r="H185" s="36">
        <v>0.88</v>
      </c>
      <c r="I185" s="36">
        <v>24.3</v>
      </c>
      <c r="J185" s="36">
        <v>73.2</v>
      </c>
      <c r="K185" s="36">
        <v>138.0</v>
      </c>
      <c r="L185" s="36">
        <v>34.2</v>
      </c>
      <c r="M185" s="36">
        <v>96.0</v>
      </c>
      <c r="N185" s="36">
        <v>48.0</v>
      </c>
      <c r="O185" s="36">
        <v>28.0</v>
      </c>
      <c r="P185" s="36" t="s">
        <v>102</v>
      </c>
      <c r="Q185" s="36">
        <v>0.38</v>
      </c>
      <c r="R185" s="36">
        <v>0.84</v>
      </c>
      <c r="S185" s="36">
        <v>1.34</v>
      </c>
      <c r="T185" s="36">
        <v>2.18</v>
      </c>
      <c r="U185" s="49">
        <f t="shared" si="1"/>
        <v>2180</v>
      </c>
      <c r="V185" s="21">
        <f t="shared" si="6"/>
        <v>10000</v>
      </c>
    </row>
    <row r="186" ht="14.25" customHeight="1">
      <c r="A186" s="38">
        <v>0.37916666666666665</v>
      </c>
      <c r="B186" s="36">
        <v>139.0</v>
      </c>
      <c r="C186" s="36">
        <v>28.4</v>
      </c>
      <c r="D186" s="36">
        <v>1136.0</v>
      </c>
      <c r="E186" s="36">
        <v>1051.0</v>
      </c>
      <c r="F186" s="36">
        <v>0.93</v>
      </c>
      <c r="G186" s="36">
        <v>26.0</v>
      </c>
      <c r="H186" s="36">
        <v>0.92</v>
      </c>
      <c r="I186" s="36">
        <v>24.1</v>
      </c>
      <c r="J186" s="36">
        <v>73.4</v>
      </c>
      <c r="K186" s="36">
        <v>139.0</v>
      </c>
      <c r="L186" s="36">
        <v>33.7</v>
      </c>
      <c r="M186" s="36">
        <v>96.0</v>
      </c>
      <c r="N186" s="36">
        <v>48.0</v>
      </c>
      <c r="O186" s="36">
        <v>26.0</v>
      </c>
      <c r="P186" s="36" t="s">
        <v>102</v>
      </c>
      <c r="Q186" s="36">
        <v>0.4</v>
      </c>
      <c r="R186" s="36">
        <v>0.9</v>
      </c>
      <c r="S186" s="36">
        <v>1.38</v>
      </c>
      <c r="T186" s="36">
        <v>2.28</v>
      </c>
      <c r="U186" s="49">
        <f t="shared" si="1"/>
        <v>2280</v>
      </c>
      <c r="V186" s="21">
        <f t="shared" si="6"/>
        <v>100</v>
      </c>
    </row>
    <row r="187" ht="14.25" customHeight="1">
      <c r="A187" s="38">
        <v>0.38055555555555554</v>
      </c>
      <c r="B187" s="36">
        <v>139.0</v>
      </c>
      <c r="C187" s="36">
        <v>28.1</v>
      </c>
      <c r="D187" s="36">
        <v>1124.0</v>
      </c>
      <c r="E187" s="36">
        <v>1045.0</v>
      </c>
      <c r="F187" s="36">
        <v>0.93</v>
      </c>
      <c r="G187" s="36">
        <v>26.0</v>
      </c>
      <c r="H187" s="36">
        <v>0.91</v>
      </c>
      <c r="I187" s="36">
        <v>24.0</v>
      </c>
      <c r="J187" s="36">
        <v>73.6</v>
      </c>
      <c r="K187" s="36">
        <v>140.0</v>
      </c>
      <c r="L187" s="36">
        <v>33.1</v>
      </c>
      <c r="M187" s="36">
        <v>97.0</v>
      </c>
      <c r="N187" s="36">
        <v>48.0</v>
      </c>
      <c r="O187" s="36">
        <v>26.0</v>
      </c>
      <c r="P187" s="36" t="s">
        <v>102</v>
      </c>
      <c r="Q187" s="36">
        <v>0.4</v>
      </c>
      <c r="R187" s="36">
        <v>0.9</v>
      </c>
      <c r="S187" s="36">
        <v>1.38</v>
      </c>
      <c r="T187" s="36">
        <v>2.29</v>
      </c>
      <c r="U187" s="49">
        <f t="shared" si="1"/>
        <v>2290</v>
      </c>
      <c r="V187" s="21">
        <f t="shared" si="6"/>
        <v>400</v>
      </c>
    </row>
    <row r="188" ht="14.25" customHeight="1">
      <c r="A188" s="38">
        <v>0.3819444444444444</v>
      </c>
      <c r="B188" s="36">
        <v>140.0</v>
      </c>
      <c r="C188" s="36">
        <v>27.6</v>
      </c>
      <c r="D188" s="36">
        <v>1102.0</v>
      </c>
      <c r="E188" s="36">
        <v>1019.0</v>
      </c>
      <c r="F188" s="36">
        <v>0.92</v>
      </c>
      <c r="G188" s="36">
        <v>26.0</v>
      </c>
      <c r="H188" s="36">
        <v>0.88</v>
      </c>
      <c r="I188" s="36">
        <v>23.3</v>
      </c>
      <c r="J188" s="36">
        <v>74.3</v>
      </c>
      <c r="K188" s="36">
        <v>140.0</v>
      </c>
      <c r="L188" s="36">
        <v>33.3</v>
      </c>
      <c r="M188" s="36">
        <v>96.0</v>
      </c>
      <c r="N188" s="36">
        <v>48.0</v>
      </c>
      <c r="O188" s="36">
        <v>26.0</v>
      </c>
      <c r="P188" s="36" t="s">
        <v>102</v>
      </c>
      <c r="Q188" s="36">
        <v>0.38</v>
      </c>
      <c r="R188" s="36">
        <v>0.86</v>
      </c>
      <c r="S188" s="36">
        <v>1.41</v>
      </c>
      <c r="T188" s="36">
        <v>2.27</v>
      </c>
      <c r="U188" s="49">
        <f t="shared" si="1"/>
        <v>2270</v>
      </c>
      <c r="V188" s="21">
        <f t="shared" si="6"/>
        <v>16900</v>
      </c>
    </row>
    <row r="189" ht="14.25" customHeight="1">
      <c r="A189" s="38">
        <v>0.38333333333333336</v>
      </c>
      <c r="B189" s="36">
        <v>141.0</v>
      </c>
      <c r="C189" s="36">
        <v>28.5</v>
      </c>
      <c r="D189" s="36">
        <v>1140.0</v>
      </c>
      <c r="E189" s="36">
        <v>1052.0</v>
      </c>
      <c r="F189" s="36">
        <v>0.92</v>
      </c>
      <c r="G189" s="36">
        <v>28.0</v>
      </c>
      <c r="H189" s="36">
        <v>0.87</v>
      </c>
      <c r="I189" s="36">
        <v>24.2</v>
      </c>
      <c r="J189" s="36">
        <v>73.3</v>
      </c>
      <c r="K189" s="36">
        <v>140.0</v>
      </c>
      <c r="L189" s="36">
        <v>33.3</v>
      </c>
      <c r="M189" s="36">
        <v>96.0</v>
      </c>
      <c r="N189" s="36">
        <v>48.0</v>
      </c>
      <c r="O189" s="36">
        <v>28.0</v>
      </c>
      <c r="P189" s="36" t="s">
        <v>102</v>
      </c>
      <c r="Q189" s="36">
        <v>0.38</v>
      </c>
      <c r="R189" s="36">
        <v>0.81</v>
      </c>
      <c r="S189" s="36">
        <v>1.33</v>
      </c>
      <c r="T189" s="36">
        <v>2.14</v>
      </c>
      <c r="U189" s="49">
        <f t="shared" si="1"/>
        <v>2140</v>
      </c>
      <c r="V189" s="21">
        <f t="shared" si="6"/>
        <v>25600</v>
      </c>
    </row>
    <row r="190" ht="14.25" customHeight="1">
      <c r="A190" s="38">
        <v>0.38472222222222224</v>
      </c>
      <c r="B190" s="36">
        <v>141.0</v>
      </c>
      <c r="C190" s="36">
        <v>29.2</v>
      </c>
      <c r="D190" s="36">
        <v>1170.0</v>
      </c>
      <c r="E190" s="36">
        <v>1068.0</v>
      </c>
      <c r="F190" s="36">
        <v>0.91</v>
      </c>
      <c r="G190" s="36">
        <v>30.0</v>
      </c>
      <c r="H190" s="36">
        <v>0.81</v>
      </c>
      <c r="I190" s="36">
        <v>24.6</v>
      </c>
      <c r="J190" s="36">
        <v>72.9</v>
      </c>
      <c r="K190" s="36">
        <v>140.0</v>
      </c>
      <c r="L190" s="36">
        <v>33.1</v>
      </c>
      <c r="M190" s="36">
        <v>96.0</v>
      </c>
      <c r="N190" s="36">
        <v>48.0</v>
      </c>
      <c r="O190" s="36">
        <v>30.0</v>
      </c>
      <c r="P190" s="36" t="s">
        <v>102</v>
      </c>
      <c r="Q190" s="36">
        <v>0.38</v>
      </c>
      <c r="R190" s="36">
        <v>0.76</v>
      </c>
      <c r="S190" s="36">
        <v>1.22</v>
      </c>
      <c r="T190" s="36">
        <v>1.98</v>
      </c>
      <c r="U190" s="49">
        <f t="shared" si="1"/>
        <v>1980</v>
      </c>
      <c r="V190" s="21">
        <f t="shared" si="6"/>
        <v>10000</v>
      </c>
    </row>
    <row r="191" ht="14.25" customHeight="1">
      <c r="A191" s="38">
        <v>0.3861111111111111</v>
      </c>
      <c r="B191" s="36">
        <v>142.0</v>
      </c>
      <c r="C191" s="36">
        <v>29.0</v>
      </c>
      <c r="D191" s="36">
        <v>1160.0</v>
      </c>
      <c r="E191" s="36">
        <v>1072.0</v>
      </c>
      <c r="F191" s="36">
        <v>0.92</v>
      </c>
      <c r="G191" s="36">
        <v>29.0</v>
      </c>
      <c r="H191" s="36">
        <v>0.85</v>
      </c>
      <c r="I191" s="36">
        <v>24.6</v>
      </c>
      <c r="J191" s="36">
        <v>72.9</v>
      </c>
      <c r="K191" s="36">
        <v>140.0</v>
      </c>
      <c r="L191" s="36">
        <v>33.3</v>
      </c>
      <c r="M191" s="36">
        <v>96.0</v>
      </c>
      <c r="N191" s="36">
        <v>48.0</v>
      </c>
      <c r="O191" s="36">
        <v>29.0</v>
      </c>
      <c r="P191" s="36" t="s">
        <v>102</v>
      </c>
      <c r="Q191" s="36">
        <v>0.39</v>
      </c>
      <c r="R191" s="36">
        <v>0.81</v>
      </c>
      <c r="S191" s="36">
        <v>1.27</v>
      </c>
      <c r="T191" s="36">
        <v>2.08</v>
      </c>
      <c r="U191" s="49">
        <f t="shared" si="1"/>
        <v>2080</v>
      </c>
      <c r="V191" s="21">
        <f t="shared" si="6"/>
        <v>100</v>
      </c>
    </row>
    <row r="192" ht="14.25" customHeight="1">
      <c r="A192" s="38">
        <v>0.3875</v>
      </c>
      <c r="B192" s="36">
        <v>143.0</v>
      </c>
      <c r="C192" s="36">
        <v>30.0</v>
      </c>
      <c r="D192" s="36">
        <v>1199.0</v>
      </c>
      <c r="E192" s="36">
        <v>1097.0</v>
      </c>
      <c r="F192" s="36">
        <v>0.91</v>
      </c>
      <c r="G192" s="36">
        <v>29.0</v>
      </c>
      <c r="H192" s="36">
        <v>0.86</v>
      </c>
      <c r="I192" s="36">
        <v>24.8</v>
      </c>
      <c r="J192" s="36">
        <v>72.6</v>
      </c>
      <c r="K192" s="36">
        <v>140.0</v>
      </c>
      <c r="L192" s="36">
        <v>33.4</v>
      </c>
      <c r="M192" s="36">
        <v>95.0</v>
      </c>
      <c r="N192" s="36">
        <v>48.0</v>
      </c>
      <c r="O192" s="36">
        <v>29.0</v>
      </c>
      <c r="P192" s="36" t="s">
        <v>102</v>
      </c>
      <c r="Q192" s="36">
        <v>0.36</v>
      </c>
      <c r="R192" s="36">
        <v>0.76</v>
      </c>
      <c r="S192" s="36">
        <v>1.33</v>
      </c>
      <c r="T192" s="36">
        <v>2.09</v>
      </c>
      <c r="U192" s="49">
        <f t="shared" si="1"/>
        <v>2090</v>
      </c>
      <c r="V192" s="21">
        <f t="shared" si="6"/>
        <v>100</v>
      </c>
    </row>
    <row r="193" ht="14.25" customHeight="1">
      <c r="A193" s="38">
        <v>0.3888888888888889</v>
      </c>
      <c r="B193" s="36">
        <v>143.0</v>
      </c>
      <c r="C193" s="36">
        <v>29.6</v>
      </c>
      <c r="D193" s="36">
        <v>1185.0</v>
      </c>
      <c r="E193" s="36">
        <v>1073.0</v>
      </c>
      <c r="F193" s="36">
        <v>0.91</v>
      </c>
      <c r="G193" s="36">
        <v>29.0</v>
      </c>
      <c r="H193" s="36">
        <v>0.84</v>
      </c>
      <c r="I193" s="36">
        <v>24.3</v>
      </c>
      <c r="J193" s="36">
        <v>73.3</v>
      </c>
      <c r="K193" s="36">
        <v>138.0</v>
      </c>
      <c r="L193" s="36">
        <v>34.3</v>
      </c>
      <c r="M193" s="36">
        <v>95.0</v>
      </c>
      <c r="N193" s="36">
        <v>49.0</v>
      </c>
      <c r="O193" s="36">
        <v>29.0</v>
      </c>
      <c r="P193" s="36" t="s">
        <v>102</v>
      </c>
      <c r="Q193" s="36">
        <v>0.38</v>
      </c>
      <c r="R193" s="36">
        <v>0.78</v>
      </c>
      <c r="S193" s="36">
        <v>1.3</v>
      </c>
      <c r="T193" s="36">
        <v>2.08</v>
      </c>
      <c r="U193" s="49">
        <f t="shared" si="1"/>
        <v>2080</v>
      </c>
      <c r="V193" s="21">
        <f t="shared" si="6"/>
        <v>1600</v>
      </c>
    </row>
    <row r="194" ht="14.25" customHeight="1">
      <c r="A194" s="38">
        <v>0.3909722222222222</v>
      </c>
      <c r="B194" s="36">
        <v>144.0</v>
      </c>
      <c r="C194" s="36">
        <v>30.3</v>
      </c>
      <c r="D194" s="36">
        <v>1211.0</v>
      </c>
      <c r="E194" s="36">
        <v>1092.0</v>
      </c>
      <c r="F194" s="36">
        <v>0.9</v>
      </c>
      <c r="G194" s="36">
        <v>28.0</v>
      </c>
      <c r="H194" s="36">
        <v>0.86</v>
      </c>
      <c r="I194" s="36">
        <v>24.5</v>
      </c>
      <c r="J194" s="36">
        <v>73.0</v>
      </c>
      <c r="K194" s="36">
        <v>138.0</v>
      </c>
      <c r="L194" s="36">
        <v>34.3</v>
      </c>
      <c r="M194" s="36">
        <v>94.0</v>
      </c>
      <c r="N194" s="36">
        <v>49.0</v>
      </c>
      <c r="O194" s="36">
        <v>28.0</v>
      </c>
      <c r="P194" s="36" t="s">
        <v>102</v>
      </c>
      <c r="Q194" s="36">
        <v>0.38</v>
      </c>
      <c r="R194" s="36">
        <v>0.81</v>
      </c>
      <c r="S194" s="36">
        <v>1.31</v>
      </c>
      <c r="T194" s="36">
        <v>2.12</v>
      </c>
      <c r="U194" s="49">
        <f t="shared" si="1"/>
        <v>2120</v>
      </c>
      <c r="V194" s="21">
        <f t="shared" si="6"/>
        <v>2500</v>
      </c>
    </row>
    <row r="195" ht="14.25" customHeight="1">
      <c r="A195" s="38">
        <v>0.3923611111111111</v>
      </c>
      <c r="B195" s="36">
        <v>145.0</v>
      </c>
      <c r="C195" s="36">
        <v>31.5</v>
      </c>
      <c r="D195" s="36">
        <v>1261.0</v>
      </c>
      <c r="E195" s="36">
        <v>1138.0</v>
      </c>
      <c r="F195" s="36">
        <v>0.9</v>
      </c>
      <c r="G195" s="36">
        <v>29.0</v>
      </c>
      <c r="H195" s="36">
        <v>0.88</v>
      </c>
      <c r="I195" s="36">
        <v>25.6</v>
      </c>
      <c r="J195" s="36">
        <v>71.8</v>
      </c>
      <c r="K195" s="36">
        <v>140.0</v>
      </c>
      <c r="L195" s="36">
        <v>33.6</v>
      </c>
      <c r="M195" s="36">
        <v>94.0</v>
      </c>
      <c r="N195" s="36">
        <v>49.0</v>
      </c>
      <c r="O195" s="36">
        <v>29.0</v>
      </c>
      <c r="P195" s="36" t="s">
        <v>102</v>
      </c>
      <c r="Q195" s="36">
        <v>0.37</v>
      </c>
      <c r="R195" s="36">
        <v>0.76</v>
      </c>
      <c r="S195" s="36">
        <v>1.31</v>
      </c>
      <c r="T195" s="36">
        <v>2.07</v>
      </c>
      <c r="U195" s="49">
        <f t="shared" si="1"/>
        <v>2070</v>
      </c>
      <c r="V195" s="21">
        <f t="shared" si="6"/>
        <v>2500</v>
      </c>
    </row>
    <row r="196" ht="14.25" customHeight="1">
      <c r="A196" s="38">
        <v>0.39375</v>
      </c>
      <c r="B196" s="36">
        <v>146.0</v>
      </c>
      <c r="C196" s="36">
        <v>30.3</v>
      </c>
      <c r="D196" s="36">
        <v>1210.0</v>
      </c>
      <c r="E196" s="36">
        <v>1091.0</v>
      </c>
      <c r="F196" s="36">
        <v>0.9</v>
      </c>
      <c r="G196" s="36">
        <v>28.0</v>
      </c>
      <c r="H196" s="36">
        <v>0.86</v>
      </c>
      <c r="I196" s="36">
        <v>24.5</v>
      </c>
      <c r="J196" s="36">
        <v>73.0</v>
      </c>
      <c r="K196" s="36">
        <v>139.0</v>
      </c>
      <c r="L196" s="36">
        <v>33.7</v>
      </c>
      <c r="M196" s="36">
        <v>94.0</v>
      </c>
      <c r="N196" s="36">
        <v>49.0</v>
      </c>
      <c r="O196" s="36">
        <v>28.0</v>
      </c>
      <c r="P196" s="36" t="s">
        <v>102</v>
      </c>
      <c r="Q196" s="36">
        <v>0.38</v>
      </c>
      <c r="R196" s="36">
        <v>0.81</v>
      </c>
      <c r="S196" s="36">
        <v>1.31</v>
      </c>
      <c r="T196" s="36">
        <v>2.12</v>
      </c>
      <c r="U196" s="49">
        <f t="shared" si="1"/>
        <v>2120</v>
      </c>
      <c r="V196" s="21">
        <f t="shared" si="6"/>
        <v>1600</v>
      </c>
    </row>
    <row r="197" ht="14.25" customHeight="1">
      <c r="A197" s="38">
        <v>0.3951388888888889</v>
      </c>
      <c r="B197" s="36">
        <v>146.0</v>
      </c>
      <c r="C197" s="36">
        <v>30.6</v>
      </c>
      <c r="D197" s="36">
        <v>1226.0</v>
      </c>
      <c r="E197" s="36">
        <v>1104.0</v>
      </c>
      <c r="F197" s="36">
        <v>0.9</v>
      </c>
      <c r="G197" s="36">
        <v>28.0</v>
      </c>
      <c r="H197" s="36">
        <v>0.89</v>
      </c>
      <c r="I197" s="36">
        <v>24.8</v>
      </c>
      <c r="J197" s="36">
        <v>72.7</v>
      </c>
      <c r="K197" s="36">
        <v>140.0</v>
      </c>
      <c r="L197" s="36">
        <v>33.1</v>
      </c>
      <c r="M197" s="36">
        <v>94.0</v>
      </c>
      <c r="N197" s="36">
        <v>49.0</v>
      </c>
      <c r="O197" s="36">
        <v>28.0</v>
      </c>
      <c r="P197" s="36" t="s">
        <v>102</v>
      </c>
      <c r="Q197" s="36">
        <v>0.38</v>
      </c>
      <c r="R197" s="36">
        <v>0.82</v>
      </c>
      <c r="S197" s="36">
        <v>1.34</v>
      </c>
      <c r="T197" s="36">
        <v>2.16</v>
      </c>
      <c r="U197" s="49">
        <f t="shared" si="1"/>
        <v>2160</v>
      </c>
      <c r="V197" s="21">
        <f t="shared" si="6"/>
        <v>4900</v>
      </c>
    </row>
    <row r="198" ht="14.25" customHeight="1">
      <c r="A198" s="38">
        <v>0.39652777777777776</v>
      </c>
      <c r="B198" s="36">
        <v>147.0</v>
      </c>
      <c r="C198" s="36">
        <v>31.0</v>
      </c>
      <c r="D198" s="36">
        <v>1241.0</v>
      </c>
      <c r="E198" s="36">
        <v>1113.0</v>
      </c>
      <c r="F198" s="36">
        <v>0.9</v>
      </c>
      <c r="G198" s="36">
        <v>29.0</v>
      </c>
      <c r="H198" s="36">
        <v>0.88</v>
      </c>
      <c r="I198" s="36">
        <v>25.2</v>
      </c>
      <c r="J198" s="36">
        <v>72.3</v>
      </c>
      <c r="K198" s="36">
        <v>141.0</v>
      </c>
      <c r="L198" s="36">
        <v>33.0</v>
      </c>
      <c r="M198" s="36">
        <v>94.0</v>
      </c>
      <c r="N198" s="36">
        <v>49.0</v>
      </c>
      <c r="O198" s="36">
        <v>29.0</v>
      </c>
      <c r="P198" s="36" t="s">
        <v>102</v>
      </c>
      <c r="Q198" s="36">
        <v>0.38</v>
      </c>
      <c r="R198" s="36">
        <v>0.79</v>
      </c>
      <c r="S198" s="36">
        <v>1.31</v>
      </c>
      <c r="T198" s="36">
        <v>2.09</v>
      </c>
      <c r="U198" s="49">
        <f t="shared" si="1"/>
        <v>2090</v>
      </c>
      <c r="V198" s="21">
        <f t="shared" si="6"/>
        <v>900</v>
      </c>
    </row>
    <row r="199" ht="14.25" customHeight="1">
      <c r="A199" s="38">
        <v>0.39791666666666664</v>
      </c>
      <c r="B199" s="36">
        <v>148.0</v>
      </c>
      <c r="C199" s="36">
        <v>29.5</v>
      </c>
      <c r="D199" s="36">
        <v>1182.0</v>
      </c>
      <c r="E199" s="36">
        <v>1070.0</v>
      </c>
      <c r="F199" s="36">
        <v>0.91</v>
      </c>
      <c r="G199" s="36">
        <v>28.0</v>
      </c>
      <c r="H199" s="36">
        <v>0.86</v>
      </c>
      <c r="I199" s="36">
        <v>24.3</v>
      </c>
      <c r="J199" s="36">
        <v>73.2</v>
      </c>
      <c r="K199" s="36">
        <v>141.0</v>
      </c>
      <c r="L199" s="36">
        <v>33.0</v>
      </c>
      <c r="M199" s="36">
        <v>95.0</v>
      </c>
      <c r="N199" s="36">
        <v>48.0</v>
      </c>
      <c r="O199" s="36">
        <v>28.0</v>
      </c>
      <c r="P199" s="36" t="s">
        <v>102</v>
      </c>
      <c r="Q199" s="36">
        <v>0.42</v>
      </c>
      <c r="R199" s="36">
        <v>0.89</v>
      </c>
      <c r="S199" s="36">
        <v>1.23</v>
      </c>
      <c r="T199" s="36">
        <v>2.12</v>
      </c>
      <c r="U199" s="49">
        <f t="shared" si="1"/>
        <v>2120</v>
      </c>
      <c r="V199" s="21">
        <f t="shared" si="6"/>
        <v>1600</v>
      </c>
    </row>
    <row r="200" ht="14.25" customHeight="1">
      <c r="A200" s="38">
        <v>0.3993055555555556</v>
      </c>
      <c r="B200" s="36">
        <v>148.0</v>
      </c>
      <c r="C200" s="36">
        <v>28.8</v>
      </c>
      <c r="D200" s="36">
        <v>1152.0</v>
      </c>
      <c r="E200" s="36">
        <v>1045.0</v>
      </c>
      <c r="F200" s="36">
        <v>0.91</v>
      </c>
      <c r="G200" s="36">
        <v>28.0</v>
      </c>
      <c r="H200" s="36">
        <v>0.85</v>
      </c>
      <c r="I200" s="36">
        <v>23.6</v>
      </c>
      <c r="J200" s="36">
        <v>74.0</v>
      </c>
      <c r="K200" s="36">
        <v>141.0</v>
      </c>
      <c r="L200" s="36">
        <v>32.6</v>
      </c>
      <c r="M200" s="36">
        <v>95.0</v>
      </c>
      <c r="N200" s="36">
        <v>49.0</v>
      </c>
      <c r="O200" s="36">
        <v>28.0</v>
      </c>
      <c r="P200" s="36" t="s">
        <v>102</v>
      </c>
      <c r="Q200" s="36">
        <v>0.4</v>
      </c>
      <c r="R200" s="36">
        <v>0.87</v>
      </c>
      <c r="S200" s="36">
        <v>1.29</v>
      </c>
      <c r="T200" s="36">
        <v>2.16</v>
      </c>
      <c r="U200" s="49">
        <f t="shared" si="1"/>
        <v>2160</v>
      </c>
      <c r="V200" s="21">
        <f t="shared" si="6"/>
        <v>2500</v>
      </c>
    </row>
    <row r="201" ht="14.25" customHeight="1">
      <c r="A201" s="38">
        <v>0.40069444444444446</v>
      </c>
      <c r="B201" s="36">
        <v>149.0</v>
      </c>
      <c r="C201" s="36">
        <v>29.8</v>
      </c>
      <c r="D201" s="36">
        <v>1191.0</v>
      </c>
      <c r="E201" s="36">
        <v>1064.0</v>
      </c>
      <c r="F201" s="36">
        <v>0.89</v>
      </c>
      <c r="G201" s="36">
        <v>28.0</v>
      </c>
      <c r="H201" s="36">
        <v>0.83</v>
      </c>
      <c r="I201" s="36">
        <v>23.7</v>
      </c>
      <c r="J201" s="36">
        <v>73.9</v>
      </c>
      <c r="K201" s="36">
        <v>141.0</v>
      </c>
      <c r="L201" s="36">
        <v>32.6</v>
      </c>
      <c r="M201" s="36">
        <v>93.0</v>
      </c>
      <c r="N201" s="36">
        <v>49.0</v>
      </c>
      <c r="O201" s="36">
        <v>28.0</v>
      </c>
      <c r="P201" s="36" t="s">
        <v>102</v>
      </c>
      <c r="Q201" s="36">
        <v>0.38</v>
      </c>
      <c r="R201" s="36">
        <v>0.8</v>
      </c>
      <c r="S201" s="36">
        <v>1.3</v>
      </c>
      <c r="T201" s="36">
        <v>2.11</v>
      </c>
      <c r="U201" s="49">
        <f t="shared" si="1"/>
        <v>2110</v>
      </c>
      <c r="V201" s="21">
        <f t="shared" si="6"/>
        <v>2500</v>
      </c>
    </row>
    <row r="202" ht="14.25" customHeight="1">
      <c r="A202" s="38">
        <v>0.40208333333333335</v>
      </c>
      <c r="B202" s="36">
        <v>150.0</v>
      </c>
      <c r="C202" s="36">
        <v>30.0</v>
      </c>
      <c r="D202" s="36">
        <v>1198.0</v>
      </c>
      <c r="E202" s="36">
        <v>1064.0</v>
      </c>
      <c r="F202" s="36">
        <v>0.89</v>
      </c>
      <c r="G202" s="36">
        <v>29.0</v>
      </c>
      <c r="H202" s="36">
        <v>0.8</v>
      </c>
      <c r="I202" s="36">
        <v>23.4</v>
      </c>
      <c r="J202" s="36">
        <v>74.3</v>
      </c>
      <c r="K202" s="36">
        <v>142.0</v>
      </c>
      <c r="L202" s="36">
        <v>32.5</v>
      </c>
      <c r="M202" s="36">
        <v>93.0</v>
      </c>
      <c r="N202" s="36">
        <v>50.0</v>
      </c>
      <c r="O202" s="36">
        <v>29.0</v>
      </c>
      <c r="P202" s="36" t="s">
        <v>102</v>
      </c>
      <c r="Q202" s="36">
        <v>0.38</v>
      </c>
      <c r="R202" s="36">
        <v>0.78</v>
      </c>
      <c r="S202" s="36">
        <v>1.28</v>
      </c>
      <c r="T202" s="36">
        <v>2.06</v>
      </c>
      <c r="U202" s="49">
        <f t="shared" si="1"/>
        <v>2060</v>
      </c>
      <c r="V202" s="21">
        <f t="shared" si="6"/>
        <v>3600</v>
      </c>
    </row>
    <row r="203" ht="14.25" customHeight="1">
      <c r="A203" s="38">
        <v>0.40347222222222223</v>
      </c>
      <c r="B203" s="36">
        <v>150.0</v>
      </c>
      <c r="C203" s="36">
        <v>31.3</v>
      </c>
      <c r="D203" s="36">
        <v>1250.0</v>
      </c>
      <c r="E203" s="36">
        <v>1096.0</v>
      </c>
      <c r="F203" s="36">
        <v>0.88</v>
      </c>
      <c r="G203" s="36">
        <v>30.0</v>
      </c>
      <c r="H203" s="36">
        <v>0.8</v>
      </c>
      <c r="I203" s="36">
        <v>23.9</v>
      </c>
      <c r="J203" s="36">
        <v>73.7</v>
      </c>
      <c r="K203" s="36">
        <v>141.0</v>
      </c>
      <c r="L203" s="36">
        <v>32.6</v>
      </c>
      <c r="M203" s="36">
        <v>92.0</v>
      </c>
      <c r="N203" s="36">
        <v>50.0</v>
      </c>
      <c r="O203" s="36">
        <v>30.0</v>
      </c>
      <c r="P203" s="36" t="s">
        <v>102</v>
      </c>
      <c r="Q203" s="36">
        <v>0.35</v>
      </c>
      <c r="R203" s="36">
        <v>0.7</v>
      </c>
      <c r="S203" s="36">
        <v>1.29</v>
      </c>
      <c r="T203" s="36">
        <v>2.0</v>
      </c>
      <c r="U203" s="49">
        <f t="shared" si="1"/>
        <v>2000</v>
      </c>
      <c r="V203" s="21">
        <f t="shared" si="6"/>
        <v>900</v>
      </c>
    </row>
    <row r="204" ht="14.25" customHeight="1">
      <c r="A204" s="38">
        <v>0.4048611111111111</v>
      </c>
      <c r="B204" s="36">
        <v>151.0</v>
      </c>
      <c r="C204" s="36">
        <v>31.1</v>
      </c>
      <c r="D204" s="36">
        <v>1243.0</v>
      </c>
      <c r="E204" s="36">
        <v>1099.0</v>
      </c>
      <c r="F204" s="36">
        <v>0.88</v>
      </c>
      <c r="G204" s="36">
        <v>30.0</v>
      </c>
      <c r="H204" s="36">
        <v>0.81</v>
      </c>
      <c r="I204" s="36">
        <v>24.0</v>
      </c>
      <c r="J204" s="36">
        <v>73.6</v>
      </c>
      <c r="K204" s="36">
        <v>142.0</v>
      </c>
      <c r="L204" s="36">
        <v>32.3</v>
      </c>
      <c r="M204" s="36">
        <v>92.0</v>
      </c>
      <c r="N204" s="36">
        <v>50.0</v>
      </c>
      <c r="O204" s="36">
        <v>30.0</v>
      </c>
      <c r="P204" s="36" t="s">
        <v>102</v>
      </c>
      <c r="Q204" s="36">
        <v>0.35</v>
      </c>
      <c r="R204" s="36">
        <v>0.72</v>
      </c>
      <c r="S204" s="36">
        <v>1.31</v>
      </c>
      <c r="T204" s="36">
        <v>2.03</v>
      </c>
      <c r="U204" s="49">
        <f t="shared" si="1"/>
        <v>2030</v>
      </c>
      <c r="V204" s="21">
        <f t="shared" si="6"/>
        <v>2500</v>
      </c>
    </row>
    <row r="205" ht="14.25" customHeight="1">
      <c r="A205" s="38">
        <v>0.40625</v>
      </c>
      <c r="B205" s="36">
        <v>152.0</v>
      </c>
      <c r="C205" s="36">
        <v>30.8</v>
      </c>
      <c r="D205" s="36">
        <v>1234.0</v>
      </c>
      <c r="E205" s="36">
        <v>1090.0</v>
      </c>
      <c r="F205" s="36">
        <v>0.88</v>
      </c>
      <c r="G205" s="36">
        <v>29.0</v>
      </c>
      <c r="H205" s="36">
        <v>0.81</v>
      </c>
      <c r="I205" s="36">
        <v>23.4</v>
      </c>
      <c r="J205" s="36">
        <v>74.3</v>
      </c>
      <c r="K205" s="36">
        <v>142.0</v>
      </c>
      <c r="L205" s="36">
        <v>32.3</v>
      </c>
      <c r="M205" s="36">
        <v>92.0</v>
      </c>
      <c r="N205" s="36">
        <v>51.0</v>
      </c>
      <c r="O205" s="36">
        <v>29.0</v>
      </c>
      <c r="P205" s="36" t="s">
        <v>102</v>
      </c>
      <c r="Q205" s="36">
        <v>0.38</v>
      </c>
      <c r="R205" s="36">
        <v>0.78</v>
      </c>
      <c r="S205" s="36">
        <v>1.3</v>
      </c>
      <c r="T205" s="36">
        <v>2.08</v>
      </c>
      <c r="U205" s="49">
        <f t="shared" si="1"/>
        <v>2080</v>
      </c>
      <c r="V205" s="8">
        <v>0.0</v>
      </c>
    </row>
    <row r="206" ht="14.25" customHeight="1">
      <c r="A206" s="36" t="s">
        <v>81</v>
      </c>
      <c r="U206" s="49">
        <f t="shared" si="1"/>
        <v>0</v>
      </c>
    </row>
    <row r="207" ht="14.25" customHeight="1">
      <c r="A207" s="38">
        <v>0.4076388888888889</v>
      </c>
      <c r="B207" s="36">
        <v>152.0</v>
      </c>
      <c r="C207" s="36">
        <v>32.5</v>
      </c>
      <c r="D207" s="36">
        <v>1301.0</v>
      </c>
      <c r="E207" s="36">
        <v>1158.0</v>
      </c>
      <c r="F207" s="36">
        <v>0.89</v>
      </c>
      <c r="G207" s="36">
        <v>30.0</v>
      </c>
      <c r="H207" s="36">
        <v>0.82</v>
      </c>
      <c r="I207" s="36">
        <v>25.0</v>
      </c>
      <c r="J207" s="36">
        <v>72.4</v>
      </c>
      <c r="K207" s="36">
        <v>143.0</v>
      </c>
      <c r="L207" s="36">
        <v>32.0</v>
      </c>
      <c r="M207" s="36">
        <v>92.0</v>
      </c>
      <c r="N207" s="36">
        <v>51.0</v>
      </c>
      <c r="O207" s="36">
        <v>30.0</v>
      </c>
      <c r="P207" s="36" t="s">
        <v>102</v>
      </c>
      <c r="Q207" s="36">
        <v>0.38</v>
      </c>
      <c r="R207" s="36">
        <v>0.75</v>
      </c>
      <c r="S207" s="36">
        <v>1.23</v>
      </c>
      <c r="T207" s="36">
        <v>1.98</v>
      </c>
      <c r="U207" s="49">
        <f t="shared" si="1"/>
        <v>1980</v>
      </c>
      <c r="V207" s="21">
        <f>(U207-U208)^2</f>
        <v>14400</v>
      </c>
      <c r="W207" s="21">
        <f>SQRT(AVERAGE(V207:V352))</f>
        <v>78.10249676</v>
      </c>
    </row>
    <row r="208" ht="14.25" customHeight="1">
      <c r="A208" s="38">
        <v>0.40902777777777777</v>
      </c>
      <c r="B208" s="36">
        <v>153.0</v>
      </c>
      <c r="C208" s="36">
        <v>33.7</v>
      </c>
      <c r="D208" s="36">
        <v>1346.0</v>
      </c>
      <c r="E208" s="36">
        <v>1189.0</v>
      </c>
      <c r="F208" s="36">
        <v>0.88</v>
      </c>
      <c r="G208" s="36">
        <v>32.0</v>
      </c>
      <c r="H208" s="36">
        <v>0.8</v>
      </c>
      <c r="I208" s="36">
        <v>25.8</v>
      </c>
      <c r="J208" s="36">
        <v>71.6</v>
      </c>
      <c r="K208" s="36">
        <v>147.0</v>
      </c>
      <c r="L208" s="36">
        <v>29.8</v>
      </c>
      <c r="M208" s="36">
        <v>92.0</v>
      </c>
      <c r="N208" s="36">
        <v>51.0</v>
      </c>
      <c r="O208" s="36">
        <v>32.0</v>
      </c>
      <c r="P208" s="36" t="s">
        <v>102</v>
      </c>
      <c r="Q208" s="36">
        <v>0.38</v>
      </c>
      <c r="R208" s="36">
        <v>0.7</v>
      </c>
      <c r="S208" s="36">
        <v>1.16</v>
      </c>
      <c r="T208" s="36">
        <v>1.86</v>
      </c>
      <c r="U208" s="49">
        <f t="shared" si="1"/>
        <v>1860</v>
      </c>
      <c r="V208" s="21">
        <f>(U208-U210)^2</f>
        <v>10000</v>
      </c>
    </row>
    <row r="209" ht="14.25" customHeight="1">
      <c r="A209" s="36" t="s">
        <v>82</v>
      </c>
      <c r="U209" s="49">
        <f t="shared" si="1"/>
        <v>0</v>
      </c>
      <c r="V209" s="8">
        <v>0.0</v>
      </c>
    </row>
    <row r="210" ht="14.25" customHeight="1">
      <c r="A210" s="38">
        <v>0.4097222222222222</v>
      </c>
      <c r="B210" s="36">
        <v>153.0</v>
      </c>
      <c r="C210" s="36">
        <v>33.9</v>
      </c>
      <c r="D210" s="36">
        <v>1356.0</v>
      </c>
      <c r="E210" s="36">
        <v>1227.0</v>
      </c>
      <c r="F210" s="36">
        <v>0.9</v>
      </c>
      <c r="G210" s="36">
        <v>34.0</v>
      </c>
      <c r="H210" s="36">
        <v>0.79</v>
      </c>
      <c r="I210" s="36">
        <v>27.0</v>
      </c>
      <c r="J210" s="36">
        <v>70.3</v>
      </c>
      <c r="K210" s="36">
        <v>149.0</v>
      </c>
      <c r="L210" s="36">
        <v>29.1</v>
      </c>
      <c r="M210" s="36">
        <v>94.0</v>
      </c>
      <c r="N210" s="36">
        <v>50.0</v>
      </c>
      <c r="O210" s="36">
        <v>34.0</v>
      </c>
      <c r="P210" s="36" t="s">
        <v>102</v>
      </c>
      <c r="Q210" s="36">
        <v>0.4</v>
      </c>
      <c r="R210" s="36">
        <v>0.7</v>
      </c>
      <c r="S210" s="36">
        <v>1.06</v>
      </c>
      <c r="T210" s="36">
        <v>1.76</v>
      </c>
      <c r="U210" s="49">
        <f t="shared" si="1"/>
        <v>1760</v>
      </c>
      <c r="V210" s="8">
        <v>0.0</v>
      </c>
    </row>
    <row r="211" ht="14.25" customHeight="1">
      <c r="A211" s="36" t="s">
        <v>88</v>
      </c>
      <c r="U211" s="48"/>
    </row>
    <row r="212" ht="14.25" customHeight="1">
      <c r="U212" s="48"/>
    </row>
    <row r="213" ht="14.25" customHeight="1">
      <c r="U213" s="48"/>
    </row>
    <row r="214" ht="14.25" customHeight="1">
      <c r="U214" s="48"/>
    </row>
    <row r="215" ht="14.25" customHeight="1">
      <c r="U215" s="48"/>
    </row>
    <row r="216" ht="14.25" customHeight="1">
      <c r="U216" s="48"/>
    </row>
    <row r="217" ht="14.25" customHeight="1">
      <c r="U217" s="48"/>
    </row>
    <row r="218" ht="14.25" customHeight="1">
      <c r="U218" s="48"/>
    </row>
    <row r="219" ht="14.25" customHeight="1">
      <c r="U219" s="48"/>
    </row>
    <row r="220" ht="14.25" customHeight="1">
      <c r="U220" s="48"/>
    </row>
    <row r="221" ht="14.25" customHeight="1">
      <c r="U221" s="48"/>
    </row>
    <row r="222" ht="14.25" customHeight="1">
      <c r="U222" s="48"/>
    </row>
    <row r="223" ht="14.25" customHeight="1">
      <c r="U223" s="48"/>
    </row>
    <row r="224" ht="14.25" customHeight="1">
      <c r="U224" s="48"/>
    </row>
    <row r="225" ht="14.25" customHeight="1">
      <c r="U225" s="48"/>
    </row>
    <row r="226" ht="14.25" customHeight="1">
      <c r="U226" s="48"/>
    </row>
    <row r="227" ht="14.25" customHeight="1">
      <c r="U227" s="48"/>
    </row>
    <row r="228" ht="14.25" customHeight="1">
      <c r="U228" s="48"/>
    </row>
    <row r="229" ht="14.25" customHeight="1">
      <c r="U229" s="48"/>
    </row>
    <row r="230" ht="14.25" customHeight="1">
      <c r="U230" s="48"/>
    </row>
    <row r="231" ht="14.25" customHeight="1">
      <c r="U231" s="48"/>
    </row>
    <row r="232" ht="14.25" customHeight="1">
      <c r="U232" s="48"/>
    </row>
    <row r="233" ht="14.25" customHeight="1">
      <c r="U233" s="48"/>
    </row>
    <row r="234" ht="14.25" customHeight="1">
      <c r="U234" s="48"/>
    </row>
    <row r="235" ht="14.25" customHeight="1">
      <c r="U235" s="48"/>
    </row>
    <row r="236" ht="14.25" customHeight="1">
      <c r="U236" s="48"/>
    </row>
    <row r="237" ht="14.25" customHeight="1">
      <c r="U237" s="48"/>
    </row>
    <row r="238" ht="14.25" customHeight="1">
      <c r="U238" s="48"/>
    </row>
    <row r="239" ht="14.25" customHeight="1">
      <c r="U239" s="48"/>
    </row>
    <row r="240" ht="14.25" customHeight="1">
      <c r="U240" s="48"/>
    </row>
    <row r="241" ht="14.25" customHeight="1">
      <c r="U241" s="48"/>
    </row>
    <row r="242" ht="14.25" customHeight="1">
      <c r="U242" s="48"/>
    </row>
    <row r="243" ht="14.25" customHeight="1">
      <c r="U243" s="48"/>
    </row>
    <row r="244" ht="14.25" customHeight="1">
      <c r="U244" s="48"/>
    </row>
    <row r="245" ht="14.25" customHeight="1">
      <c r="U245" s="48"/>
    </row>
    <row r="246" ht="14.25" customHeight="1">
      <c r="U246" s="48"/>
    </row>
    <row r="247" ht="14.25" customHeight="1">
      <c r="U247" s="48"/>
    </row>
    <row r="248" ht="14.25" customHeight="1">
      <c r="U248" s="48"/>
    </row>
    <row r="249" ht="14.25" customHeight="1">
      <c r="U249" s="48"/>
    </row>
    <row r="250" ht="14.25" customHeight="1">
      <c r="U250" s="48"/>
    </row>
    <row r="251" ht="14.25" customHeight="1">
      <c r="U251" s="48"/>
    </row>
    <row r="252" ht="14.25" customHeight="1">
      <c r="U252" s="48"/>
    </row>
    <row r="253" ht="14.25" customHeight="1">
      <c r="U253" s="48"/>
    </row>
    <row r="254" ht="14.25" customHeight="1">
      <c r="U254" s="48"/>
    </row>
    <row r="255" ht="14.25" customHeight="1">
      <c r="U255" s="48"/>
    </row>
    <row r="256" ht="14.25" customHeight="1">
      <c r="U256" s="48"/>
    </row>
    <row r="257" ht="14.25" customHeight="1">
      <c r="U257" s="48"/>
    </row>
    <row r="258" ht="14.25" customHeight="1">
      <c r="U258" s="48"/>
    </row>
    <row r="259" ht="14.25" customHeight="1">
      <c r="U259" s="48"/>
    </row>
    <row r="260" ht="14.25" customHeight="1">
      <c r="U260" s="48"/>
    </row>
    <row r="261" ht="14.25" customHeight="1">
      <c r="U261" s="48"/>
    </row>
    <row r="262" ht="14.25" customHeight="1">
      <c r="U262" s="48"/>
    </row>
    <row r="263" ht="14.25" customHeight="1">
      <c r="U263" s="48"/>
    </row>
    <row r="264" ht="14.25" customHeight="1">
      <c r="U264" s="48"/>
    </row>
    <row r="265" ht="14.25" customHeight="1">
      <c r="U265" s="48"/>
    </row>
    <row r="266" ht="14.25" customHeight="1">
      <c r="U266" s="48"/>
    </row>
    <row r="267" ht="14.25" customHeight="1">
      <c r="U267" s="48"/>
    </row>
    <row r="268" ht="14.25" customHeight="1">
      <c r="U268" s="48"/>
    </row>
    <row r="269" ht="14.25" customHeight="1">
      <c r="U269" s="48"/>
    </row>
    <row r="270" ht="14.25" customHeight="1">
      <c r="U270" s="48"/>
    </row>
    <row r="271" ht="14.25" customHeight="1">
      <c r="U271" s="48"/>
    </row>
    <row r="272" ht="14.25" customHeight="1">
      <c r="U272" s="48"/>
    </row>
    <row r="273" ht="14.25" customHeight="1">
      <c r="U273" s="48"/>
    </row>
    <row r="274" ht="14.25" customHeight="1">
      <c r="U274" s="48"/>
    </row>
    <row r="275" ht="14.25" customHeight="1">
      <c r="U275" s="48"/>
    </row>
    <row r="276" ht="14.25" customHeight="1">
      <c r="U276" s="48"/>
    </row>
    <row r="277" ht="14.25" customHeight="1">
      <c r="U277" s="48"/>
    </row>
    <row r="278" ht="14.25" customHeight="1">
      <c r="U278" s="48"/>
    </row>
    <row r="279" ht="14.25" customHeight="1">
      <c r="U279" s="48"/>
    </row>
    <row r="280" ht="14.25" customHeight="1">
      <c r="U280" s="48"/>
    </row>
    <row r="281" ht="14.25" customHeight="1">
      <c r="U281" s="48"/>
    </row>
    <row r="282" ht="14.25" customHeight="1">
      <c r="U282" s="48"/>
    </row>
    <row r="283" ht="14.25" customHeight="1">
      <c r="U283" s="48"/>
    </row>
    <row r="284" ht="14.25" customHeight="1">
      <c r="U284" s="48"/>
    </row>
    <row r="285" ht="14.25" customHeight="1">
      <c r="U285" s="48"/>
    </row>
    <row r="286" ht="14.25" customHeight="1">
      <c r="U286" s="48"/>
    </row>
    <row r="287" ht="14.25" customHeight="1">
      <c r="U287" s="48"/>
    </row>
    <row r="288" ht="14.25" customHeight="1">
      <c r="U288" s="48"/>
    </row>
    <row r="289" ht="14.25" customHeight="1">
      <c r="U289" s="48"/>
    </row>
    <row r="290" ht="14.25" customHeight="1">
      <c r="U290" s="48"/>
    </row>
    <row r="291" ht="14.25" customHeight="1">
      <c r="U291" s="48"/>
    </row>
    <row r="292" ht="14.25" customHeight="1">
      <c r="U292" s="48"/>
    </row>
    <row r="293" ht="14.25" customHeight="1">
      <c r="U293" s="48"/>
    </row>
    <row r="294" ht="14.25" customHeight="1">
      <c r="U294" s="48"/>
    </row>
    <row r="295" ht="14.25" customHeight="1">
      <c r="U295" s="48"/>
    </row>
    <row r="296" ht="14.25" customHeight="1">
      <c r="U296" s="48"/>
    </row>
    <row r="297" ht="14.25" customHeight="1">
      <c r="U297" s="48"/>
    </row>
    <row r="298" ht="14.25" customHeight="1">
      <c r="U298" s="48"/>
    </row>
    <row r="299" ht="14.25" customHeight="1">
      <c r="U299" s="48"/>
    </row>
    <row r="300" ht="14.25" customHeight="1">
      <c r="U300" s="48"/>
    </row>
    <row r="301" ht="14.25" customHeight="1">
      <c r="U301" s="48"/>
    </row>
    <row r="302" ht="14.25" customHeight="1">
      <c r="U302" s="48"/>
    </row>
    <row r="303" ht="14.25" customHeight="1">
      <c r="U303" s="48"/>
    </row>
    <row r="304" ht="14.25" customHeight="1">
      <c r="U304" s="48"/>
    </row>
    <row r="305" ht="14.25" customHeight="1">
      <c r="U305" s="48"/>
    </row>
    <row r="306" ht="14.25" customHeight="1">
      <c r="U306" s="48"/>
    </row>
    <row r="307" ht="14.25" customHeight="1">
      <c r="U307" s="48"/>
    </row>
    <row r="308" ht="14.25" customHeight="1">
      <c r="U308" s="48"/>
    </row>
    <row r="309" ht="14.25" customHeight="1">
      <c r="U309" s="48"/>
    </row>
    <row r="310" ht="14.25" customHeight="1">
      <c r="U310" s="48"/>
    </row>
    <row r="311" ht="14.25" customHeight="1">
      <c r="U311" s="48"/>
    </row>
    <row r="312" ht="14.25" customHeight="1">
      <c r="U312" s="48"/>
    </row>
    <row r="313" ht="14.25" customHeight="1">
      <c r="U313" s="48"/>
    </row>
    <row r="314" ht="14.25" customHeight="1">
      <c r="U314" s="48"/>
    </row>
    <row r="315" ht="14.25" customHeight="1">
      <c r="U315" s="48"/>
    </row>
    <row r="316" ht="14.25" customHeight="1">
      <c r="U316" s="48"/>
    </row>
    <row r="317" ht="14.25" customHeight="1">
      <c r="U317" s="48"/>
    </row>
    <row r="318" ht="14.25" customHeight="1">
      <c r="U318" s="48"/>
    </row>
    <row r="319" ht="14.25" customHeight="1">
      <c r="U319" s="48"/>
    </row>
    <row r="320" ht="14.25" customHeight="1">
      <c r="U320" s="48"/>
    </row>
    <row r="321" ht="14.25" customHeight="1">
      <c r="U321" s="48"/>
    </row>
    <row r="322" ht="14.25" customHeight="1">
      <c r="U322" s="48"/>
    </row>
    <row r="323" ht="14.25" customHeight="1">
      <c r="U323" s="48"/>
    </row>
    <row r="324" ht="14.25" customHeight="1">
      <c r="U324" s="48"/>
    </row>
    <row r="325" ht="14.25" customHeight="1">
      <c r="U325" s="48"/>
    </row>
    <row r="326" ht="14.25" customHeight="1">
      <c r="U326" s="48"/>
    </row>
    <row r="327" ht="14.25" customHeight="1">
      <c r="U327" s="48"/>
    </row>
    <row r="328" ht="14.25" customHeight="1">
      <c r="U328" s="48"/>
    </row>
    <row r="329" ht="14.25" customHeight="1">
      <c r="U329" s="48"/>
    </row>
    <row r="330" ht="14.25" customHeight="1">
      <c r="U330" s="48"/>
    </row>
    <row r="331" ht="14.25" customHeight="1">
      <c r="U331" s="48"/>
    </row>
    <row r="332" ht="14.25" customHeight="1">
      <c r="U332" s="48"/>
    </row>
    <row r="333" ht="14.25" customHeight="1">
      <c r="U333" s="48"/>
    </row>
    <row r="334" ht="14.25" customHeight="1">
      <c r="U334" s="48"/>
    </row>
    <row r="335" ht="14.25" customHeight="1">
      <c r="U335" s="48"/>
    </row>
    <row r="336" ht="14.25" customHeight="1">
      <c r="U336" s="48"/>
    </row>
    <row r="337" ht="14.25" customHeight="1">
      <c r="U337" s="48"/>
    </row>
    <row r="338" ht="14.25" customHeight="1">
      <c r="U338" s="48"/>
    </row>
    <row r="339" ht="14.25" customHeight="1">
      <c r="U339" s="48"/>
    </row>
    <row r="340" ht="14.25" customHeight="1">
      <c r="U340" s="48"/>
    </row>
    <row r="341" ht="14.25" customHeight="1">
      <c r="U341" s="48"/>
    </row>
    <row r="342" ht="14.25" customHeight="1">
      <c r="U342" s="48"/>
    </row>
    <row r="343" ht="14.25" customHeight="1">
      <c r="U343" s="48"/>
    </row>
    <row r="344" ht="14.25" customHeight="1">
      <c r="U344" s="48"/>
    </row>
    <row r="345" ht="14.25" customHeight="1">
      <c r="U345" s="48"/>
    </row>
    <row r="346" ht="14.25" customHeight="1">
      <c r="U346" s="48"/>
    </row>
    <row r="347" ht="14.25" customHeight="1">
      <c r="U347" s="48"/>
    </row>
    <row r="348" ht="14.25" customHeight="1">
      <c r="U348" s="48"/>
    </row>
    <row r="349" ht="14.25" customHeight="1">
      <c r="U349" s="48"/>
    </row>
    <row r="350" ht="14.25" customHeight="1">
      <c r="U350" s="48"/>
    </row>
    <row r="351" ht="14.25" customHeight="1">
      <c r="U351" s="48"/>
    </row>
    <row r="352" ht="14.25" customHeight="1">
      <c r="U352" s="48"/>
    </row>
    <row r="353" ht="14.25" customHeight="1">
      <c r="U353" s="48"/>
    </row>
    <row r="354" ht="14.25" customHeight="1">
      <c r="U354" s="48"/>
    </row>
    <row r="355" ht="14.25" customHeight="1">
      <c r="U355" s="48"/>
    </row>
    <row r="356" ht="14.25" customHeight="1">
      <c r="U356" s="48"/>
    </row>
    <row r="357" ht="14.25" customHeight="1">
      <c r="U357" s="48"/>
    </row>
    <row r="358" ht="14.25" customHeight="1">
      <c r="U358" s="48"/>
    </row>
    <row r="359" ht="14.25" customHeight="1">
      <c r="U359" s="48"/>
    </row>
    <row r="360" ht="14.25" customHeight="1">
      <c r="U360" s="48"/>
    </row>
    <row r="361" ht="14.25" customHeight="1">
      <c r="U361" s="48"/>
    </row>
    <row r="362" ht="14.25" customHeight="1">
      <c r="U362" s="48"/>
    </row>
    <row r="363" ht="14.25" customHeight="1">
      <c r="U363" s="48"/>
    </row>
    <row r="364" ht="14.25" customHeight="1">
      <c r="U364" s="48"/>
    </row>
    <row r="365" ht="14.25" customHeight="1">
      <c r="U365" s="48"/>
    </row>
    <row r="366" ht="14.25" customHeight="1">
      <c r="U366" s="48"/>
    </row>
    <row r="367" ht="14.25" customHeight="1">
      <c r="U367" s="48"/>
    </row>
    <row r="368" ht="14.25" customHeight="1">
      <c r="U368" s="48"/>
    </row>
    <row r="369" ht="14.25" customHeight="1">
      <c r="U369" s="48"/>
    </row>
    <row r="370" ht="14.25" customHeight="1">
      <c r="U370" s="48"/>
    </row>
    <row r="371" ht="14.25" customHeight="1">
      <c r="U371" s="48"/>
    </row>
    <row r="372" ht="14.25" customHeight="1">
      <c r="U372" s="48"/>
    </row>
    <row r="373" ht="14.25" customHeight="1">
      <c r="U373" s="48"/>
    </row>
    <row r="374" ht="14.25" customHeight="1">
      <c r="U374" s="48"/>
    </row>
    <row r="375" ht="14.25" customHeight="1">
      <c r="U375" s="48"/>
    </row>
    <row r="376" ht="14.25" customHeight="1">
      <c r="U376" s="48"/>
    </row>
    <row r="377" ht="14.25" customHeight="1">
      <c r="U377" s="48"/>
    </row>
    <row r="378" ht="14.25" customHeight="1">
      <c r="U378" s="48"/>
    </row>
    <row r="379" ht="14.25" customHeight="1">
      <c r="U379" s="48"/>
    </row>
    <row r="380" ht="14.25" customHeight="1">
      <c r="U380" s="48"/>
    </row>
    <row r="381" ht="14.25" customHeight="1">
      <c r="U381" s="48"/>
    </row>
    <row r="382" ht="14.25" customHeight="1">
      <c r="U382" s="48"/>
    </row>
    <row r="383" ht="14.25" customHeight="1">
      <c r="U383" s="48"/>
    </row>
    <row r="384" ht="14.25" customHeight="1">
      <c r="U384" s="48"/>
    </row>
    <row r="385" ht="14.25" customHeight="1">
      <c r="U385" s="48"/>
    </row>
    <row r="386" ht="14.25" customHeight="1">
      <c r="U386" s="48"/>
    </row>
    <row r="387" ht="14.25" customHeight="1">
      <c r="U387" s="48"/>
    </row>
    <row r="388" ht="14.25" customHeight="1">
      <c r="U388" s="48"/>
    </row>
    <row r="389" ht="14.25" customHeight="1">
      <c r="U389" s="48"/>
    </row>
    <row r="390" ht="14.25" customHeight="1">
      <c r="U390" s="48"/>
    </row>
    <row r="391" ht="14.25" customHeight="1">
      <c r="U391" s="48"/>
    </row>
    <row r="392" ht="14.25" customHeight="1">
      <c r="U392" s="48"/>
    </row>
    <row r="393" ht="14.25" customHeight="1">
      <c r="U393" s="48"/>
    </row>
    <row r="394" ht="14.25" customHeight="1">
      <c r="U394" s="48"/>
    </row>
    <row r="395" ht="14.25" customHeight="1">
      <c r="U395" s="48"/>
    </row>
    <row r="396" ht="14.25" customHeight="1">
      <c r="U396" s="48"/>
    </row>
    <row r="397" ht="14.25" customHeight="1">
      <c r="U397" s="48"/>
    </row>
    <row r="398" ht="14.25" customHeight="1">
      <c r="U398" s="48"/>
    </row>
    <row r="399" ht="14.25" customHeight="1">
      <c r="U399" s="48"/>
    </row>
    <row r="400" ht="14.25" customHeight="1">
      <c r="U400" s="48"/>
    </row>
    <row r="401" ht="14.25" customHeight="1">
      <c r="U401" s="48"/>
    </row>
    <row r="402" ht="14.25" customHeight="1">
      <c r="U402" s="48"/>
    </row>
    <row r="403" ht="14.25" customHeight="1">
      <c r="U403" s="48"/>
    </row>
    <row r="404" ht="14.25" customHeight="1">
      <c r="U404" s="48"/>
    </row>
    <row r="405" ht="14.25" customHeight="1">
      <c r="U405" s="48"/>
    </row>
    <row r="406" ht="14.25" customHeight="1">
      <c r="U406" s="48"/>
    </row>
    <row r="407" ht="14.25" customHeight="1">
      <c r="U407" s="48"/>
    </row>
    <row r="408" ht="14.25" customHeight="1">
      <c r="U408" s="48"/>
    </row>
    <row r="409" ht="14.25" customHeight="1">
      <c r="U409" s="48"/>
    </row>
    <row r="410" ht="14.25" customHeight="1">
      <c r="U410" s="48"/>
    </row>
    <row r="411" ht="14.25" customHeight="1">
      <c r="U411" s="48"/>
    </row>
    <row r="412" ht="14.25" customHeight="1">
      <c r="U412" s="48"/>
    </row>
    <row r="413" ht="14.25" customHeight="1">
      <c r="U413" s="48"/>
    </row>
    <row r="414" ht="14.25" customHeight="1">
      <c r="U414" s="48"/>
    </row>
    <row r="415" ht="14.25" customHeight="1">
      <c r="U415" s="48"/>
    </row>
    <row r="416" ht="14.25" customHeight="1">
      <c r="U416" s="48"/>
    </row>
    <row r="417" ht="14.25" customHeight="1">
      <c r="U417" s="48"/>
    </row>
    <row r="418" ht="14.25" customHeight="1">
      <c r="U418" s="48"/>
    </row>
    <row r="419" ht="14.25" customHeight="1">
      <c r="U419" s="48"/>
    </row>
    <row r="420" ht="14.25" customHeight="1">
      <c r="U420" s="48"/>
    </row>
    <row r="421" ht="14.25" customHeight="1">
      <c r="U421" s="48"/>
    </row>
    <row r="422" ht="14.25" customHeight="1">
      <c r="U422" s="48"/>
    </row>
    <row r="423" ht="14.25" customHeight="1">
      <c r="U423" s="48"/>
    </row>
    <row r="424" ht="14.25" customHeight="1">
      <c r="U424" s="48"/>
    </row>
    <row r="425" ht="14.25" customHeight="1">
      <c r="U425" s="48"/>
    </row>
    <row r="426" ht="14.25" customHeight="1">
      <c r="U426" s="48"/>
    </row>
    <row r="427" ht="14.25" customHeight="1">
      <c r="U427" s="48"/>
    </row>
    <row r="428" ht="14.25" customHeight="1">
      <c r="U428" s="48"/>
    </row>
    <row r="429" ht="14.25" customHeight="1">
      <c r="U429" s="48"/>
    </row>
    <row r="430" ht="14.25" customHeight="1">
      <c r="U430" s="48"/>
    </row>
    <row r="431" ht="14.25" customHeight="1">
      <c r="U431" s="48"/>
    </row>
    <row r="432" ht="14.25" customHeight="1">
      <c r="U432" s="48"/>
    </row>
    <row r="433" ht="14.25" customHeight="1">
      <c r="U433" s="48"/>
    </row>
    <row r="434" ht="14.25" customHeight="1">
      <c r="U434" s="48"/>
    </row>
    <row r="435" ht="14.25" customHeight="1">
      <c r="U435" s="48"/>
    </row>
    <row r="436" ht="14.25" customHeight="1">
      <c r="U436" s="48"/>
    </row>
    <row r="437" ht="14.25" customHeight="1">
      <c r="U437" s="48"/>
    </row>
    <row r="438" ht="14.25" customHeight="1">
      <c r="U438" s="48"/>
    </row>
    <row r="439" ht="14.25" customHeight="1">
      <c r="U439" s="48"/>
    </row>
    <row r="440" ht="14.25" customHeight="1">
      <c r="U440" s="48"/>
    </row>
    <row r="441" ht="14.25" customHeight="1">
      <c r="U441" s="48"/>
    </row>
    <row r="442" ht="14.25" customHeight="1">
      <c r="U442" s="48"/>
    </row>
    <row r="443" ht="14.25" customHeight="1">
      <c r="U443" s="48"/>
    </row>
    <row r="444" ht="14.25" customHeight="1">
      <c r="U444" s="48"/>
    </row>
    <row r="445" ht="14.25" customHeight="1">
      <c r="U445" s="48"/>
    </row>
    <row r="446" ht="14.25" customHeight="1">
      <c r="U446" s="48"/>
    </row>
    <row r="447" ht="14.25" customHeight="1">
      <c r="U447" s="48"/>
    </row>
    <row r="448" ht="14.25" customHeight="1">
      <c r="U448" s="48"/>
    </row>
    <row r="449" ht="14.25" customHeight="1">
      <c r="U449" s="48"/>
    </row>
    <row r="450" ht="14.25" customHeight="1">
      <c r="U450" s="48"/>
    </row>
    <row r="451" ht="14.25" customHeight="1">
      <c r="U451" s="48"/>
    </row>
    <row r="452" ht="14.25" customHeight="1">
      <c r="U452" s="48"/>
    </row>
    <row r="453" ht="14.25" customHeight="1">
      <c r="U453" s="48"/>
    </row>
    <row r="454" ht="14.25" customHeight="1">
      <c r="U454" s="48"/>
    </row>
    <row r="455" ht="14.25" customHeight="1">
      <c r="U455" s="48"/>
    </row>
    <row r="456" ht="14.25" customHeight="1">
      <c r="U456" s="48"/>
    </row>
    <row r="457" ht="14.25" customHeight="1">
      <c r="U457" s="48"/>
    </row>
    <row r="458" ht="14.25" customHeight="1">
      <c r="U458" s="48"/>
    </row>
    <row r="459" ht="14.25" customHeight="1">
      <c r="U459" s="48"/>
    </row>
    <row r="460" ht="14.25" customHeight="1">
      <c r="U460" s="48"/>
    </row>
    <row r="461" ht="14.25" customHeight="1">
      <c r="U461" s="48"/>
    </row>
    <row r="462" ht="14.25" customHeight="1">
      <c r="U462" s="48"/>
    </row>
    <row r="463" ht="14.25" customHeight="1">
      <c r="U463" s="48"/>
    </row>
    <row r="464" ht="14.25" customHeight="1">
      <c r="U464" s="48"/>
    </row>
    <row r="465" ht="14.25" customHeight="1">
      <c r="U465" s="48"/>
    </row>
    <row r="466" ht="14.25" customHeight="1">
      <c r="U466" s="48"/>
    </row>
    <row r="467" ht="14.25" customHeight="1">
      <c r="U467" s="48"/>
    </row>
    <row r="468" ht="14.25" customHeight="1">
      <c r="U468" s="48"/>
    </row>
    <row r="469" ht="14.25" customHeight="1">
      <c r="U469" s="48"/>
    </row>
    <row r="470" ht="14.25" customHeight="1">
      <c r="U470" s="48"/>
    </row>
    <row r="471" ht="14.25" customHeight="1">
      <c r="U471" s="48"/>
    </row>
    <row r="472" ht="14.25" customHeight="1">
      <c r="U472" s="48"/>
    </row>
    <row r="473" ht="14.25" customHeight="1">
      <c r="U473" s="48"/>
    </row>
    <row r="474" ht="14.25" customHeight="1">
      <c r="U474" s="48"/>
    </row>
    <row r="475" ht="14.25" customHeight="1">
      <c r="U475" s="48"/>
    </row>
    <row r="476" ht="14.25" customHeight="1">
      <c r="U476" s="48"/>
    </row>
    <row r="477" ht="14.25" customHeight="1">
      <c r="U477" s="48"/>
    </row>
    <row r="478" ht="14.25" customHeight="1">
      <c r="U478" s="48"/>
    </row>
    <row r="479" ht="14.25" customHeight="1">
      <c r="U479" s="48"/>
    </row>
    <row r="480" ht="14.25" customHeight="1">
      <c r="U480" s="48"/>
    </row>
    <row r="481" ht="14.25" customHeight="1">
      <c r="U481" s="48"/>
    </row>
    <row r="482" ht="14.25" customHeight="1">
      <c r="U482" s="48"/>
    </row>
    <row r="483" ht="14.25" customHeight="1">
      <c r="U483" s="48"/>
    </row>
    <row r="484" ht="14.25" customHeight="1">
      <c r="U484" s="48"/>
    </row>
    <row r="485" ht="14.25" customHeight="1">
      <c r="U485" s="48"/>
    </row>
    <row r="486" ht="14.25" customHeight="1">
      <c r="U486" s="48"/>
    </row>
    <row r="487" ht="14.25" customHeight="1">
      <c r="U487" s="48"/>
    </row>
    <row r="488" ht="14.25" customHeight="1">
      <c r="U488" s="48"/>
    </row>
    <row r="489" ht="14.25" customHeight="1">
      <c r="U489" s="48"/>
    </row>
    <row r="490" ht="14.25" customHeight="1">
      <c r="U490" s="48"/>
    </row>
    <row r="491" ht="14.25" customHeight="1">
      <c r="U491" s="48"/>
    </row>
    <row r="492" ht="14.25" customHeight="1">
      <c r="U492" s="48"/>
    </row>
    <row r="493" ht="14.25" customHeight="1">
      <c r="U493" s="48"/>
    </row>
    <row r="494" ht="14.25" customHeight="1">
      <c r="U494" s="48"/>
    </row>
    <row r="495" ht="14.25" customHeight="1">
      <c r="U495" s="48"/>
    </row>
    <row r="496" ht="14.25" customHeight="1">
      <c r="U496" s="48"/>
    </row>
    <row r="497" ht="14.25" customHeight="1">
      <c r="U497" s="48"/>
    </row>
    <row r="498" ht="14.25" customHeight="1">
      <c r="U498" s="48"/>
    </row>
    <row r="499" ht="14.25" customHeight="1">
      <c r="U499" s="48"/>
    </row>
    <row r="500" ht="14.25" customHeight="1">
      <c r="U500" s="48"/>
    </row>
    <row r="501" ht="14.25" customHeight="1">
      <c r="U501" s="48"/>
    </row>
    <row r="502" ht="14.25" customHeight="1">
      <c r="U502" s="48"/>
    </row>
    <row r="503" ht="14.25" customHeight="1">
      <c r="U503" s="48"/>
    </row>
    <row r="504" ht="14.25" customHeight="1">
      <c r="U504" s="48"/>
    </row>
    <row r="505" ht="14.25" customHeight="1">
      <c r="U505" s="48"/>
    </row>
    <row r="506" ht="14.25" customHeight="1">
      <c r="U506" s="48"/>
    </row>
    <row r="507" ht="14.25" customHeight="1">
      <c r="U507" s="48"/>
    </row>
    <row r="508" ht="14.25" customHeight="1">
      <c r="U508" s="48"/>
    </row>
    <row r="509" ht="14.25" customHeight="1">
      <c r="U509" s="48"/>
    </row>
    <row r="510" ht="14.25" customHeight="1">
      <c r="U510" s="48"/>
    </row>
    <row r="511" ht="14.25" customHeight="1">
      <c r="U511" s="48"/>
    </row>
    <row r="512" ht="14.25" customHeight="1">
      <c r="U512" s="48"/>
    </row>
    <row r="513" ht="14.25" customHeight="1">
      <c r="U513" s="48"/>
    </row>
    <row r="514" ht="14.25" customHeight="1">
      <c r="U514" s="48"/>
    </row>
    <row r="515" ht="14.25" customHeight="1">
      <c r="U515" s="48"/>
    </row>
    <row r="516" ht="14.25" customHeight="1">
      <c r="U516" s="48"/>
    </row>
    <row r="517" ht="14.25" customHeight="1">
      <c r="U517" s="48"/>
    </row>
    <row r="518" ht="14.25" customHeight="1">
      <c r="U518" s="48"/>
    </row>
    <row r="519" ht="14.25" customHeight="1">
      <c r="U519" s="48"/>
    </row>
    <row r="520" ht="14.25" customHeight="1">
      <c r="U520" s="48"/>
    </row>
    <row r="521" ht="14.25" customHeight="1">
      <c r="U521" s="48"/>
    </row>
    <row r="522" ht="14.25" customHeight="1">
      <c r="U522" s="48"/>
    </row>
    <row r="523" ht="14.25" customHeight="1">
      <c r="U523" s="48"/>
    </row>
    <row r="524" ht="14.25" customHeight="1">
      <c r="U524" s="48"/>
    </row>
    <row r="525" ht="14.25" customHeight="1">
      <c r="U525" s="48"/>
    </row>
    <row r="526" ht="14.25" customHeight="1">
      <c r="U526" s="48"/>
    </row>
    <row r="527" ht="14.25" customHeight="1">
      <c r="U527" s="48"/>
    </row>
    <row r="528" ht="14.25" customHeight="1">
      <c r="U528" s="48"/>
    </row>
    <row r="529" ht="14.25" customHeight="1">
      <c r="U529" s="48"/>
    </row>
    <row r="530" ht="14.25" customHeight="1">
      <c r="U530" s="48"/>
    </row>
    <row r="531" ht="14.25" customHeight="1">
      <c r="U531" s="48"/>
    </row>
    <row r="532" ht="14.25" customHeight="1">
      <c r="U532" s="48"/>
    </row>
    <row r="533" ht="14.25" customHeight="1">
      <c r="U533" s="48"/>
    </row>
    <row r="534" ht="14.25" customHeight="1">
      <c r="U534" s="48"/>
    </row>
    <row r="535" ht="14.25" customHeight="1">
      <c r="U535" s="48"/>
    </row>
    <row r="536" ht="14.25" customHeight="1">
      <c r="U536" s="48"/>
    </row>
    <row r="537" ht="14.25" customHeight="1">
      <c r="U537" s="48"/>
    </row>
    <row r="538" ht="14.25" customHeight="1">
      <c r="U538" s="48"/>
    </row>
    <row r="539" ht="14.25" customHeight="1">
      <c r="U539" s="48"/>
    </row>
    <row r="540" ht="14.25" customHeight="1">
      <c r="U540" s="48"/>
    </row>
    <row r="541" ht="14.25" customHeight="1">
      <c r="U541" s="48"/>
    </row>
    <row r="542" ht="14.25" customHeight="1">
      <c r="U542" s="48"/>
    </row>
    <row r="543" ht="14.25" customHeight="1">
      <c r="U543" s="48"/>
    </row>
    <row r="544" ht="14.25" customHeight="1">
      <c r="U544" s="48"/>
    </row>
    <row r="545" ht="14.25" customHeight="1">
      <c r="U545" s="48"/>
    </row>
    <row r="546" ht="14.25" customHeight="1">
      <c r="U546" s="48"/>
    </row>
    <row r="547" ht="14.25" customHeight="1">
      <c r="U547" s="48"/>
    </row>
    <row r="548" ht="14.25" customHeight="1">
      <c r="U548" s="48"/>
    </row>
    <row r="549" ht="14.25" customHeight="1">
      <c r="U549" s="48"/>
    </row>
    <row r="550" ht="14.25" customHeight="1">
      <c r="U550" s="48"/>
    </row>
    <row r="551" ht="14.25" customHeight="1">
      <c r="U551" s="48"/>
    </row>
    <row r="552" ht="14.25" customHeight="1">
      <c r="U552" s="48"/>
    </row>
    <row r="553" ht="14.25" customHeight="1">
      <c r="U553" s="48"/>
    </row>
    <row r="554" ht="14.25" customHeight="1">
      <c r="U554" s="48"/>
    </row>
    <row r="555" ht="14.25" customHeight="1">
      <c r="U555" s="48"/>
    </row>
    <row r="556" ht="14.25" customHeight="1">
      <c r="U556" s="48"/>
    </row>
    <row r="557" ht="14.25" customHeight="1">
      <c r="U557" s="48"/>
    </row>
    <row r="558" ht="14.25" customHeight="1">
      <c r="U558" s="48"/>
    </row>
    <row r="559" ht="14.25" customHeight="1">
      <c r="U559" s="48"/>
    </row>
    <row r="560" ht="14.25" customHeight="1">
      <c r="U560" s="48"/>
    </row>
    <row r="561" ht="14.25" customHeight="1">
      <c r="U561" s="48"/>
    </row>
    <row r="562" ht="14.25" customHeight="1">
      <c r="U562" s="48"/>
    </row>
    <row r="563" ht="14.25" customHeight="1">
      <c r="U563" s="48"/>
    </row>
    <row r="564" ht="14.25" customHeight="1">
      <c r="U564" s="48"/>
    </row>
    <row r="565" ht="14.25" customHeight="1">
      <c r="U565" s="48"/>
    </row>
    <row r="566" ht="14.25" customHeight="1">
      <c r="U566" s="48"/>
    </row>
    <row r="567" ht="14.25" customHeight="1">
      <c r="U567" s="48"/>
    </row>
    <row r="568" ht="14.25" customHeight="1">
      <c r="U568" s="48"/>
    </row>
    <row r="569" ht="14.25" customHeight="1">
      <c r="U569" s="48"/>
    </row>
    <row r="570" ht="14.25" customHeight="1">
      <c r="U570" s="48"/>
    </row>
    <row r="571" ht="14.25" customHeight="1">
      <c r="U571" s="48"/>
    </row>
    <row r="572" ht="14.25" customHeight="1">
      <c r="U572" s="48"/>
    </row>
    <row r="573" ht="14.25" customHeight="1">
      <c r="U573" s="48"/>
    </row>
    <row r="574" ht="14.25" customHeight="1">
      <c r="U574" s="48"/>
    </row>
    <row r="575" ht="14.25" customHeight="1">
      <c r="U575" s="48"/>
    </row>
    <row r="576" ht="14.25" customHeight="1">
      <c r="U576" s="48"/>
    </row>
    <row r="577" ht="14.25" customHeight="1">
      <c r="U577" s="48"/>
    </row>
    <row r="578" ht="14.25" customHeight="1">
      <c r="U578" s="48"/>
    </row>
    <row r="579" ht="14.25" customHeight="1">
      <c r="U579" s="48"/>
    </row>
    <row r="580" ht="14.25" customHeight="1">
      <c r="U580" s="48"/>
    </row>
    <row r="581" ht="14.25" customHeight="1">
      <c r="U581" s="48"/>
    </row>
    <row r="582" ht="14.25" customHeight="1">
      <c r="U582" s="48"/>
    </row>
    <row r="583" ht="14.25" customHeight="1">
      <c r="U583" s="48"/>
    </row>
    <row r="584" ht="14.25" customHeight="1">
      <c r="U584" s="48"/>
    </row>
    <row r="585" ht="14.25" customHeight="1">
      <c r="U585" s="48"/>
    </row>
    <row r="586" ht="14.25" customHeight="1">
      <c r="U586" s="48"/>
    </row>
    <row r="587" ht="14.25" customHeight="1">
      <c r="U587" s="48"/>
    </row>
    <row r="588" ht="14.25" customHeight="1">
      <c r="U588" s="48"/>
    </row>
    <row r="589" ht="14.25" customHeight="1">
      <c r="U589" s="48"/>
    </row>
    <row r="590" ht="14.25" customHeight="1">
      <c r="U590" s="48"/>
    </row>
    <row r="591" ht="14.25" customHeight="1">
      <c r="U591" s="48"/>
    </row>
    <row r="592" ht="14.25" customHeight="1">
      <c r="U592" s="48"/>
    </row>
    <row r="593" ht="14.25" customHeight="1">
      <c r="U593" s="48"/>
    </row>
    <row r="594" ht="14.25" customHeight="1">
      <c r="U594" s="48"/>
    </row>
    <row r="595" ht="14.25" customHeight="1">
      <c r="U595" s="48"/>
    </row>
    <row r="596" ht="14.25" customHeight="1">
      <c r="U596" s="48"/>
    </row>
    <row r="597" ht="14.25" customHeight="1">
      <c r="U597" s="48"/>
    </row>
    <row r="598" ht="14.25" customHeight="1">
      <c r="U598" s="48"/>
    </row>
    <row r="599" ht="14.25" customHeight="1">
      <c r="U599" s="48"/>
    </row>
    <row r="600" ht="14.25" customHeight="1">
      <c r="U600" s="48"/>
    </row>
    <row r="601" ht="14.25" customHeight="1">
      <c r="U601" s="48"/>
    </row>
    <row r="602" ht="14.25" customHeight="1">
      <c r="U602" s="48"/>
    </row>
    <row r="603" ht="14.25" customHeight="1">
      <c r="U603" s="48"/>
    </row>
    <row r="604" ht="14.25" customHeight="1">
      <c r="U604" s="48"/>
    </row>
    <row r="605" ht="14.25" customHeight="1">
      <c r="U605" s="48"/>
    </row>
    <row r="606" ht="14.25" customHeight="1">
      <c r="U606" s="48"/>
    </row>
    <row r="607" ht="14.25" customHeight="1">
      <c r="U607" s="48"/>
    </row>
    <row r="608" ht="14.25" customHeight="1">
      <c r="U608" s="48"/>
    </row>
    <row r="609" ht="14.25" customHeight="1">
      <c r="U609" s="48"/>
    </row>
    <row r="610" ht="14.25" customHeight="1">
      <c r="U610" s="48"/>
    </row>
    <row r="611" ht="14.25" customHeight="1">
      <c r="U611" s="48"/>
    </row>
    <row r="612" ht="14.25" customHeight="1">
      <c r="U612" s="48"/>
    </row>
    <row r="613" ht="14.25" customHeight="1">
      <c r="U613" s="48"/>
    </row>
    <row r="614" ht="14.25" customHeight="1">
      <c r="U614" s="48"/>
    </row>
    <row r="615" ht="14.25" customHeight="1">
      <c r="U615" s="48"/>
    </row>
    <row r="616" ht="14.25" customHeight="1">
      <c r="U616" s="48"/>
    </row>
    <row r="617" ht="14.25" customHeight="1">
      <c r="U617" s="48"/>
    </row>
    <row r="618" ht="14.25" customHeight="1">
      <c r="U618" s="48"/>
    </row>
    <row r="619" ht="14.25" customHeight="1">
      <c r="U619" s="48"/>
    </row>
    <row r="620" ht="14.25" customHeight="1">
      <c r="U620" s="48"/>
    </row>
    <row r="621" ht="14.25" customHeight="1">
      <c r="U621" s="48"/>
    </row>
    <row r="622" ht="14.25" customHeight="1">
      <c r="U622" s="48"/>
    </row>
    <row r="623" ht="14.25" customHeight="1">
      <c r="U623" s="48"/>
    </row>
    <row r="624" ht="14.25" customHeight="1">
      <c r="U624" s="48"/>
    </row>
    <row r="625" ht="14.25" customHeight="1">
      <c r="U625" s="48"/>
    </row>
    <row r="626" ht="14.25" customHeight="1">
      <c r="U626" s="48"/>
    </row>
    <row r="627" ht="14.25" customHeight="1">
      <c r="U627" s="48"/>
    </row>
    <row r="628" ht="14.25" customHeight="1">
      <c r="U628" s="48"/>
    </row>
    <row r="629" ht="14.25" customHeight="1">
      <c r="U629" s="48"/>
    </row>
    <row r="630" ht="14.25" customHeight="1">
      <c r="U630" s="48"/>
    </row>
    <row r="631" ht="14.25" customHeight="1">
      <c r="U631" s="48"/>
    </row>
    <row r="632" ht="14.25" customHeight="1">
      <c r="U632" s="48"/>
    </row>
    <row r="633" ht="14.25" customHeight="1">
      <c r="U633" s="48"/>
    </row>
    <row r="634" ht="14.25" customHeight="1">
      <c r="U634" s="48"/>
    </row>
    <row r="635" ht="14.25" customHeight="1">
      <c r="U635" s="48"/>
    </row>
    <row r="636" ht="14.25" customHeight="1">
      <c r="U636" s="48"/>
    </row>
    <row r="637" ht="14.25" customHeight="1">
      <c r="U637" s="48"/>
    </row>
    <row r="638" ht="14.25" customHeight="1">
      <c r="U638" s="48"/>
    </row>
    <row r="639" ht="14.25" customHeight="1">
      <c r="U639" s="48"/>
    </row>
    <row r="640" ht="14.25" customHeight="1">
      <c r="U640" s="48"/>
    </row>
    <row r="641" ht="14.25" customHeight="1">
      <c r="U641" s="48"/>
    </row>
    <row r="642" ht="14.25" customHeight="1">
      <c r="U642" s="48"/>
    </row>
    <row r="643" ht="14.25" customHeight="1">
      <c r="U643" s="48"/>
    </row>
    <row r="644" ht="14.25" customHeight="1">
      <c r="U644" s="48"/>
    </row>
    <row r="645" ht="14.25" customHeight="1">
      <c r="U645" s="48"/>
    </row>
    <row r="646" ht="14.25" customHeight="1">
      <c r="U646" s="48"/>
    </row>
    <row r="647" ht="14.25" customHeight="1">
      <c r="U647" s="48"/>
    </row>
    <row r="648" ht="14.25" customHeight="1">
      <c r="U648" s="48"/>
    </row>
    <row r="649" ht="14.25" customHeight="1">
      <c r="U649" s="48"/>
    </row>
    <row r="650" ht="14.25" customHeight="1">
      <c r="U650" s="48"/>
    </row>
    <row r="651" ht="14.25" customHeight="1">
      <c r="U651" s="48"/>
    </row>
    <row r="652" ht="14.25" customHeight="1">
      <c r="U652" s="48"/>
    </row>
    <row r="653" ht="14.25" customHeight="1">
      <c r="U653" s="48"/>
    </row>
    <row r="654" ht="14.25" customHeight="1">
      <c r="U654" s="48"/>
    </row>
    <row r="655" ht="14.25" customHeight="1">
      <c r="U655" s="48"/>
    </row>
    <row r="656" ht="14.25" customHeight="1">
      <c r="U656" s="48"/>
    </row>
    <row r="657" ht="14.25" customHeight="1">
      <c r="U657" s="48"/>
    </row>
    <row r="658" ht="14.25" customHeight="1">
      <c r="U658" s="48"/>
    </row>
    <row r="659" ht="14.25" customHeight="1">
      <c r="U659" s="48"/>
    </row>
    <row r="660" ht="14.25" customHeight="1">
      <c r="U660" s="48"/>
    </row>
    <row r="661" ht="14.25" customHeight="1">
      <c r="U661" s="48"/>
    </row>
    <row r="662" ht="14.25" customHeight="1">
      <c r="U662" s="48"/>
    </row>
    <row r="663" ht="14.25" customHeight="1">
      <c r="U663" s="48"/>
    </row>
    <row r="664" ht="14.25" customHeight="1">
      <c r="U664" s="48"/>
    </row>
    <row r="665" ht="14.25" customHeight="1">
      <c r="U665" s="48"/>
    </row>
    <row r="666" ht="14.25" customHeight="1">
      <c r="U666" s="48"/>
    </row>
    <row r="667" ht="14.25" customHeight="1">
      <c r="U667" s="48"/>
    </row>
    <row r="668" ht="14.25" customHeight="1">
      <c r="U668" s="48"/>
    </row>
    <row r="669" ht="14.25" customHeight="1">
      <c r="U669" s="48"/>
    </row>
    <row r="670" ht="14.25" customHeight="1">
      <c r="U670" s="48"/>
    </row>
    <row r="671" ht="14.25" customHeight="1">
      <c r="U671" s="48"/>
    </row>
    <row r="672" ht="14.25" customHeight="1">
      <c r="U672" s="48"/>
    </row>
    <row r="673" ht="14.25" customHeight="1">
      <c r="U673" s="48"/>
    </row>
    <row r="674" ht="14.25" customHeight="1">
      <c r="U674" s="48"/>
    </row>
    <row r="675" ht="14.25" customHeight="1">
      <c r="U675" s="48"/>
    </row>
    <row r="676" ht="14.25" customHeight="1">
      <c r="U676" s="48"/>
    </row>
    <row r="677" ht="14.25" customHeight="1">
      <c r="U677" s="48"/>
    </row>
    <row r="678" ht="14.25" customHeight="1">
      <c r="U678" s="48"/>
    </row>
    <row r="679" ht="14.25" customHeight="1">
      <c r="U679" s="48"/>
    </row>
    <row r="680" ht="14.25" customHeight="1">
      <c r="U680" s="48"/>
    </row>
    <row r="681" ht="14.25" customHeight="1">
      <c r="U681" s="48"/>
    </row>
    <row r="682" ht="14.25" customHeight="1">
      <c r="U682" s="48"/>
    </row>
    <row r="683" ht="14.25" customHeight="1">
      <c r="U683" s="48"/>
    </row>
    <row r="684" ht="14.25" customHeight="1">
      <c r="U684" s="48"/>
    </row>
    <row r="685" ht="14.25" customHeight="1">
      <c r="U685" s="48"/>
    </row>
    <row r="686" ht="14.25" customHeight="1">
      <c r="U686" s="48"/>
    </row>
    <row r="687" ht="14.25" customHeight="1">
      <c r="U687" s="48"/>
    </row>
    <row r="688" ht="14.25" customHeight="1">
      <c r="U688" s="48"/>
    </row>
    <row r="689" ht="14.25" customHeight="1">
      <c r="U689" s="48"/>
    </row>
    <row r="690" ht="14.25" customHeight="1">
      <c r="U690" s="48"/>
    </row>
    <row r="691" ht="14.25" customHeight="1">
      <c r="U691" s="48"/>
    </row>
    <row r="692" ht="14.25" customHeight="1">
      <c r="U692" s="48"/>
    </row>
    <row r="693" ht="14.25" customHeight="1">
      <c r="U693" s="48"/>
    </row>
    <row r="694" ht="14.25" customHeight="1">
      <c r="U694" s="48"/>
    </row>
    <row r="695" ht="14.25" customHeight="1">
      <c r="U695" s="48"/>
    </row>
    <row r="696" ht="14.25" customHeight="1">
      <c r="U696" s="48"/>
    </row>
    <row r="697" ht="14.25" customHeight="1">
      <c r="U697" s="48"/>
    </row>
    <row r="698" ht="14.25" customHeight="1">
      <c r="U698" s="48"/>
    </row>
    <row r="699" ht="14.25" customHeight="1">
      <c r="U699" s="48"/>
    </row>
    <row r="700" ht="14.25" customHeight="1">
      <c r="U700" s="48"/>
    </row>
    <row r="701" ht="14.25" customHeight="1">
      <c r="U701" s="48"/>
    </row>
    <row r="702" ht="14.25" customHeight="1">
      <c r="U702" s="48"/>
    </row>
    <row r="703" ht="14.25" customHeight="1">
      <c r="U703" s="48"/>
    </row>
    <row r="704" ht="14.25" customHeight="1">
      <c r="U704" s="48"/>
    </row>
    <row r="705" ht="14.25" customHeight="1">
      <c r="U705" s="48"/>
    </row>
    <row r="706" ht="14.25" customHeight="1">
      <c r="U706" s="48"/>
    </row>
    <row r="707" ht="14.25" customHeight="1">
      <c r="U707" s="48"/>
    </row>
    <row r="708" ht="14.25" customHeight="1">
      <c r="U708" s="48"/>
    </row>
    <row r="709" ht="14.25" customHeight="1">
      <c r="U709" s="48"/>
    </row>
    <row r="710" ht="14.25" customHeight="1">
      <c r="U710" s="48"/>
    </row>
    <row r="711" ht="14.25" customHeight="1">
      <c r="U711" s="48"/>
    </row>
    <row r="712" ht="14.25" customHeight="1">
      <c r="U712" s="48"/>
    </row>
    <row r="713" ht="14.25" customHeight="1">
      <c r="U713" s="48"/>
    </row>
    <row r="714" ht="14.25" customHeight="1">
      <c r="U714" s="48"/>
    </row>
    <row r="715" ht="14.25" customHeight="1">
      <c r="U715" s="48"/>
    </row>
    <row r="716" ht="14.25" customHeight="1">
      <c r="U716" s="48"/>
    </row>
    <row r="717" ht="14.25" customHeight="1">
      <c r="U717" s="48"/>
    </row>
    <row r="718" ht="14.25" customHeight="1">
      <c r="U718" s="48"/>
    </row>
    <row r="719" ht="14.25" customHeight="1">
      <c r="U719" s="48"/>
    </row>
    <row r="720" ht="14.25" customHeight="1">
      <c r="U720" s="48"/>
    </row>
    <row r="721" ht="14.25" customHeight="1">
      <c r="U721" s="48"/>
    </row>
    <row r="722" ht="14.25" customHeight="1">
      <c r="U722" s="48"/>
    </row>
    <row r="723" ht="14.25" customHeight="1">
      <c r="U723" s="48"/>
    </row>
    <row r="724" ht="14.25" customHeight="1">
      <c r="U724" s="48"/>
    </row>
    <row r="725" ht="14.25" customHeight="1">
      <c r="U725" s="48"/>
    </row>
    <row r="726" ht="14.25" customHeight="1">
      <c r="U726" s="48"/>
    </row>
    <row r="727" ht="14.25" customHeight="1">
      <c r="U727" s="48"/>
    </row>
    <row r="728" ht="14.25" customHeight="1">
      <c r="U728" s="48"/>
    </row>
    <row r="729" ht="14.25" customHeight="1">
      <c r="U729" s="48"/>
    </row>
    <row r="730" ht="14.25" customHeight="1">
      <c r="U730" s="48"/>
    </row>
    <row r="731" ht="14.25" customHeight="1">
      <c r="U731" s="48"/>
    </row>
    <row r="732" ht="14.25" customHeight="1">
      <c r="U732" s="48"/>
    </row>
    <row r="733" ht="14.25" customHeight="1">
      <c r="U733" s="48"/>
    </row>
    <row r="734" ht="14.25" customHeight="1">
      <c r="U734" s="48"/>
    </row>
    <row r="735" ht="14.25" customHeight="1">
      <c r="U735" s="48"/>
    </row>
    <row r="736" ht="14.25" customHeight="1">
      <c r="U736" s="48"/>
    </row>
    <row r="737" ht="14.25" customHeight="1">
      <c r="U737" s="48"/>
    </row>
    <row r="738" ht="14.25" customHeight="1">
      <c r="U738" s="48"/>
    </row>
    <row r="739" ht="14.25" customHeight="1">
      <c r="U739" s="48"/>
    </row>
    <row r="740" ht="14.25" customHeight="1">
      <c r="U740" s="48"/>
    </row>
    <row r="741" ht="14.25" customHeight="1">
      <c r="U741" s="48"/>
    </row>
    <row r="742" ht="14.25" customHeight="1">
      <c r="U742" s="48"/>
    </row>
    <row r="743" ht="14.25" customHeight="1">
      <c r="U743" s="48"/>
    </row>
    <row r="744" ht="14.25" customHeight="1">
      <c r="U744" s="48"/>
    </row>
    <row r="745" ht="14.25" customHeight="1">
      <c r="U745" s="48"/>
    </row>
    <row r="746" ht="14.25" customHeight="1">
      <c r="U746" s="48"/>
    </row>
    <row r="747" ht="14.25" customHeight="1">
      <c r="U747" s="48"/>
    </row>
    <row r="748" ht="14.25" customHeight="1">
      <c r="U748" s="48"/>
    </row>
    <row r="749" ht="14.25" customHeight="1">
      <c r="U749" s="48"/>
    </row>
    <row r="750" ht="14.25" customHeight="1">
      <c r="U750" s="48"/>
    </row>
    <row r="751" ht="14.25" customHeight="1">
      <c r="U751" s="48"/>
    </row>
    <row r="752" ht="14.25" customHeight="1">
      <c r="U752" s="48"/>
    </row>
    <row r="753" ht="14.25" customHeight="1">
      <c r="U753" s="48"/>
    </row>
    <row r="754" ht="14.25" customHeight="1">
      <c r="U754" s="48"/>
    </row>
    <row r="755" ht="14.25" customHeight="1">
      <c r="U755" s="48"/>
    </row>
    <row r="756" ht="14.25" customHeight="1">
      <c r="U756" s="48"/>
    </row>
    <row r="757" ht="14.25" customHeight="1">
      <c r="U757" s="48"/>
    </row>
    <row r="758" ht="14.25" customHeight="1">
      <c r="U758" s="48"/>
    </row>
    <row r="759" ht="14.25" customHeight="1">
      <c r="U759" s="48"/>
    </row>
    <row r="760" ht="14.25" customHeight="1">
      <c r="U760" s="48"/>
    </row>
    <row r="761" ht="14.25" customHeight="1">
      <c r="U761" s="48"/>
    </row>
    <row r="762" ht="14.25" customHeight="1">
      <c r="U762" s="48"/>
    </row>
    <row r="763" ht="14.25" customHeight="1">
      <c r="U763" s="48"/>
    </row>
    <row r="764" ht="14.25" customHeight="1">
      <c r="U764" s="48"/>
    </row>
    <row r="765" ht="14.25" customHeight="1">
      <c r="U765" s="48"/>
    </row>
    <row r="766" ht="14.25" customHeight="1">
      <c r="U766" s="48"/>
    </row>
    <row r="767" ht="14.25" customHeight="1">
      <c r="U767" s="48"/>
    </row>
    <row r="768" ht="14.25" customHeight="1">
      <c r="U768" s="48"/>
    </row>
    <row r="769" ht="14.25" customHeight="1">
      <c r="U769" s="48"/>
    </row>
    <row r="770" ht="14.25" customHeight="1">
      <c r="U770" s="48"/>
    </row>
    <row r="771" ht="14.25" customHeight="1">
      <c r="U771" s="48"/>
    </row>
    <row r="772" ht="14.25" customHeight="1">
      <c r="U772" s="48"/>
    </row>
    <row r="773" ht="14.25" customHeight="1">
      <c r="U773" s="48"/>
    </row>
    <row r="774" ht="14.25" customHeight="1">
      <c r="U774" s="48"/>
    </row>
    <row r="775" ht="14.25" customHeight="1">
      <c r="U775" s="48"/>
    </row>
    <row r="776" ht="14.25" customHeight="1">
      <c r="U776" s="48"/>
    </row>
    <row r="777" ht="14.25" customHeight="1">
      <c r="U777" s="48"/>
    </row>
    <row r="778" ht="14.25" customHeight="1">
      <c r="U778" s="48"/>
    </row>
    <row r="779" ht="14.25" customHeight="1">
      <c r="U779" s="48"/>
    </row>
    <row r="780" ht="14.25" customHeight="1">
      <c r="U780" s="48"/>
    </row>
    <row r="781" ht="14.25" customHeight="1">
      <c r="U781" s="48"/>
    </row>
    <row r="782" ht="14.25" customHeight="1">
      <c r="U782" s="48"/>
    </row>
    <row r="783" ht="14.25" customHeight="1">
      <c r="U783" s="48"/>
    </row>
    <row r="784" ht="14.25" customHeight="1">
      <c r="U784" s="48"/>
    </row>
    <row r="785" ht="14.25" customHeight="1">
      <c r="U785" s="48"/>
    </row>
    <row r="786" ht="14.25" customHeight="1">
      <c r="U786" s="48"/>
    </row>
    <row r="787" ht="14.25" customHeight="1">
      <c r="U787" s="48"/>
    </row>
    <row r="788" ht="14.25" customHeight="1">
      <c r="U788" s="48"/>
    </row>
    <row r="789" ht="14.25" customHeight="1">
      <c r="U789" s="48"/>
    </row>
    <row r="790" ht="14.25" customHeight="1">
      <c r="U790" s="48"/>
    </row>
    <row r="791" ht="14.25" customHeight="1">
      <c r="U791" s="48"/>
    </row>
    <row r="792" ht="14.25" customHeight="1">
      <c r="U792" s="48"/>
    </row>
    <row r="793" ht="14.25" customHeight="1">
      <c r="U793" s="48"/>
    </row>
    <row r="794" ht="14.25" customHeight="1">
      <c r="U794" s="48"/>
    </row>
    <row r="795" ht="14.25" customHeight="1">
      <c r="U795" s="48"/>
    </row>
    <row r="796" ht="14.25" customHeight="1">
      <c r="U796" s="48"/>
    </row>
    <row r="797" ht="14.25" customHeight="1">
      <c r="U797" s="48"/>
    </row>
    <row r="798" ht="14.25" customHeight="1">
      <c r="U798" s="48"/>
    </row>
    <row r="799" ht="14.25" customHeight="1">
      <c r="U799" s="48"/>
    </row>
    <row r="800" ht="14.25" customHeight="1">
      <c r="U800" s="48"/>
    </row>
    <row r="801" ht="14.25" customHeight="1">
      <c r="U801" s="48"/>
    </row>
    <row r="802" ht="14.25" customHeight="1">
      <c r="U802" s="48"/>
    </row>
    <row r="803" ht="14.25" customHeight="1">
      <c r="U803" s="48"/>
    </row>
    <row r="804" ht="14.25" customHeight="1">
      <c r="U804" s="48"/>
    </row>
    <row r="805" ht="14.25" customHeight="1">
      <c r="U805" s="48"/>
    </row>
    <row r="806" ht="14.25" customHeight="1">
      <c r="U806" s="48"/>
    </row>
    <row r="807" ht="14.25" customHeight="1">
      <c r="U807" s="48"/>
    </row>
    <row r="808" ht="14.25" customHeight="1">
      <c r="U808" s="48"/>
    </row>
    <row r="809" ht="14.25" customHeight="1">
      <c r="U809" s="48"/>
    </row>
    <row r="810" ht="14.25" customHeight="1">
      <c r="U810" s="48"/>
    </row>
    <row r="811" ht="14.25" customHeight="1">
      <c r="U811" s="48"/>
    </row>
    <row r="812" ht="14.25" customHeight="1">
      <c r="U812" s="48"/>
    </row>
    <row r="813" ht="14.25" customHeight="1">
      <c r="U813" s="48"/>
    </row>
    <row r="814" ht="14.25" customHeight="1">
      <c r="U814" s="48"/>
    </row>
    <row r="815" ht="14.25" customHeight="1">
      <c r="U815" s="48"/>
    </row>
    <row r="816" ht="14.25" customHeight="1">
      <c r="U816" s="48"/>
    </row>
    <row r="817" ht="14.25" customHeight="1">
      <c r="U817" s="48"/>
    </row>
    <row r="818" ht="14.25" customHeight="1">
      <c r="U818" s="48"/>
    </row>
    <row r="819" ht="14.25" customHeight="1">
      <c r="U819" s="48"/>
    </row>
    <row r="820" ht="14.25" customHeight="1">
      <c r="U820" s="48"/>
    </row>
    <row r="821" ht="14.25" customHeight="1">
      <c r="U821" s="48"/>
    </row>
    <row r="822" ht="14.25" customHeight="1">
      <c r="U822" s="48"/>
    </row>
    <row r="823" ht="14.25" customHeight="1">
      <c r="U823" s="48"/>
    </row>
    <row r="824" ht="14.25" customHeight="1">
      <c r="U824" s="48"/>
    </row>
    <row r="825" ht="14.25" customHeight="1">
      <c r="U825" s="48"/>
    </row>
    <row r="826" ht="14.25" customHeight="1">
      <c r="U826" s="48"/>
    </row>
    <row r="827" ht="14.25" customHeight="1">
      <c r="U827" s="48"/>
    </row>
    <row r="828" ht="14.25" customHeight="1">
      <c r="U828" s="48"/>
    </row>
    <row r="829" ht="14.25" customHeight="1">
      <c r="U829" s="48"/>
    </row>
    <row r="830" ht="14.25" customHeight="1">
      <c r="U830" s="48"/>
    </row>
    <row r="831" ht="14.25" customHeight="1">
      <c r="U831" s="48"/>
    </row>
    <row r="832" ht="14.25" customHeight="1">
      <c r="U832" s="48"/>
    </row>
    <row r="833" ht="14.25" customHeight="1">
      <c r="U833" s="48"/>
    </row>
    <row r="834" ht="14.25" customHeight="1">
      <c r="U834" s="48"/>
    </row>
    <row r="835" ht="14.25" customHeight="1">
      <c r="U835" s="48"/>
    </row>
    <row r="836" ht="14.25" customHeight="1">
      <c r="U836" s="48"/>
    </row>
    <row r="837" ht="14.25" customHeight="1">
      <c r="U837" s="48"/>
    </row>
    <row r="838" ht="14.25" customHeight="1">
      <c r="U838" s="48"/>
    </row>
    <row r="839" ht="14.25" customHeight="1">
      <c r="U839" s="48"/>
    </row>
    <row r="840" ht="14.25" customHeight="1">
      <c r="U840" s="48"/>
    </row>
    <row r="841" ht="14.25" customHeight="1">
      <c r="U841" s="48"/>
    </row>
    <row r="842" ht="14.25" customHeight="1">
      <c r="U842" s="48"/>
    </row>
    <row r="843" ht="14.25" customHeight="1">
      <c r="U843" s="48"/>
    </row>
    <row r="844" ht="14.25" customHeight="1">
      <c r="U844" s="48"/>
    </row>
    <row r="845" ht="14.25" customHeight="1">
      <c r="U845" s="48"/>
    </row>
    <row r="846" ht="14.25" customHeight="1">
      <c r="U846" s="48"/>
    </row>
    <row r="847" ht="14.25" customHeight="1">
      <c r="U847" s="48"/>
    </row>
    <row r="848" ht="14.25" customHeight="1">
      <c r="U848" s="48"/>
    </row>
    <row r="849" ht="14.25" customHeight="1">
      <c r="U849" s="48"/>
    </row>
    <row r="850" ht="14.25" customHeight="1">
      <c r="U850" s="48"/>
    </row>
    <row r="851" ht="14.25" customHeight="1">
      <c r="U851" s="48"/>
    </row>
    <row r="852" ht="14.25" customHeight="1">
      <c r="U852" s="48"/>
    </row>
    <row r="853" ht="14.25" customHeight="1">
      <c r="U853" s="48"/>
    </row>
    <row r="854" ht="14.25" customHeight="1">
      <c r="U854" s="48"/>
    </row>
    <row r="855" ht="14.25" customHeight="1">
      <c r="U855" s="48"/>
    </row>
    <row r="856" ht="14.25" customHeight="1">
      <c r="U856" s="48"/>
    </row>
    <row r="857" ht="14.25" customHeight="1">
      <c r="U857" s="48"/>
    </row>
    <row r="858" ht="14.25" customHeight="1">
      <c r="U858" s="48"/>
    </row>
    <row r="859" ht="14.25" customHeight="1">
      <c r="U859" s="48"/>
    </row>
    <row r="860" ht="14.25" customHeight="1">
      <c r="U860" s="48"/>
    </row>
    <row r="861" ht="14.25" customHeight="1">
      <c r="U861" s="48"/>
    </row>
    <row r="862" ht="14.25" customHeight="1">
      <c r="U862" s="48"/>
    </row>
    <row r="863" ht="14.25" customHeight="1">
      <c r="U863" s="48"/>
    </row>
    <row r="864" ht="14.25" customHeight="1">
      <c r="U864" s="48"/>
    </row>
    <row r="865" ht="14.25" customHeight="1">
      <c r="U865" s="48"/>
    </row>
    <row r="866" ht="14.25" customHeight="1">
      <c r="U866" s="48"/>
    </row>
    <row r="867" ht="14.25" customHeight="1">
      <c r="U867" s="48"/>
    </row>
    <row r="868" ht="14.25" customHeight="1">
      <c r="U868" s="48"/>
    </row>
    <row r="869" ht="14.25" customHeight="1">
      <c r="U869" s="48"/>
    </row>
    <row r="870" ht="14.25" customHeight="1">
      <c r="U870" s="48"/>
    </row>
    <row r="871" ht="14.25" customHeight="1">
      <c r="U871" s="48"/>
    </row>
    <row r="872" ht="14.25" customHeight="1">
      <c r="U872" s="48"/>
    </row>
    <row r="873" ht="14.25" customHeight="1">
      <c r="U873" s="48"/>
    </row>
    <row r="874" ht="14.25" customHeight="1">
      <c r="U874" s="48"/>
    </row>
    <row r="875" ht="14.25" customHeight="1">
      <c r="U875" s="48"/>
    </row>
    <row r="876" ht="14.25" customHeight="1">
      <c r="U876" s="48"/>
    </row>
    <row r="877" ht="14.25" customHeight="1">
      <c r="U877" s="48"/>
    </row>
    <row r="878" ht="14.25" customHeight="1">
      <c r="U878" s="48"/>
    </row>
    <row r="879" ht="14.25" customHeight="1">
      <c r="U879" s="48"/>
    </row>
    <row r="880" ht="14.25" customHeight="1">
      <c r="U880" s="48"/>
    </row>
    <row r="881" ht="14.25" customHeight="1">
      <c r="U881" s="48"/>
    </row>
    <row r="882" ht="14.25" customHeight="1">
      <c r="U882" s="48"/>
    </row>
    <row r="883" ht="14.25" customHeight="1">
      <c r="U883" s="48"/>
    </row>
    <row r="884" ht="14.25" customHeight="1">
      <c r="U884" s="48"/>
    </row>
    <row r="885" ht="14.25" customHeight="1">
      <c r="U885" s="48"/>
    </row>
    <row r="886" ht="14.25" customHeight="1">
      <c r="U886" s="48"/>
    </row>
    <row r="887" ht="14.25" customHeight="1">
      <c r="U887" s="48"/>
    </row>
    <row r="888" ht="14.25" customHeight="1">
      <c r="U888" s="48"/>
    </row>
    <row r="889" ht="14.25" customHeight="1">
      <c r="U889" s="48"/>
    </row>
    <row r="890" ht="14.25" customHeight="1">
      <c r="U890" s="48"/>
    </row>
    <row r="891" ht="14.25" customHeight="1">
      <c r="U891" s="48"/>
    </row>
    <row r="892" ht="14.25" customHeight="1">
      <c r="U892" s="48"/>
    </row>
    <row r="893" ht="14.25" customHeight="1">
      <c r="U893" s="48"/>
    </row>
    <row r="894" ht="14.25" customHeight="1">
      <c r="U894" s="48"/>
    </row>
    <row r="895" ht="14.25" customHeight="1">
      <c r="U895" s="48"/>
    </row>
    <row r="896" ht="14.25" customHeight="1">
      <c r="U896" s="48"/>
    </row>
    <row r="897" ht="14.25" customHeight="1">
      <c r="U897" s="48"/>
    </row>
    <row r="898" ht="14.25" customHeight="1">
      <c r="U898" s="48"/>
    </row>
    <row r="899" ht="14.25" customHeight="1">
      <c r="U899" s="48"/>
    </row>
    <row r="900" ht="14.25" customHeight="1">
      <c r="U900" s="48"/>
    </row>
    <row r="901" ht="14.25" customHeight="1">
      <c r="U901" s="48"/>
    </row>
    <row r="902" ht="14.25" customHeight="1">
      <c r="U902" s="48"/>
    </row>
    <row r="903" ht="14.25" customHeight="1">
      <c r="U903" s="48"/>
    </row>
    <row r="904" ht="14.25" customHeight="1">
      <c r="U904" s="48"/>
    </row>
    <row r="905" ht="14.25" customHeight="1">
      <c r="U905" s="48"/>
    </row>
    <row r="906" ht="14.25" customHeight="1">
      <c r="U906" s="48"/>
    </row>
    <row r="907" ht="14.25" customHeight="1">
      <c r="U907" s="48"/>
    </row>
    <row r="908" ht="14.25" customHeight="1">
      <c r="U908" s="48"/>
    </row>
    <row r="909" ht="14.25" customHeight="1">
      <c r="U909" s="48"/>
    </row>
    <row r="910" ht="14.25" customHeight="1">
      <c r="U910" s="48"/>
    </row>
    <row r="911" ht="14.25" customHeight="1">
      <c r="U911" s="48"/>
    </row>
    <row r="912" ht="14.25" customHeight="1">
      <c r="U912" s="48"/>
    </row>
    <row r="913" ht="14.25" customHeight="1">
      <c r="U913" s="48"/>
    </row>
    <row r="914" ht="14.25" customHeight="1">
      <c r="U914" s="48"/>
    </row>
    <row r="915" ht="14.25" customHeight="1">
      <c r="U915" s="48"/>
    </row>
    <row r="916" ht="14.25" customHeight="1">
      <c r="U916" s="48"/>
    </row>
    <row r="917" ht="14.25" customHeight="1">
      <c r="U917" s="48"/>
    </row>
    <row r="918" ht="14.25" customHeight="1">
      <c r="U918" s="48"/>
    </row>
    <row r="919" ht="14.25" customHeight="1">
      <c r="U919" s="48"/>
    </row>
    <row r="920" ht="14.25" customHeight="1">
      <c r="U920" s="48"/>
    </row>
    <row r="921" ht="14.25" customHeight="1">
      <c r="U921" s="48"/>
    </row>
    <row r="922" ht="14.25" customHeight="1">
      <c r="U922" s="48"/>
    </row>
    <row r="923" ht="14.25" customHeight="1">
      <c r="U923" s="48"/>
    </row>
    <row r="924" ht="14.25" customHeight="1">
      <c r="U924" s="48"/>
    </row>
    <row r="925" ht="14.25" customHeight="1">
      <c r="U925" s="48"/>
    </row>
    <row r="926" ht="14.25" customHeight="1">
      <c r="U926" s="48"/>
    </row>
    <row r="927" ht="14.25" customHeight="1">
      <c r="U927" s="48"/>
    </row>
    <row r="928" ht="14.25" customHeight="1">
      <c r="U928" s="48"/>
    </row>
    <row r="929" ht="14.25" customHeight="1">
      <c r="U929" s="48"/>
    </row>
    <row r="930" ht="14.25" customHeight="1">
      <c r="U930" s="48"/>
    </row>
    <row r="931" ht="14.25" customHeight="1">
      <c r="U931" s="48"/>
    </row>
    <row r="932" ht="14.25" customHeight="1">
      <c r="U932" s="48"/>
    </row>
    <row r="933" ht="14.25" customHeight="1">
      <c r="U933" s="48"/>
    </row>
    <row r="934" ht="14.25" customHeight="1">
      <c r="U934" s="48"/>
    </row>
    <row r="935" ht="14.25" customHeight="1">
      <c r="U935" s="48"/>
    </row>
    <row r="936" ht="14.25" customHeight="1">
      <c r="U936" s="48"/>
    </row>
    <row r="937" ht="14.25" customHeight="1">
      <c r="U937" s="48"/>
    </row>
    <row r="938" ht="14.25" customHeight="1">
      <c r="U938" s="48"/>
    </row>
    <row r="939" ht="14.25" customHeight="1">
      <c r="U939" s="48"/>
    </row>
    <row r="940" ht="14.25" customHeight="1">
      <c r="U940" s="48"/>
    </row>
    <row r="941" ht="14.25" customHeight="1">
      <c r="U941" s="48"/>
    </row>
    <row r="942" ht="14.25" customHeight="1">
      <c r="U942" s="48"/>
    </row>
    <row r="943" ht="14.25" customHeight="1">
      <c r="U943" s="48"/>
    </row>
    <row r="944" ht="14.25" customHeight="1">
      <c r="U944" s="48"/>
    </row>
    <row r="945" ht="14.25" customHeight="1">
      <c r="U945" s="48"/>
    </row>
    <row r="946" ht="14.25" customHeight="1">
      <c r="U946" s="48"/>
    </row>
    <row r="947" ht="14.25" customHeight="1">
      <c r="U947" s="48"/>
    </row>
    <row r="948" ht="14.25" customHeight="1">
      <c r="U948" s="48"/>
    </row>
    <row r="949" ht="14.25" customHeight="1">
      <c r="U949" s="48"/>
    </row>
    <row r="950" ht="14.25" customHeight="1">
      <c r="U950" s="48"/>
    </row>
    <row r="951" ht="14.25" customHeight="1">
      <c r="U951" s="48"/>
    </row>
    <row r="952" ht="14.25" customHeight="1">
      <c r="U952" s="48"/>
    </row>
    <row r="953" ht="14.25" customHeight="1">
      <c r="U953" s="48"/>
    </row>
    <row r="954" ht="14.25" customHeight="1">
      <c r="U954" s="48"/>
    </row>
    <row r="955" ht="14.25" customHeight="1">
      <c r="U955" s="48"/>
    </row>
    <row r="956" ht="14.25" customHeight="1">
      <c r="U956" s="48"/>
    </row>
    <row r="957" ht="14.25" customHeight="1">
      <c r="U957" s="48"/>
    </row>
    <row r="958" ht="14.25" customHeight="1">
      <c r="U958" s="48"/>
    </row>
    <row r="959" ht="14.25" customHeight="1">
      <c r="U959" s="48"/>
    </row>
    <row r="960" ht="14.25" customHeight="1">
      <c r="U960" s="48"/>
    </row>
    <row r="961" ht="14.25" customHeight="1">
      <c r="U961" s="48"/>
    </row>
    <row r="962" ht="14.25" customHeight="1">
      <c r="U962" s="48"/>
    </row>
    <row r="963" ht="14.25" customHeight="1">
      <c r="U963" s="48"/>
    </row>
    <row r="964" ht="14.25" customHeight="1">
      <c r="U964" s="48"/>
    </row>
    <row r="965" ht="14.25" customHeight="1">
      <c r="U965" s="48"/>
    </row>
    <row r="966" ht="14.25" customHeight="1"/>
    <row r="967" ht="14.25" customHeight="1"/>
    <row r="968" ht="14.25" customHeight="1"/>
    <row r="96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2025-12-04T09:04:09Z</dcterms:created>
  <dc:creator>christian donfack</dc:creator>
</cp:coreProperties>
</file>